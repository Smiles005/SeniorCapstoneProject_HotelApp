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d.docs.live.net/124a89ea743a1d64/Desktop/SoftwareProject/"/>
    </mc:Choice>
  </mc:AlternateContent>
  <xr:revisionPtr revIDLastSave="0" documentId="8_{50C6FD13-E56D-415E-A4EB-9CA46D8C4C5F}" xr6:coauthVersionLast="47" xr6:coauthVersionMax="47" xr10:uidLastSave="{00000000-0000-0000-0000-000000000000}"/>
  <bookViews>
    <workbookView xWindow="-120" yWindow="-120" windowWidth="29040" windowHeight="15720" tabRatio="648" firstSheet="3" activeTab="1" xr2:uid="{00000000-000D-0000-FFFF-FFFF00000000}"/>
  </bookViews>
  <sheets>
    <sheet name="Instructions" sheetId="1" r:id="rId1"/>
    <sheet name="Hotel Set up" sheetId="2" r:id="rId2"/>
    <sheet name="Purchase Log" sheetId="9" r:id="rId3"/>
    <sheet name="Storage Count Form" sheetId="5" r:id="rId4"/>
    <sheet name="Total Linen March 31st" sheetId="3" r:id="rId5"/>
    <sheet name="Total Linen June 30th" sheetId="6" r:id="rId6"/>
    <sheet name="Total Linen Sept 30th" sheetId="7" r:id="rId7"/>
    <sheet name="Total Linen Dec 31st" sheetId="8" r:id="rId8"/>
    <sheet name="Reports" sheetId="10" r:id="rId9"/>
  </sheets>
  <calcPr calcId="191028"/>
  <customWorkbookViews>
    <customWorkbookView name="  - Personal View" guid="{9EDB9842-A750-4033-9229-3D8286219058}" mergeInterval="0" personalView="1" maximized="1" xWindow="1" yWindow="1" windowWidth="1024" windowHeight="547" tabRatio="648"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 i="7" l="1"/>
  <c r="A8" i="8"/>
  <c r="A1" i="8"/>
  <c r="A1" i="6"/>
  <c r="A1" i="7"/>
  <c r="A8" i="7"/>
  <c r="H7" i="3"/>
  <c r="A1" i="3"/>
  <c r="AF20" i="5"/>
  <c r="AE20" i="5"/>
  <c r="AG20" i="5"/>
  <c r="AB20" i="5"/>
  <c r="AB21" i="5" s="1"/>
  <c r="Y20" i="5"/>
  <c r="Y19" i="5"/>
  <c r="AB19" i="5"/>
  <c r="AE19" i="5"/>
  <c r="AF19" i="5"/>
  <c r="AG19" i="5"/>
  <c r="AH19" i="5"/>
  <c r="X19" i="5"/>
  <c r="AB17" i="5"/>
  <c r="Y17" i="5"/>
  <c r="X17" i="5"/>
  <c r="X20" i="5"/>
  <c r="K16" i="5"/>
  <c r="V16" i="5" s="1"/>
  <c r="F16" i="5"/>
  <c r="T16" i="5" s="1"/>
  <c r="X16" i="5"/>
  <c r="X21" i="5" s="1"/>
  <c r="Y21" i="5"/>
  <c r="AH16" i="5"/>
  <c r="AH21" i="5" s="1"/>
  <c r="AG16" i="5"/>
  <c r="AG21" i="5" s="1"/>
  <c r="AF16" i="5"/>
  <c r="AF21" i="5" s="1"/>
  <c r="AE16" i="5"/>
  <c r="AD16" i="5"/>
  <c r="AD21" i="5" s="1"/>
  <c r="AC16" i="5"/>
  <c r="AB16" i="5"/>
  <c r="AA16" i="5"/>
  <c r="Z16" i="5"/>
  <c r="Y16" i="5"/>
  <c r="Q31" i="9"/>
  <c r="Q33" i="9" s="1"/>
  <c r="D19" i="2"/>
  <c r="D18" i="2"/>
  <c r="V28" i="3"/>
  <c r="V29" i="3" s="1"/>
  <c r="V15" i="3" s="1"/>
  <c r="U28" i="3"/>
  <c r="U29" i="3" s="1"/>
  <c r="U15" i="3" s="1"/>
  <c r="T15" i="6" s="1"/>
  <c r="G19" i="6"/>
  <c r="G19" i="3"/>
  <c r="R16" i="5"/>
  <c r="Q16" i="5"/>
  <c r="P16" i="5"/>
  <c r="O16" i="5"/>
  <c r="N16" i="5"/>
  <c r="J16" i="5"/>
  <c r="I16" i="5"/>
  <c r="E16" i="5"/>
  <c r="D16" i="5"/>
  <c r="C16" i="5"/>
  <c r="B16" i="5"/>
  <c r="M28" i="9"/>
  <c r="H28" i="9"/>
  <c r="M22" i="9"/>
  <c r="H22" i="9"/>
  <c r="M16" i="9"/>
  <c r="L19" i="6" s="1"/>
  <c r="M10" i="9"/>
  <c r="L19" i="7" s="1"/>
  <c r="H10" i="9"/>
  <c r="L7" i="3" l="1"/>
  <c r="M12" i="8"/>
  <c r="L12" i="8"/>
  <c r="M12" i="7"/>
  <c r="L12" i="7"/>
  <c r="M12" i="6"/>
  <c r="L12" i="6"/>
  <c r="AD17" i="5"/>
  <c r="AD19" i="5" s="1"/>
  <c r="AC20" i="5"/>
  <c r="AC21" i="5" s="1"/>
  <c r="AA20" i="5"/>
  <c r="AA21" i="5" s="1"/>
  <c r="Z20" i="5"/>
  <c r="Z21" i="5" s="1"/>
  <c r="Z17" i="5"/>
  <c r="Z19" i="5" s="1"/>
  <c r="AC17" i="5"/>
  <c r="AC19" i="5" s="1"/>
  <c r="AA17" i="5"/>
  <c r="AA19" i="5" s="1"/>
  <c r="X7" i="3"/>
  <c r="AE21" i="5"/>
  <c r="L16" i="5"/>
  <c r="M16" i="5"/>
  <c r="U16" i="5"/>
  <c r="G16" i="5"/>
  <c r="H16" i="5"/>
  <c r="S16" i="5"/>
  <c r="U15" i="6"/>
  <c r="V15" i="7" s="1"/>
  <c r="V15" i="8" s="1"/>
  <c r="W31" i="9"/>
  <c r="W33" i="9" s="1"/>
  <c r="V31" i="9"/>
  <c r="V33" i="9" s="1"/>
  <c r="L7" i="6"/>
  <c r="L7" i="7"/>
  <c r="L7" i="8"/>
  <c r="M7" i="3"/>
  <c r="N7" i="3"/>
  <c r="M12" i="3"/>
  <c r="L12" i="3"/>
  <c r="H29" i="9"/>
  <c r="L19" i="3"/>
  <c r="G19" i="8"/>
  <c r="L19" i="8"/>
  <c r="G19" i="7"/>
  <c r="D7" i="3"/>
  <c r="B7" i="3"/>
  <c r="C7" i="3"/>
  <c r="M29" i="9"/>
  <c r="Q7" i="3"/>
  <c r="R7" i="3"/>
  <c r="S7" i="3"/>
  <c r="T5" i="8"/>
  <c r="S5" i="8"/>
  <c r="R5" i="8"/>
  <c r="Q5" i="8"/>
  <c r="P5" i="8"/>
  <c r="O5" i="8"/>
  <c r="N5" i="8"/>
  <c r="M5" i="8"/>
  <c r="L5" i="8"/>
  <c r="K5" i="8"/>
  <c r="J5" i="8"/>
  <c r="I5" i="8"/>
  <c r="H5" i="8"/>
  <c r="G5" i="8"/>
  <c r="F5" i="8"/>
  <c r="E5" i="8"/>
  <c r="D5" i="8"/>
  <c r="C5" i="8"/>
  <c r="B5" i="8"/>
  <c r="T5" i="7"/>
  <c r="S5" i="7"/>
  <c r="R5" i="7"/>
  <c r="Q5" i="7"/>
  <c r="P5" i="7"/>
  <c r="O5" i="7"/>
  <c r="N5" i="7"/>
  <c r="M5" i="7"/>
  <c r="L5" i="7"/>
  <c r="K5" i="7"/>
  <c r="J5" i="7"/>
  <c r="I5" i="7"/>
  <c r="H5" i="7"/>
  <c r="G5" i="7"/>
  <c r="F5" i="7"/>
  <c r="E5" i="7"/>
  <c r="D5" i="7"/>
  <c r="C5" i="7"/>
  <c r="B5" i="7"/>
  <c r="H5" i="6"/>
  <c r="I5" i="6"/>
  <c r="J5" i="6"/>
  <c r="K5" i="6"/>
  <c r="L5" i="6"/>
  <c r="M5" i="6"/>
  <c r="N5" i="6"/>
  <c r="O5" i="6"/>
  <c r="P5" i="6"/>
  <c r="Q5" i="6"/>
  <c r="R5" i="6"/>
  <c r="S5" i="6"/>
  <c r="G5" i="6"/>
  <c r="R28" i="3"/>
  <c r="R29" i="3" s="1"/>
  <c r="R15" i="3" s="1"/>
  <c r="E5" i="6"/>
  <c r="D5" i="6"/>
  <c r="C5" i="6"/>
  <c r="B5" i="6"/>
  <c r="F18" i="8"/>
  <c r="K18" i="8"/>
  <c r="P18" i="8"/>
  <c r="T18" i="8"/>
  <c r="F18" i="7"/>
  <c r="K18" i="7"/>
  <c r="P18" i="7"/>
  <c r="T18" i="7"/>
  <c r="F18" i="6"/>
  <c r="K18" i="6"/>
  <c r="S18" i="6"/>
  <c r="A8" i="6"/>
  <c r="F29" i="3"/>
  <c r="F15" i="3" s="1"/>
  <c r="K29" i="3"/>
  <c r="K15" i="3" s="1"/>
  <c r="T29" i="3"/>
  <c r="T15" i="3" s="1"/>
  <c r="X28" i="3"/>
  <c r="X29" i="3" s="1"/>
  <c r="X15" i="3" s="1"/>
  <c r="W28" i="3"/>
  <c r="W29" i="3" s="1"/>
  <c r="W15" i="3" s="1"/>
  <c r="U15" i="7"/>
  <c r="U15" i="8" s="1"/>
  <c r="S28" i="3"/>
  <c r="S29" i="3" s="1"/>
  <c r="S15" i="3" s="1"/>
  <c r="Q28" i="3"/>
  <c r="Q29" i="3" s="1"/>
  <c r="Q15" i="3" s="1"/>
  <c r="O28" i="3"/>
  <c r="O29" i="3" s="1"/>
  <c r="O15" i="3" s="1"/>
  <c r="N28" i="3"/>
  <c r="N29" i="3" s="1"/>
  <c r="N15" i="3" s="1"/>
  <c r="M28" i="3"/>
  <c r="M29" i="3" s="1"/>
  <c r="M15" i="3" s="1"/>
  <c r="L28" i="3"/>
  <c r="L29" i="3" s="1"/>
  <c r="L15" i="3" s="1"/>
  <c r="J28" i="3"/>
  <c r="J29" i="3" s="1"/>
  <c r="J15" i="3" s="1"/>
  <c r="I28" i="3"/>
  <c r="I29" i="3" s="1"/>
  <c r="I15" i="3" s="1"/>
  <c r="H28" i="3"/>
  <c r="H29" i="3" s="1"/>
  <c r="G28" i="3"/>
  <c r="G29" i="3" s="1"/>
  <c r="E28" i="3"/>
  <c r="E29" i="3" s="1"/>
  <c r="D28" i="3"/>
  <c r="D29" i="3" s="1"/>
  <c r="C28" i="3"/>
  <c r="C29" i="3" s="1"/>
  <c r="B28" i="3"/>
  <c r="B29" i="3" s="1"/>
  <c r="I15" i="6" l="1"/>
  <c r="I15" i="7" s="1"/>
  <c r="I15" i="8" s="1"/>
  <c r="J31" i="9"/>
  <c r="J33" i="9" s="1"/>
  <c r="L15" i="6"/>
  <c r="L15" i="8" s="1"/>
  <c r="M31" i="9"/>
  <c r="M33" i="9" s="1"/>
  <c r="Q15" i="6"/>
  <c r="R15" i="7" s="1"/>
  <c r="R15" i="8" s="1"/>
  <c r="S31" i="9"/>
  <c r="S33" i="9" s="1"/>
  <c r="M15" i="6"/>
  <c r="M15" i="7" s="1"/>
  <c r="M15" i="8" s="1"/>
  <c r="N31" i="9"/>
  <c r="N33" i="9" s="1"/>
  <c r="N15" i="6"/>
  <c r="N15" i="7" s="1"/>
  <c r="N15" i="8" s="1"/>
  <c r="O31" i="9"/>
  <c r="O33" i="9" s="1"/>
  <c r="V15" i="6"/>
  <c r="W15" i="7" s="1"/>
  <c r="W15" i="8" s="1"/>
  <c r="X31" i="9"/>
  <c r="X33" i="9" s="1"/>
  <c r="W15" i="6"/>
  <c r="X15" i="7" s="1"/>
  <c r="X15" i="8" s="1"/>
  <c r="Y31" i="9"/>
  <c r="Y33" i="9" s="1"/>
  <c r="S15" i="6"/>
  <c r="S22" i="6" s="1"/>
  <c r="U31" i="9"/>
  <c r="U33" i="9" s="1"/>
  <c r="Q12" i="3"/>
  <c r="Q7" i="8"/>
  <c r="Q12" i="8" s="1"/>
  <c r="Q7" i="7"/>
  <c r="Q12" i="7" s="1"/>
  <c r="P7" i="6"/>
  <c r="P12" i="6" s="1"/>
  <c r="J15" i="6"/>
  <c r="J15" i="7" s="1"/>
  <c r="J15" i="8" s="1"/>
  <c r="K31" i="9"/>
  <c r="K33" i="9" s="1"/>
  <c r="O15" i="6"/>
  <c r="O15" i="7" s="1"/>
  <c r="O15" i="8" s="1"/>
  <c r="P31" i="9"/>
  <c r="P33" i="9" s="1"/>
  <c r="P15" i="6"/>
  <c r="Q15" i="7" s="1"/>
  <c r="Q15" i="8" s="1"/>
  <c r="R31" i="9"/>
  <c r="R33" i="9" s="1"/>
  <c r="R15" i="6"/>
  <c r="S15" i="7" s="1"/>
  <c r="S15" i="8" s="1"/>
  <c r="T31" i="9"/>
  <c r="T33" i="9" s="1"/>
  <c r="B15" i="3"/>
  <c r="C31" i="9" s="1"/>
  <c r="K15" i="6"/>
  <c r="K15" i="7" s="1"/>
  <c r="L31" i="9"/>
  <c r="L33" i="9" s="1"/>
  <c r="C15" i="3"/>
  <c r="D31" i="9" s="1"/>
  <c r="D33" i="9" s="1"/>
  <c r="F15" i="6"/>
  <c r="F15" i="7" s="1"/>
  <c r="F15" i="8" s="1"/>
  <c r="G31" i="9"/>
  <c r="G33" i="9" s="1"/>
  <c r="D15" i="3"/>
  <c r="E31" i="9" s="1"/>
  <c r="E33" i="9" s="1"/>
  <c r="E15" i="3"/>
  <c r="F31" i="9" s="1"/>
  <c r="F33" i="9" s="1"/>
  <c r="G15" i="3"/>
  <c r="H31" i="9" s="1"/>
  <c r="H33" i="9" s="1"/>
  <c r="S12" i="3"/>
  <c r="S7" i="8"/>
  <c r="S12" i="8" s="1"/>
  <c r="S7" i="7"/>
  <c r="S12" i="7" s="1"/>
  <c r="R7" i="6"/>
  <c r="R12" i="6" s="1"/>
  <c r="H15" i="3"/>
  <c r="I31" i="9" s="1"/>
  <c r="I33" i="9" s="1"/>
  <c r="R12" i="3"/>
  <c r="R7" i="8"/>
  <c r="R12" i="8" s="1"/>
  <c r="R7" i="7"/>
  <c r="Q7" i="6"/>
  <c r="Q12" i="6" s="1"/>
  <c r="M7" i="8"/>
  <c r="M7" i="6"/>
  <c r="M7" i="7"/>
  <c r="D7" i="7"/>
  <c r="D12" i="7" s="1"/>
  <c r="D7" i="8"/>
  <c r="D12" i="8" s="1"/>
  <c r="D12" i="3"/>
  <c r="D7" i="6"/>
  <c r="D12" i="6" s="1"/>
  <c r="C12" i="3"/>
  <c r="C7" i="6"/>
  <c r="C12" i="6" s="1"/>
  <c r="C7" i="7"/>
  <c r="C12" i="7" s="1"/>
  <c r="C7" i="8"/>
  <c r="C12" i="8" s="1"/>
  <c r="B12" i="3"/>
  <c r="B7" i="6"/>
  <c r="B12" i="6" s="1"/>
  <c r="B7" i="7"/>
  <c r="B12" i="7" s="1"/>
  <c r="B7" i="8"/>
  <c r="B12" i="8" s="1"/>
  <c r="N7" i="6"/>
  <c r="N12" i="6" s="1"/>
  <c r="N7" i="7"/>
  <c r="N12" i="7" s="1"/>
  <c r="N7" i="8"/>
  <c r="N12" i="8" s="1"/>
  <c r="N12" i="3"/>
  <c r="R10" i="3"/>
  <c r="Q18" i="6" s="1"/>
  <c r="P15" i="7"/>
  <c r="P15" i="8" s="1"/>
  <c r="P22" i="8" s="1"/>
  <c r="H15" i="6" l="1"/>
  <c r="H15" i="7" s="1"/>
  <c r="H15" i="8" s="1"/>
  <c r="S10" i="7"/>
  <c r="S18" i="8" s="1"/>
  <c r="S10" i="8"/>
  <c r="S13" i="8" s="1"/>
  <c r="S16" i="8" s="1"/>
  <c r="R10" i="8"/>
  <c r="Q10" i="6"/>
  <c r="R18" i="7" s="1"/>
  <c r="S13" i="7"/>
  <c r="S16" i="7" s="1"/>
  <c r="D15" i="6"/>
  <c r="D15" i="7" s="1"/>
  <c r="D15" i="8" s="1"/>
  <c r="C15" i="6"/>
  <c r="C15" i="7" s="1"/>
  <c r="C15" i="8" s="1"/>
  <c r="R10" i="6"/>
  <c r="R20" i="6" s="1"/>
  <c r="Q10" i="7"/>
  <c r="Q18" i="8" s="1"/>
  <c r="P10" i="6"/>
  <c r="Q18" i="7" s="1"/>
  <c r="R12" i="7"/>
  <c r="R10" i="7"/>
  <c r="T15" i="7"/>
  <c r="T22" i="7" s="1"/>
  <c r="K22" i="6"/>
  <c r="B15" i="6"/>
  <c r="B15" i="7" s="1"/>
  <c r="B15" i="8" s="1"/>
  <c r="E15" i="6"/>
  <c r="E15" i="7" s="1"/>
  <c r="E15" i="8" s="1"/>
  <c r="Q10" i="8"/>
  <c r="Q20" i="8" s="1"/>
  <c r="R13" i="3"/>
  <c r="R16" i="3" s="1"/>
  <c r="R20" i="3"/>
  <c r="G15" i="6"/>
  <c r="G15" i="7" s="1"/>
  <c r="G15" i="8" s="1"/>
  <c r="P22" i="7"/>
  <c r="K22" i="7"/>
  <c r="K15" i="8"/>
  <c r="K22" i="8" s="1"/>
  <c r="T15" i="8" l="1"/>
  <c r="T22" i="8" s="1"/>
  <c r="S20" i="8"/>
  <c r="S20" i="7"/>
  <c r="R20" i="8"/>
  <c r="R13" i="8"/>
  <c r="R16" i="8" s="1"/>
  <c r="Q20" i="6"/>
  <c r="Q13" i="6"/>
  <c r="Q16" i="6" s="1"/>
  <c r="S18" i="7"/>
  <c r="R13" i="6"/>
  <c r="R16" i="6" s="1"/>
  <c r="Q20" i="7"/>
  <c r="R18" i="8"/>
  <c r="R20" i="7"/>
  <c r="R13" i="7"/>
  <c r="R16" i="7" s="1"/>
  <c r="P20" i="6"/>
  <c r="P13" i="6"/>
  <c r="P16" i="6" s="1"/>
  <c r="Q13" i="8"/>
  <c r="Q16" i="8" s="1"/>
  <c r="Q13" i="7"/>
  <c r="Q16" i="7" s="1"/>
  <c r="L106" i="10"/>
  <c r="L105" i="10"/>
  <c r="L104" i="10"/>
  <c r="L103" i="10"/>
  <c r="L100" i="10"/>
  <c r="L99" i="10"/>
  <c r="L98" i="10"/>
  <c r="L71" i="10"/>
  <c r="L70" i="10"/>
  <c r="L69" i="10"/>
  <c r="L68" i="10"/>
  <c r="L65" i="10"/>
  <c r="L64" i="10"/>
  <c r="L63" i="10"/>
  <c r="L36" i="10"/>
  <c r="L35" i="10"/>
  <c r="L34" i="10"/>
  <c r="L33" i="10"/>
  <c r="L30" i="10"/>
  <c r="L29" i="10"/>
  <c r="L28" i="10"/>
  <c r="I87" i="10"/>
  <c r="Y28" i="9"/>
  <c r="X28" i="9"/>
  <c r="W28" i="9"/>
  <c r="V28" i="9"/>
  <c r="U28" i="9"/>
  <c r="T28" i="9"/>
  <c r="S28" i="9"/>
  <c r="R28" i="9"/>
  <c r="P28" i="9"/>
  <c r="Y22" i="9"/>
  <c r="X22" i="9"/>
  <c r="W22" i="9"/>
  <c r="V22" i="9"/>
  <c r="U22" i="9"/>
  <c r="T22" i="9"/>
  <c r="S22" i="9"/>
  <c r="R22" i="9"/>
  <c r="P22" i="9"/>
  <c r="Y16" i="9"/>
  <c r="W19" i="6" s="1"/>
  <c r="X16" i="9"/>
  <c r="V19" i="6" s="1"/>
  <c r="W16" i="9"/>
  <c r="U19" i="6" s="1"/>
  <c r="V16" i="9"/>
  <c r="T19" i="6" s="1"/>
  <c r="U16" i="9"/>
  <c r="S19" i="6" s="1"/>
  <c r="T16" i="9"/>
  <c r="S16" i="9"/>
  <c r="R16" i="9"/>
  <c r="P19" i="6" s="1"/>
  <c r="P16" i="9"/>
  <c r="O19" i="6" s="1"/>
  <c r="Y10" i="9"/>
  <c r="X10" i="9"/>
  <c r="W10" i="9"/>
  <c r="V10" i="9"/>
  <c r="V19" i="3" s="1"/>
  <c r="U10" i="9"/>
  <c r="U19" i="3" s="1"/>
  <c r="T10" i="9"/>
  <c r="S10" i="9"/>
  <c r="S19" i="3" s="1"/>
  <c r="R10" i="9"/>
  <c r="Q19" i="3" s="1"/>
  <c r="T22" i="3"/>
  <c r="A1" i="10"/>
  <c r="L95" i="10"/>
  <c r="L94" i="10"/>
  <c r="L93" i="10"/>
  <c r="L92" i="10"/>
  <c r="L91" i="10"/>
  <c r="L88" i="10"/>
  <c r="L87" i="10"/>
  <c r="L86" i="10"/>
  <c r="L85" i="10"/>
  <c r="L84" i="10"/>
  <c r="L81" i="10"/>
  <c r="L80" i="10"/>
  <c r="L79" i="10"/>
  <c r="L78" i="10"/>
  <c r="L77" i="10"/>
  <c r="L60" i="10"/>
  <c r="L59" i="10"/>
  <c r="L58" i="10"/>
  <c r="L57" i="10"/>
  <c r="L56" i="10"/>
  <c r="L53" i="10"/>
  <c r="L52" i="10"/>
  <c r="I52" i="10"/>
  <c r="L51" i="10"/>
  <c r="L50" i="10"/>
  <c r="L49" i="10"/>
  <c r="L46" i="10"/>
  <c r="L45" i="10"/>
  <c r="L44" i="10"/>
  <c r="L43" i="10"/>
  <c r="L42" i="10"/>
  <c r="L25" i="10"/>
  <c r="L24" i="10"/>
  <c r="L23" i="10"/>
  <c r="L22" i="10"/>
  <c r="L21" i="10"/>
  <c r="L18" i="10"/>
  <c r="L17" i="10"/>
  <c r="I17" i="10"/>
  <c r="M17" i="10" s="1"/>
  <c r="L10" i="10"/>
  <c r="L9" i="10"/>
  <c r="L8" i="10"/>
  <c r="L7" i="10"/>
  <c r="L16" i="10"/>
  <c r="L15" i="10"/>
  <c r="L14" i="10"/>
  <c r="L11" i="10"/>
  <c r="C10" i="9"/>
  <c r="D10" i="9"/>
  <c r="E10" i="9"/>
  <c r="F10" i="9"/>
  <c r="E19" i="3" s="1"/>
  <c r="G10" i="9"/>
  <c r="I10" i="9"/>
  <c r="H19" i="3" s="1"/>
  <c r="J10" i="9"/>
  <c r="I19" i="3" s="1"/>
  <c r="K10" i="9"/>
  <c r="J19" i="3" s="1"/>
  <c r="L10" i="9"/>
  <c r="N10" i="9"/>
  <c r="O10" i="9"/>
  <c r="P10" i="9"/>
  <c r="C16" i="9"/>
  <c r="B19" i="6" s="1"/>
  <c r="D16" i="9"/>
  <c r="C19" i="6" s="1"/>
  <c r="E16" i="9"/>
  <c r="D19" i="6" s="1"/>
  <c r="F16" i="9"/>
  <c r="E19" i="6" s="1"/>
  <c r="G16" i="9"/>
  <c r="F19" i="6" s="1"/>
  <c r="I16" i="9"/>
  <c r="H19" i="6" s="1"/>
  <c r="J16" i="9"/>
  <c r="I19" i="6" s="1"/>
  <c r="K16" i="9"/>
  <c r="J19" i="6" s="1"/>
  <c r="L16" i="9"/>
  <c r="K19" i="6" s="1"/>
  <c r="N16" i="9"/>
  <c r="M19" i="6" s="1"/>
  <c r="O16" i="9"/>
  <c r="N19" i="6" s="1"/>
  <c r="C22" i="9"/>
  <c r="D22" i="9"/>
  <c r="E22" i="9"/>
  <c r="F22" i="9"/>
  <c r="G22" i="9"/>
  <c r="I22" i="9"/>
  <c r="J22" i="9"/>
  <c r="K22" i="9"/>
  <c r="L22" i="9"/>
  <c r="N22" i="9"/>
  <c r="O22" i="9"/>
  <c r="C28" i="9"/>
  <c r="O28" i="9"/>
  <c r="N28" i="9"/>
  <c r="L28" i="9"/>
  <c r="K28" i="9"/>
  <c r="J28" i="9"/>
  <c r="I28" i="9"/>
  <c r="G28" i="9"/>
  <c r="F28" i="9"/>
  <c r="E28" i="9"/>
  <c r="D28" i="9"/>
  <c r="K22" i="3"/>
  <c r="D21" i="2"/>
  <c r="F17" i="10"/>
  <c r="F52" i="10"/>
  <c r="F87" i="10"/>
  <c r="J17" i="10" l="1"/>
  <c r="V7" i="3"/>
  <c r="U7" i="3"/>
  <c r="L29" i="9"/>
  <c r="P29" i="9"/>
  <c r="T29" i="9"/>
  <c r="G29" i="9"/>
  <c r="O19" i="3"/>
  <c r="N29" i="9"/>
  <c r="E19" i="7"/>
  <c r="E19" i="8"/>
  <c r="S19" i="8"/>
  <c r="S21" i="8" s="1"/>
  <c r="S22" i="8" s="1"/>
  <c r="R19" i="8"/>
  <c r="R21" i="8" s="1"/>
  <c r="R22" i="8" s="1"/>
  <c r="R19" i="7"/>
  <c r="R21" i="7" s="1"/>
  <c r="R22" i="7" s="1"/>
  <c r="S19" i="7"/>
  <c r="S21" i="7" s="1"/>
  <c r="S22" i="7" s="1"/>
  <c r="R19" i="3"/>
  <c r="R21" i="3" s="1"/>
  <c r="R22" i="3" s="1"/>
  <c r="Q19" i="8"/>
  <c r="Q21" i="8" s="1"/>
  <c r="Q22" i="8" s="1"/>
  <c r="Q19" i="7"/>
  <c r="Q21" i="7" s="1"/>
  <c r="Q22" i="7" s="1"/>
  <c r="B19" i="3"/>
  <c r="B19" i="7"/>
  <c r="B19" i="8"/>
  <c r="U19" i="7"/>
  <c r="U19" i="8"/>
  <c r="V19" i="7"/>
  <c r="V19" i="8"/>
  <c r="W19" i="8"/>
  <c r="W19" i="7"/>
  <c r="N19" i="7"/>
  <c r="N19" i="8"/>
  <c r="C19" i="3"/>
  <c r="C19" i="8"/>
  <c r="C19" i="7"/>
  <c r="O19" i="8"/>
  <c r="O19" i="7"/>
  <c r="R19" i="6"/>
  <c r="Q19" i="6"/>
  <c r="Q21" i="6" s="1"/>
  <c r="Q22" i="6" s="1"/>
  <c r="I19" i="7"/>
  <c r="I19" i="8"/>
  <c r="R29" i="9"/>
  <c r="J19" i="7"/>
  <c r="J19" i="8"/>
  <c r="H19" i="8"/>
  <c r="H19" i="7"/>
  <c r="W19" i="3"/>
  <c r="I7" i="3"/>
  <c r="J7" i="3"/>
  <c r="W7" i="3"/>
  <c r="G7" i="3"/>
  <c r="E7" i="3"/>
  <c r="O7" i="3"/>
  <c r="N10" i="8"/>
  <c r="M10" i="8"/>
  <c r="M20" i="8" s="1"/>
  <c r="N10" i="6"/>
  <c r="M10" i="6"/>
  <c r="N10" i="7"/>
  <c r="M10" i="7"/>
  <c r="D19" i="3"/>
  <c r="D19" i="8"/>
  <c r="D19" i="7"/>
  <c r="X19" i="3"/>
  <c r="X19" i="8"/>
  <c r="X19" i="7"/>
  <c r="M19" i="8"/>
  <c r="M19" i="7"/>
  <c r="J52" i="10"/>
  <c r="M52" i="10"/>
  <c r="J87" i="10"/>
  <c r="F98" i="10"/>
  <c r="F23" i="10"/>
  <c r="M87" i="10"/>
  <c r="J29" i="9"/>
  <c r="F29" i="9"/>
  <c r="X29" i="9"/>
  <c r="O29" i="9"/>
  <c r="E29" i="9"/>
  <c r="V29" i="9"/>
  <c r="Y29" i="9"/>
  <c r="N19" i="3"/>
  <c r="F21" i="10"/>
  <c r="W29" i="9"/>
  <c r="I29" i="9"/>
  <c r="K29" i="9"/>
  <c r="D29" i="9"/>
  <c r="M19" i="3"/>
  <c r="S29" i="9"/>
  <c r="C29" i="9"/>
  <c r="C33" i="9" s="1"/>
  <c r="E35" i="9" s="1"/>
  <c r="F100" i="10"/>
  <c r="F30" i="10"/>
  <c r="F25" i="10"/>
  <c r="F65" i="10"/>
  <c r="F99" i="10"/>
  <c r="F24" i="10"/>
  <c r="F29" i="10"/>
  <c r="F64" i="10"/>
  <c r="I23" i="10"/>
  <c r="I64" i="10"/>
  <c r="I99" i="10"/>
  <c r="I29" i="10"/>
  <c r="I24" i="10"/>
  <c r="L108" i="10"/>
  <c r="I63" i="10"/>
  <c r="I98" i="10"/>
  <c r="G12" i="3" l="1"/>
  <c r="G7" i="7"/>
  <c r="G12" i="7" s="1"/>
  <c r="G7" i="6"/>
  <c r="G12" i="6" s="1"/>
  <c r="G7" i="8"/>
  <c r="G12" i="8" s="1"/>
  <c r="W7" i="6"/>
  <c r="W12" i="6" s="1"/>
  <c r="X7" i="7"/>
  <c r="X12" i="7" s="1"/>
  <c r="X7" i="8"/>
  <c r="X12" i="8" s="1"/>
  <c r="X12" i="3"/>
  <c r="V7" i="6"/>
  <c r="V12" i="6" s="1"/>
  <c r="W7" i="7"/>
  <c r="W12" i="7" s="1"/>
  <c r="W7" i="8"/>
  <c r="W12" i="8" s="1"/>
  <c r="W12" i="3"/>
  <c r="J7" i="8"/>
  <c r="J7" i="6"/>
  <c r="J7" i="7"/>
  <c r="J12" i="3"/>
  <c r="I7" i="7"/>
  <c r="I7" i="8"/>
  <c r="I7" i="6"/>
  <c r="I12" i="3"/>
  <c r="U7" i="8"/>
  <c r="U12" i="8" s="1"/>
  <c r="T7" i="6"/>
  <c r="T12" i="6" s="1"/>
  <c r="U7" i="7"/>
  <c r="U12" i="7" s="1"/>
  <c r="U12" i="3"/>
  <c r="O7" i="6"/>
  <c r="O12" i="6" s="1"/>
  <c r="O7" i="7"/>
  <c r="O12" i="7" s="1"/>
  <c r="O7" i="8"/>
  <c r="O12" i="8" s="1"/>
  <c r="O12" i="3"/>
  <c r="E7" i="7"/>
  <c r="E12" i="7" s="1"/>
  <c r="E7" i="8"/>
  <c r="E12" i="8" s="1"/>
  <c r="E12" i="3"/>
  <c r="E7" i="6"/>
  <c r="E12" i="6" s="1"/>
  <c r="H7" i="6"/>
  <c r="H12" i="6" s="1"/>
  <c r="H7" i="7"/>
  <c r="H12" i="7" s="1"/>
  <c r="H7" i="8"/>
  <c r="H12" i="8" s="1"/>
  <c r="H12" i="3"/>
  <c r="U7" i="6"/>
  <c r="U12" i="6" s="1"/>
  <c r="V7" i="7"/>
  <c r="V12" i="7" s="1"/>
  <c r="V7" i="8"/>
  <c r="V12" i="8" s="1"/>
  <c r="V12" i="3"/>
  <c r="U10" i="3"/>
  <c r="V10" i="3"/>
  <c r="U18" i="6" s="1"/>
  <c r="B10" i="6"/>
  <c r="D10" i="8"/>
  <c r="C10" i="7"/>
  <c r="C10" i="6"/>
  <c r="B10" i="8"/>
  <c r="N20" i="8"/>
  <c r="N13" i="8"/>
  <c r="N16" i="8" s="1"/>
  <c r="E10" i="7"/>
  <c r="M18" i="8"/>
  <c r="M21" i="8" s="1"/>
  <c r="M22" i="8" s="1"/>
  <c r="M20" i="7"/>
  <c r="D10" i="6"/>
  <c r="N18" i="8"/>
  <c r="N20" i="7"/>
  <c r="N13" i="7"/>
  <c r="N16" i="7" s="1"/>
  <c r="C10" i="8"/>
  <c r="G10" i="6"/>
  <c r="G10" i="7"/>
  <c r="D10" i="7"/>
  <c r="L10" i="6"/>
  <c r="L10" i="7"/>
  <c r="L13" i="7" s="1"/>
  <c r="M18" i="7"/>
  <c r="M20" i="6"/>
  <c r="G10" i="8"/>
  <c r="L10" i="8"/>
  <c r="L20" i="8" s="1"/>
  <c r="N18" i="7"/>
  <c r="N13" i="6"/>
  <c r="N16" i="6" s="1"/>
  <c r="N20" i="6"/>
  <c r="B10" i="7"/>
  <c r="M13" i="6"/>
  <c r="M16" i="6" s="1"/>
  <c r="M13" i="8"/>
  <c r="M16" i="8" s="1"/>
  <c r="M13" i="7"/>
  <c r="M16" i="7" s="1"/>
  <c r="F63" i="10"/>
  <c r="J63" i="10" s="1"/>
  <c r="F28" i="10"/>
  <c r="F22" i="10"/>
  <c r="I34" i="10"/>
  <c r="M34" i="10" s="1"/>
  <c r="F11" i="10"/>
  <c r="I69" i="10"/>
  <c r="M69" i="10" s="1"/>
  <c r="I56" i="10"/>
  <c r="M56" i="10" s="1"/>
  <c r="J23" i="10"/>
  <c r="I16" i="10"/>
  <c r="M16" i="10" s="1"/>
  <c r="F33" i="10"/>
  <c r="I11" i="10"/>
  <c r="M11" i="10" s="1"/>
  <c r="I28" i="10"/>
  <c r="I81" i="10"/>
  <c r="I46" i="10"/>
  <c r="I65" i="10"/>
  <c r="I100" i="10"/>
  <c r="I25" i="10"/>
  <c r="I30" i="10"/>
  <c r="M23" i="10"/>
  <c r="I21" i="10"/>
  <c r="I60" i="10"/>
  <c r="I95" i="10"/>
  <c r="J64" i="10"/>
  <c r="M64" i="10"/>
  <c r="M29" i="10"/>
  <c r="J29" i="10"/>
  <c r="M24" i="10"/>
  <c r="J24" i="10"/>
  <c r="M99" i="10"/>
  <c r="J99" i="10"/>
  <c r="J98" i="10"/>
  <c r="M98" i="10"/>
  <c r="M63" i="10"/>
  <c r="W10" i="8" l="1"/>
  <c r="W20" i="8" s="1"/>
  <c r="V10" i="6"/>
  <c r="W18" i="7" s="1"/>
  <c r="E10" i="8"/>
  <c r="E20" i="8" s="1"/>
  <c r="H10" i="7"/>
  <c r="H20" i="7" s="1"/>
  <c r="H10" i="8"/>
  <c r="H20" i="8" s="1"/>
  <c r="H10" i="6"/>
  <c r="H18" i="7" s="1"/>
  <c r="X10" i="7"/>
  <c r="X20" i="7" s="1"/>
  <c r="W10" i="7"/>
  <c r="W20" i="7" s="1"/>
  <c r="O10" i="8"/>
  <c r="I58" i="10"/>
  <c r="M58" i="10" s="1"/>
  <c r="O10" i="7"/>
  <c r="X10" i="8"/>
  <c r="X20" i="8" s="1"/>
  <c r="O10" i="6"/>
  <c r="U20" i="3"/>
  <c r="U21" i="3" s="1"/>
  <c r="U22" i="3" s="1"/>
  <c r="T18" i="6"/>
  <c r="I12" i="6"/>
  <c r="I10" i="6"/>
  <c r="T10" i="6"/>
  <c r="U18" i="7" s="1"/>
  <c r="I12" i="8"/>
  <c r="I10" i="8"/>
  <c r="I12" i="7"/>
  <c r="I10" i="7"/>
  <c r="U10" i="6"/>
  <c r="U13" i="6" s="1"/>
  <c r="U16" i="6" s="1"/>
  <c r="J12" i="7"/>
  <c r="J10" i="7"/>
  <c r="J12" i="6"/>
  <c r="J10" i="6"/>
  <c r="U10" i="7"/>
  <c r="U20" i="7" s="1"/>
  <c r="V10" i="7"/>
  <c r="V18" i="8" s="1"/>
  <c r="J12" i="8"/>
  <c r="J10" i="8"/>
  <c r="U10" i="8"/>
  <c r="U20" i="8" s="1"/>
  <c r="V10" i="8"/>
  <c r="V20" i="8" s="1"/>
  <c r="W10" i="6"/>
  <c r="X18" i="7" s="1"/>
  <c r="E10" i="6"/>
  <c r="E18" i="7" s="1"/>
  <c r="U13" i="3"/>
  <c r="U16" i="3" s="1"/>
  <c r="V20" i="3"/>
  <c r="V21" i="3" s="1"/>
  <c r="V22" i="3" s="1"/>
  <c r="V13" i="3"/>
  <c r="V16" i="3" s="1"/>
  <c r="L13" i="8"/>
  <c r="L16" i="8" s="1"/>
  <c r="M21" i="7"/>
  <c r="M22" i="7" s="1"/>
  <c r="N21" i="7"/>
  <c r="N22" i="7" s="1"/>
  <c r="C13" i="6"/>
  <c r="C16" i="6" s="1"/>
  <c r="I86" i="10"/>
  <c r="M86" i="10" s="1"/>
  <c r="N21" i="8"/>
  <c r="N22" i="8" s="1"/>
  <c r="C18" i="7"/>
  <c r="C20" i="6"/>
  <c r="I91" i="10"/>
  <c r="M91" i="10" s="1"/>
  <c r="C20" i="7"/>
  <c r="C18" i="8"/>
  <c r="C13" i="7"/>
  <c r="C16" i="7" s="1"/>
  <c r="D13" i="8"/>
  <c r="D16" i="8" s="1"/>
  <c r="D20" i="8"/>
  <c r="G13" i="8"/>
  <c r="G16" i="8" s="1"/>
  <c r="G20" i="8"/>
  <c r="L18" i="8"/>
  <c r="L21" i="8" s="1"/>
  <c r="L22" i="8" s="1"/>
  <c r="L16" i="7"/>
  <c r="L20" i="7"/>
  <c r="D13" i="6"/>
  <c r="D16" i="6" s="1"/>
  <c r="D18" i="7"/>
  <c r="D20" i="6"/>
  <c r="B18" i="7"/>
  <c r="B13" i="6"/>
  <c r="B16" i="6" s="1"/>
  <c r="B20" i="6"/>
  <c r="B20" i="8"/>
  <c r="B13" i="8"/>
  <c r="B16" i="8" s="1"/>
  <c r="L18" i="7"/>
  <c r="L13" i="6"/>
  <c r="L16" i="6" s="1"/>
  <c r="L20" i="6"/>
  <c r="E18" i="8"/>
  <c r="E13" i="7"/>
  <c r="E16" i="7" s="1"/>
  <c r="E20" i="7"/>
  <c r="G18" i="8"/>
  <c r="G13" i="7"/>
  <c r="G16" i="7" s="1"/>
  <c r="G20" i="7"/>
  <c r="D20" i="7"/>
  <c r="D18" i="8"/>
  <c r="D13" i="7"/>
  <c r="D16" i="7" s="1"/>
  <c r="C20" i="8"/>
  <c r="C13" i="8"/>
  <c r="C16" i="8" s="1"/>
  <c r="G18" i="7"/>
  <c r="G13" i="6"/>
  <c r="G16" i="6" s="1"/>
  <c r="G20" i="6"/>
  <c r="B18" i="8"/>
  <c r="B13" i="7"/>
  <c r="B16" i="7" s="1"/>
  <c r="B20" i="7"/>
  <c r="H18" i="8"/>
  <c r="J28" i="10"/>
  <c r="I104" i="10"/>
  <c r="M104" i="10" s="1"/>
  <c r="I22" i="10"/>
  <c r="I51" i="10"/>
  <c r="M51" i="10" s="1"/>
  <c r="F103" i="10"/>
  <c r="F68" i="10"/>
  <c r="F9" i="10"/>
  <c r="F16" i="10"/>
  <c r="J16" i="10" s="1"/>
  <c r="F8" i="10"/>
  <c r="I15" i="10"/>
  <c r="J11" i="10"/>
  <c r="F10" i="10"/>
  <c r="M28" i="10"/>
  <c r="M81" i="10"/>
  <c r="M46" i="10"/>
  <c r="J25" i="10"/>
  <c r="M25" i="10"/>
  <c r="M100" i="10"/>
  <c r="J100" i="10"/>
  <c r="J30" i="10"/>
  <c r="M30" i="10"/>
  <c r="M65" i="10"/>
  <c r="J65" i="10"/>
  <c r="M21" i="10"/>
  <c r="J21" i="10"/>
  <c r="M95" i="10"/>
  <c r="M60" i="10"/>
  <c r="I94" i="10"/>
  <c r="I59" i="10"/>
  <c r="E13" i="8" l="1"/>
  <c r="E16" i="8" s="1"/>
  <c r="W13" i="8"/>
  <c r="W16" i="8" s="1"/>
  <c r="H13" i="7"/>
  <c r="H16" i="7" s="1"/>
  <c r="H13" i="8"/>
  <c r="H16" i="8" s="1"/>
  <c r="X13" i="7"/>
  <c r="X16" i="7" s="1"/>
  <c r="V18" i="7"/>
  <c r="X18" i="8"/>
  <c r="X21" i="8" s="1"/>
  <c r="X22" i="8" s="1"/>
  <c r="V20" i="6"/>
  <c r="V13" i="6"/>
  <c r="V16" i="6" s="1"/>
  <c r="W20" i="6"/>
  <c r="X13" i="8"/>
  <c r="X16" i="8" s="1"/>
  <c r="H20" i="6"/>
  <c r="W13" i="6"/>
  <c r="W16" i="6" s="1"/>
  <c r="U18" i="8"/>
  <c r="H13" i="6"/>
  <c r="H16" i="6" s="1"/>
  <c r="W13" i="7"/>
  <c r="W16" i="7" s="1"/>
  <c r="W18" i="8"/>
  <c r="W21" i="8" s="1"/>
  <c r="W22" i="8" s="1"/>
  <c r="V13" i="8"/>
  <c r="V16" i="8" s="1"/>
  <c r="E20" i="6"/>
  <c r="E13" i="6"/>
  <c r="E16" i="6" s="1"/>
  <c r="I13" i="8"/>
  <c r="I16" i="8" s="1"/>
  <c r="I20" i="8"/>
  <c r="V13" i="7"/>
  <c r="V16" i="7" s="1"/>
  <c r="I18" i="7"/>
  <c r="I20" i="6"/>
  <c r="I13" i="6"/>
  <c r="I16" i="6" s="1"/>
  <c r="V20" i="7"/>
  <c r="V21" i="7" s="1"/>
  <c r="V22" i="7" s="1"/>
  <c r="T20" i="6"/>
  <c r="U13" i="7"/>
  <c r="U16" i="7" s="1"/>
  <c r="T13" i="6"/>
  <c r="T16" i="6" s="1"/>
  <c r="I13" i="7"/>
  <c r="I16" i="7" s="1"/>
  <c r="I20" i="7"/>
  <c r="I18" i="8"/>
  <c r="O18" i="7"/>
  <c r="O13" i="6"/>
  <c r="O16" i="6" s="1"/>
  <c r="O20" i="6"/>
  <c r="J13" i="8"/>
  <c r="J16" i="8" s="1"/>
  <c r="J20" i="8"/>
  <c r="U13" i="8"/>
  <c r="U16" i="8" s="1"/>
  <c r="J18" i="8"/>
  <c r="J21" i="8" s="1"/>
  <c r="J22" i="8" s="1"/>
  <c r="J13" i="7"/>
  <c r="J16" i="7" s="1"/>
  <c r="J20" i="7"/>
  <c r="O18" i="8"/>
  <c r="O13" i="7"/>
  <c r="O20" i="7"/>
  <c r="U20" i="6"/>
  <c r="O13" i="8"/>
  <c r="O16" i="8" s="1"/>
  <c r="O20" i="8"/>
  <c r="J13" i="6"/>
  <c r="J16" i="6" s="1"/>
  <c r="J18" i="7"/>
  <c r="J20" i="6"/>
  <c r="D21" i="8"/>
  <c r="D22" i="8" s="1"/>
  <c r="D21" i="7"/>
  <c r="D22" i="7" s="1"/>
  <c r="C21" i="7"/>
  <c r="C22" i="7" s="1"/>
  <c r="E21" i="7"/>
  <c r="E22" i="7" s="1"/>
  <c r="H21" i="7"/>
  <c r="H22" i="7" s="1"/>
  <c r="G21" i="7"/>
  <c r="G22" i="7" s="1"/>
  <c r="V21" i="8"/>
  <c r="V22" i="8" s="1"/>
  <c r="U21" i="8"/>
  <c r="U22" i="8" s="1"/>
  <c r="U21" i="7"/>
  <c r="U22" i="7" s="1"/>
  <c r="X21" i="7"/>
  <c r="X22" i="7" s="1"/>
  <c r="I79" i="10"/>
  <c r="M79" i="10" s="1"/>
  <c r="C21" i="8"/>
  <c r="C22" i="8" s="1"/>
  <c r="E21" i="8"/>
  <c r="E22" i="8" s="1"/>
  <c r="B21" i="7"/>
  <c r="B22" i="7" s="1"/>
  <c r="G21" i="8"/>
  <c r="G22" i="8" s="1"/>
  <c r="B21" i="8"/>
  <c r="B22" i="8" s="1"/>
  <c r="L21" i="7"/>
  <c r="L22" i="7" s="1"/>
  <c r="H21" i="8"/>
  <c r="H22" i="8" s="1"/>
  <c r="W21" i="7"/>
  <c r="W22" i="7" s="1"/>
  <c r="I44" i="10"/>
  <c r="M44" i="10" s="1"/>
  <c r="I42" i="10"/>
  <c r="M42" i="10" s="1"/>
  <c r="M22" i="10"/>
  <c r="J22" i="10"/>
  <c r="I57" i="10"/>
  <c r="I92" i="10"/>
  <c r="I18" i="10"/>
  <c r="F18" i="10"/>
  <c r="I9" i="10"/>
  <c r="M9" i="10" s="1"/>
  <c r="I8" i="10"/>
  <c r="M8" i="10" s="1"/>
  <c r="I7" i="10"/>
  <c r="M7" i="10" s="1"/>
  <c r="F104" i="10"/>
  <c r="J104" i="10" s="1"/>
  <c r="F69" i="10"/>
  <c r="J69" i="10" s="1"/>
  <c r="F34" i="10"/>
  <c r="J34" i="10" s="1"/>
  <c r="F7" i="10"/>
  <c r="I10" i="10"/>
  <c r="M10" i="10" s="1"/>
  <c r="F36" i="10"/>
  <c r="F106" i="10"/>
  <c r="F71" i="10"/>
  <c r="I71" i="10"/>
  <c r="I106" i="10"/>
  <c r="I36" i="10"/>
  <c r="I77" i="10"/>
  <c r="M77" i="10" s="1"/>
  <c r="I14" i="10"/>
  <c r="I68" i="10"/>
  <c r="I103" i="10"/>
  <c r="I33" i="10"/>
  <c r="F14" i="10"/>
  <c r="I70" i="10"/>
  <c r="I105" i="10"/>
  <c r="I35" i="10"/>
  <c r="F70" i="10"/>
  <c r="F105" i="10"/>
  <c r="F35" i="10"/>
  <c r="I80" i="10"/>
  <c r="I45" i="10"/>
  <c r="F15" i="10"/>
  <c r="M15" i="10"/>
  <c r="M94" i="10"/>
  <c r="M59" i="10"/>
  <c r="J9" i="10" l="1"/>
  <c r="O21" i="7"/>
  <c r="O22" i="7" s="1"/>
  <c r="I21" i="7"/>
  <c r="I22" i="7" s="1"/>
  <c r="O21" i="8"/>
  <c r="O22" i="8" s="1"/>
  <c r="J21" i="7"/>
  <c r="J22" i="7" s="1"/>
  <c r="I21" i="8"/>
  <c r="I22" i="8" s="1"/>
  <c r="O16" i="7"/>
  <c r="I93" i="10"/>
  <c r="M93" i="10" s="1"/>
  <c r="G23" i="8"/>
  <c r="B23" i="8"/>
  <c r="B23" i="7"/>
  <c r="H23" i="7"/>
  <c r="I88" i="10"/>
  <c r="M88" i="10" s="1"/>
  <c r="I53" i="10"/>
  <c r="M18" i="10"/>
  <c r="J18" i="10"/>
  <c r="M92" i="10"/>
  <c r="M57" i="10"/>
  <c r="J8" i="10"/>
  <c r="I78" i="10"/>
  <c r="M78" i="10" s="1"/>
  <c r="I43" i="10"/>
  <c r="M43" i="10" s="1"/>
  <c r="J10" i="10"/>
  <c r="M36" i="10"/>
  <c r="J36" i="10"/>
  <c r="M106" i="10"/>
  <c r="J106" i="10"/>
  <c r="M71" i="10"/>
  <c r="J71" i="10"/>
  <c r="J7" i="10"/>
  <c r="M70" i="10"/>
  <c r="J70" i="10"/>
  <c r="J15" i="10"/>
  <c r="M103" i="10"/>
  <c r="J103" i="10"/>
  <c r="M14" i="10"/>
  <c r="J14" i="10"/>
  <c r="I84" i="10"/>
  <c r="I49" i="10"/>
  <c r="M68" i="10"/>
  <c r="J68" i="10"/>
  <c r="M33" i="10"/>
  <c r="J33" i="10"/>
  <c r="M35" i="10"/>
  <c r="J35" i="10"/>
  <c r="M105" i="10"/>
  <c r="J105" i="10"/>
  <c r="M45" i="10"/>
  <c r="I50" i="10"/>
  <c r="I85" i="10"/>
  <c r="M80" i="10"/>
  <c r="M53" i="10" l="1"/>
  <c r="M49" i="10"/>
  <c r="M84" i="10"/>
  <c r="M85" i="10"/>
  <c r="I108" i="10"/>
  <c r="M50" i="10"/>
  <c r="M108" i="10" l="1"/>
  <c r="B10" i="3"/>
  <c r="B13" i="3" l="1"/>
  <c r="B18" i="6"/>
  <c r="B21" i="6" s="1"/>
  <c r="B22" i="6" s="1"/>
  <c r="B20" i="3"/>
  <c r="B21" i="3" l="1"/>
  <c r="B22" i="3" s="1"/>
  <c r="C7" i="10"/>
  <c r="G7" i="10" s="1"/>
  <c r="B16" i="3"/>
  <c r="F77" i="10" l="1"/>
  <c r="F42" i="10"/>
  <c r="C77" i="10"/>
  <c r="C42" i="10"/>
  <c r="N42" i="10" s="1"/>
  <c r="G42" i="10" l="1"/>
  <c r="J42" i="10"/>
  <c r="N77" i="10"/>
  <c r="G77" i="10"/>
  <c r="J77" i="10"/>
  <c r="Q10" i="3"/>
  <c r="M10" i="3"/>
  <c r="C10" i="3"/>
  <c r="D10" i="3"/>
  <c r="O10" i="3"/>
  <c r="E10" i="3"/>
  <c r="N10" i="3"/>
  <c r="H10" i="3"/>
  <c r="G10" i="3"/>
  <c r="X10" i="3"/>
  <c r="I10" i="3"/>
  <c r="S10" i="3"/>
  <c r="L10" i="3"/>
  <c r="J10" i="3"/>
  <c r="E13" i="3" l="1"/>
  <c r="E18" i="6"/>
  <c r="E21" i="6" s="1"/>
  <c r="E22" i="6" s="1"/>
  <c r="I13" i="3"/>
  <c r="I18" i="6"/>
  <c r="I21" i="6" s="1"/>
  <c r="I22" i="6" s="1"/>
  <c r="N13" i="3"/>
  <c r="N18" i="6"/>
  <c r="N21" i="6" s="1"/>
  <c r="N22" i="6" s="1"/>
  <c r="O13" i="3"/>
  <c r="C25" i="10" s="1"/>
  <c r="G25" i="10" s="1"/>
  <c r="O18" i="6"/>
  <c r="O21" i="6" s="1"/>
  <c r="O22" i="6" s="1"/>
  <c r="J18" i="6"/>
  <c r="J21" i="6" s="1"/>
  <c r="J22" i="6" s="1"/>
  <c r="J13" i="3"/>
  <c r="X13" i="3"/>
  <c r="W18" i="6"/>
  <c r="W21" i="6" s="1"/>
  <c r="W22" i="6" s="1"/>
  <c r="H13" i="3"/>
  <c r="C15" i="10" s="1"/>
  <c r="G15" i="10" s="1"/>
  <c r="H18" i="6"/>
  <c r="H21" i="6" s="1"/>
  <c r="H22" i="6" s="1"/>
  <c r="U21" i="6"/>
  <c r="U22" i="6" s="1"/>
  <c r="C23" i="10"/>
  <c r="G23" i="10" s="1"/>
  <c r="M18" i="6"/>
  <c r="M21" i="6" s="1"/>
  <c r="M22" i="6" s="1"/>
  <c r="M13" i="3"/>
  <c r="L13" i="3"/>
  <c r="C21" i="10" s="1"/>
  <c r="G21" i="10" s="1"/>
  <c r="L18" i="6"/>
  <c r="L21" i="6" s="1"/>
  <c r="L22" i="6" s="1"/>
  <c r="G13" i="3"/>
  <c r="C14" i="10" s="1"/>
  <c r="G14" i="10" s="1"/>
  <c r="G18" i="6"/>
  <c r="G21" i="6" s="1"/>
  <c r="G22" i="6" s="1"/>
  <c r="P18" i="6"/>
  <c r="P21" i="6" s="1"/>
  <c r="P22" i="6" s="1"/>
  <c r="Q13" i="3"/>
  <c r="C98" i="10" s="1"/>
  <c r="R18" i="6"/>
  <c r="R21" i="6" s="1"/>
  <c r="R22" i="6" s="1"/>
  <c r="S13" i="3"/>
  <c r="C64" i="10" s="1"/>
  <c r="N64" i="10" s="1"/>
  <c r="C18" i="6"/>
  <c r="C21" i="6" s="1"/>
  <c r="C22" i="6" s="1"/>
  <c r="C13" i="3"/>
  <c r="C8" i="10" s="1"/>
  <c r="G8" i="10" s="1"/>
  <c r="D18" i="6"/>
  <c r="D21" i="6" s="1"/>
  <c r="D22" i="6" s="1"/>
  <c r="D13" i="3"/>
  <c r="G20" i="3"/>
  <c r="G21" i="3" s="1"/>
  <c r="Q20" i="3"/>
  <c r="Q21" i="3" s="1"/>
  <c r="Q22" i="3" s="1"/>
  <c r="X20" i="3"/>
  <c r="C20" i="3"/>
  <c r="C21" i="3" s="1"/>
  <c r="C22" i="3" s="1"/>
  <c r="W10" i="3"/>
  <c r="S20" i="3"/>
  <c r="S21" i="3" s="1"/>
  <c r="S22" i="3" s="1"/>
  <c r="O20" i="3"/>
  <c r="N20" i="3"/>
  <c r="M20" i="3"/>
  <c r="M21" i="3" s="1"/>
  <c r="H20" i="3"/>
  <c r="E20" i="3"/>
  <c r="I20" i="3"/>
  <c r="D20" i="3"/>
  <c r="C10" i="10"/>
  <c r="G10" i="10" s="1"/>
  <c r="E16" i="3"/>
  <c r="J20" i="3"/>
  <c r="L20" i="3"/>
  <c r="G16" i="3" l="1"/>
  <c r="O16" i="3"/>
  <c r="Q16" i="3"/>
  <c r="C78" i="10"/>
  <c r="C63" i="10"/>
  <c r="N63" i="10" s="1"/>
  <c r="C34" i="10"/>
  <c r="G34" i="10" s="1"/>
  <c r="C28" i="10"/>
  <c r="G28" i="10" s="1"/>
  <c r="L16" i="3"/>
  <c r="C16" i="3"/>
  <c r="C68" i="10"/>
  <c r="T21" i="6"/>
  <c r="T22" i="6" s="1"/>
  <c r="C104" i="10"/>
  <c r="G104" i="10" s="1"/>
  <c r="V18" i="6"/>
  <c r="V21" i="6" s="1"/>
  <c r="V22" i="6" s="1"/>
  <c r="W13" i="3"/>
  <c r="C11" i="10"/>
  <c r="G11" i="10" s="1"/>
  <c r="C69" i="10"/>
  <c r="N69" i="10" s="1"/>
  <c r="C43" i="10"/>
  <c r="H16" i="3"/>
  <c r="H21" i="3"/>
  <c r="H22" i="3" s="1"/>
  <c r="C85" i="10" s="1"/>
  <c r="F78" i="10"/>
  <c r="G64" i="10"/>
  <c r="C29" i="10"/>
  <c r="G29" i="10" s="1"/>
  <c r="C99" i="10"/>
  <c r="G99" i="10" s="1"/>
  <c r="C106" i="10"/>
  <c r="C36" i="10"/>
  <c r="G36" i="10" s="1"/>
  <c r="X16" i="3"/>
  <c r="C71" i="10"/>
  <c r="W20" i="3"/>
  <c r="X21" i="3"/>
  <c r="X22" i="3" s="1"/>
  <c r="S16" i="3"/>
  <c r="C103" i="10"/>
  <c r="O21" i="3"/>
  <c r="N21" i="3"/>
  <c r="M16" i="3"/>
  <c r="C22" i="10"/>
  <c r="G22" i="10" s="1"/>
  <c r="N16" i="3"/>
  <c r="C24" i="10"/>
  <c r="G24" i="10" s="1"/>
  <c r="E21" i="3"/>
  <c r="N98" i="10"/>
  <c r="G98" i="10"/>
  <c r="I21" i="3"/>
  <c r="J21" i="3"/>
  <c r="C18" i="10"/>
  <c r="G18" i="10" s="1"/>
  <c r="J16" i="3"/>
  <c r="C16" i="10"/>
  <c r="G16" i="10" s="1"/>
  <c r="C9" i="10"/>
  <c r="G9" i="10" s="1"/>
  <c r="D16" i="3"/>
  <c r="C17" i="10"/>
  <c r="G17" i="10" s="1"/>
  <c r="I16" i="3"/>
  <c r="F94" i="10"/>
  <c r="F59" i="10"/>
  <c r="F50" i="10"/>
  <c r="F85" i="10"/>
  <c r="G22" i="3"/>
  <c r="C84" i="10" s="1"/>
  <c r="C49" i="10"/>
  <c r="C57" i="10"/>
  <c r="M22" i="3"/>
  <c r="C92" i="10" s="1"/>
  <c r="L21" i="3"/>
  <c r="F84" i="10"/>
  <c r="F49" i="10"/>
  <c r="F43" i="10"/>
  <c r="D21" i="3"/>
  <c r="G63" i="10" l="1"/>
  <c r="H23" i="6"/>
  <c r="B23" i="6"/>
  <c r="C33" i="10"/>
  <c r="G33" i="10" s="1"/>
  <c r="N104" i="10"/>
  <c r="G68" i="10"/>
  <c r="N68" i="10"/>
  <c r="G69" i="10"/>
  <c r="C50" i="10"/>
  <c r="N50" i="10" s="1"/>
  <c r="C30" i="10"/>
  <c r="G30" i="10" s="1"/>
  <c r="C100" i="10"/>
  <c r="C65" i="10"/>
  <c r="N99" i="10"/>
  <c r="W21" i="3"/>
  <c r="W22" i="3" s="1"/>
  <c r="C35" i="10"/>
  <c r="G35" i="10" s="1"/>
  <c r="C105" i="10"/>
  <c r="W16" i="3"/>
  <c r="C70" i="10"/>
  <c r="G71" i="10"/>
  <c r="N71" i="10"/>
  <c r="G106" i="10"/>
  <c r="N106" i="10"/>
  <c r="N103" i="10"/>
  <c r="G103" i="10"/>
  <c r="F60" i="10"/>
  <c r="J60" i="10" s="1"/>
  <c r="F95" i="10"/>
  <c r="J95" i="10" s="1"/>
  <c r="F58" i="10"/>
  <c r="J58" i="10" s="1"/>
  <c r="F93" i="10"/>
  <c r="J93" i="10" s="1"/>
  <c r="C60" i="10"/>
  <c r="O22" i="3"/>
  <c r="C95" i="10" s="1"/>
  <c r="F91" i="10"/>
  <c r="J91" i="10" s="1"/>
  <c r="F56" i="10"/>
  <c r="J56" i="10" s="1"/>
  <c r="F92" i="10"/>
  <c r="J92" i="10" s="1"/>
  <c r="F57" i="10"/>
  <c r="J57" i="10" s="1"/>
  <c r="C58" i="10"/>
  <c r="C93" i="10"/>
  <c r="C59" i="10"/>
  <c r="G59" i="10" s="1"/>
  <c r="N22" i="3"/>
  <c r="C94" i="10" s="1"/>
  <c r="N94" i="10" s="1"/>
  <c r="N85" i="10"/>
  <c r="F80" i="10"/>
  <c r="F45" i="10"/>
  <c r="C45" i="10"/>
  <c r="N45" i="10" s="1"/>
  <c r="E22" i="3"/>
  <c r="C80" i="10" s="1"/>
  <c r="J43" i="10"/>
  <c r="G43" i="10"/>
  <c r="N43" i="10"/>
  <c r="L22" i="3"/>
  <c r="C91" i="10" s="1"/>
  <c r="C56" i="10"/>
  <c r="F88" i="10"/>
  <c r="F53" i="10"/>
  <c r="N84" i="10"/>
  <c r="J49" i="10"/>
  <c r="G49" i="10"/>
  <c r="J59" i="10"/>
  <c r="C52" i="10"/>
  <c r="I22" i="3"/>
  <c r="C87" i="10" s="1"/>
  <c r="F51" i="10"/>
  <c r="F86" i="10"/>
  <c r="C51" i="10"/>
  <c r="C86" i="10"/>
  <c r="C53" i="10"/>
  <c r="J22" i="3"/>
  <c r="C88" i="10" s="1"/>
  <c r="J78" i="10"/>
  <c r="G78" i="10"/>
  <c r="G84" i="10"/>
  <c r="J84" i="10"/>
  <c r="J94" i="10"/>
  <c r="C46" i="10"/>
  <c r="C81" i="10"/>
  <c r="N49" i="10"/>
  <c r="D22" i="3"/>
  <c r="C44" i="10"/>
  <c r="N78" i="10"/>
  <c r="F46" i="10"/>
  <c r="F81" i="10"/>
  <c r="J85" i="10"/>
  <c r="G85" i="10"/>
  <c r="J50" i="10"/>
  <c r="F79" i="10"/>
  <c r="F44" i="10"/>
  <c r="G50" i="10" l="1"/>
  <c r="C79" i="10"/>
  <c r="N79" i="10" s="1"/>
  <c r="B23" i="3"/>
  <c r="H23" i="3"/>
  <c r="G65" i="10"/>
  <c r="N65" i="10"/>
  <c r="N100" i="10"/>
  <c r="G100" i="10"/>
  <c r="N51" i="10"/>
  <c r="N105" i="10"/>
  <c r="G105" i="10"/>
  <c r="N53" i="10"/>
  <c r="N70" i="10"/>
  <c r="G70" i="10"/>
  <c r="N44" i="10"/>
  <c r="N59" i="10"/>
  <c r="G57" i="10"/>
  <c r="G94" i="10"/>
  <c r="N80" i="10"/>
  <c r="N95" i="10"/>
  <c r="G95" i="10"/>
  <c r="N60" i="10"/>
  <c r="G60" i="10"/>
  <c r="G92" i="10"/>
  <c r="N58" i="10"/>
  <c r="G58" i="10"/>
  <c r="N92" i="10"/>
  <c r="N93" i="10"/>
  <c r="G93" i="10"/>
  <c r="N57" i="10"/>
  <c r="G45" i="10"/>
  <c r="J45" i="10"/>
  <c r="J80" i="10"/>
  <c r="G80" i="10"/>
  <c r="G51" i="10"/>
  <c r="J51" i="10"/>
  <c r="N86" i="10"/>
  <c r="G46" i="10"/>
  <c r="J46" i="10"/>
  <c r="N46" i="10"/>
  <c r="J86" i="10"/>
  <c r="G86" i="10"/>
  <c r="N81" i="10"/>
  <c r="N91" i="10"/>
  <c r="G91" i="10"/>
  <c r="G87" i="10"/>
  <c r="N87" i="10"/>
  <c r="G53" i="10"/>
  <c r="J53" i="10"/>
  <c r="J44" i="10"/>
  <c r="G44" i="10"/>
  <c r="N56" i="10"/>
  <c r="G56" i="10"/>
  <c r="G81" i="10"/>
  <c r="J81" i="10"/>
  <c r="N52" i="10"/>
  <c r="G52" i="10"/>
  <c r="J79" i="10"/>
  <c r="F108" i="10"/>
  <c r="C108" i="10"/>
  <c r="J88" i="10"/>
  <c r="G88" i="10"/>
  <c r="N88" i="10"/>
  <c r="G79" i="10" l="1"/>
  <c r="G108" i="10" s="1"/>
  <c r="N108" i="10"/>
  <c r="J10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Bill Michaud</author>
  </authors>
  <commentList>
    <comment ref="T3" authorId="0" shapeId="0" xr:uid="{00000000-0006-0000-0200-000001000000}">
      <text>
        <r>
          <rPr>
            <b/>
            <sz val="10"/>
            <color indexed="81"/>
            <rFont val="Tahoma"/>
            <family val="2"/>
          </rPr>
          <t>Bill Michaud:</t>
        </r>
        <r>
          <rPr>
            <sz val="10"/>
            <color indexed="81"/>
            <rFont val="Tahoma"/>
            <family val="2"/>
          </rPr>
          <t xml:space="preserve">
Counts spare pillows left in guest room for sofa sleepers.</t>
        </r>
      </text>
    </comment>
    <comment ref="W3" authorId="0" shapeId="0" xr:uid="{6C50B220-B77B-449F-873E-B898595479B2}">
      <text>
        <r>
          <rPr>
            <b/>
            <sz val="10"/>
            <color indexed="81"/>
            <rFont val="Tahoma"/>
            <family val="2"/>
          </rPr>
          <t>Bill Michaud:</t>
        </r>
        <r>
          <rPr>
            <sz val="10"/>
            <color indexed="81"/>
            <rFont val="Tahoma"/>
            <family val="2"/>
          </rPr>
          <t xml:space="preserve">
20 oz fill</t>
        </r>
      </text>
    </comment>
    <comment ref="A13" authorId="0" shapeId="0" xr:uid="{452B6615-B815-4515-B7B0-F6003047A539}">
      <text>
        <r>
          <rPr>
            <sz val="10"/>
            <rFont val="Arial"/>
            <family val="2"/>
          </rPr>
          <t xml:space="preserve">Bill Michaud:
The unit cost values only need to be input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Bill Michaud</author>
  </authors>
  <commentList>
    <comment ref="T4" authorId="0" shapeId="0" xr:uid="{00000000-0006-0000-0400-000003000000}">
      <text>
        <r>
          <rPr>
            <b/>
            <sz val="10"/>
            <color indexed="81"/>
            <rFont val="Tahoma"/>
            <family val="2"/>
          </rPr>
          <t>Bill Michaud:</t>
        </r>
        <r>
          <rPr>
            <sz val="10"/>
            <color indexed="81"/>
            <rFont val="Tahoma"/>
            <family val="2"/>
          </rPr>
          <t xml:space="preserve">
20 oz fill</t>
        </r>
      </text>
    </comment>
    <comment ref="AA17" authorId="0" shapeId="0" xr:uid="{6630DFAF-7D86-46A7-9E4C-F5396E8A6A64}">
      <text>
        <r>
          <rPr>
            <b/>
            <sz val="9"/>
            <color indexed="81"/>
            <rFont val="Tahoma"/>
            <family val="2"/>
          </rPr>
          <t>Bill Michaud:</t>
        </r>
        <r>
          <rPr>
            <sz val="9"/>
            <color indexed="81"/>
            <rFont val="Tahoma"/>
            <family val="2"/>
          </rPr>
          <t xml:space="preserve">
Includes 1 extra soft pillow per room w/ a sofa sleeper
</t>
        </r>
      </text>
    </comment>
    <comment ref="AD17" authorId="0" shapeId="0" xr:uid="{E3DAB5DA-C4FE-421F-B448-C515B2F2AA6D}">
      <text>
        <r>
          <rPr>
            <b/>
            <sz val="9"/>
            <color indexed="81"/>
            <rFont val="Tahoma"/>
            <family val="2"/>
          </rPr>
          <t>Bill Michaud:</t>
        </r>
        <r>
          <rPr>
            <sz val="9"/>
            <color indexed="81"/>
            <rFont val="Tahoma"/>
            <family val="2"/>
          </rPr>
          <t xml:space="preserve">
Account sor shower curtains only in Qeen rooms.   </t>
        </r>
      </text>
    </comment>
    <comment ref="AD20" authorId="0" shapeId="0" xr:uid="{A46B5069-E51B-4674-BE64-EA9B7415B147}">
      <text>
        <r>
          <rPr>
            <b/>
            <sz val="9"/>
            <color indexed="81"/>
            <rFont val="Tahoma"/>
            <family val="2"/>
          </rPr>
          <t>Bill Michaud:</t>
        </r>
        <r>
          <rPr>
            <sz val="9"/>
            <color indexed="81"/>
            <rFont val="Tahoma"/>
            <family val="2"/>
          </rPr>
          <t xml:space="preserve">
Formula accounts for shower curtains only in QQ rooms
</t>
        </r>
      </text>
    </comment>
    <comment ref="AG20" authorId="0" shapeId="0" xr:uid="{06A94786-F012-4E1A-A0D4-2AA96E8007C8}">
      <text>
        <r>
          <rPr>
            <b/>
            <sz val="9"/>
            <color indexed="81"/>
            <rFont val="Tahoma"/>
            <family val="2"/>
          </rPr>
          <t>Bill Michaud:</t>
        </r>
        <r>
          <rPr>
            <sz val="9"/>
            <color indexed="81"/>
            <rFont val="Tahoma"/>
            <family val="2"/>
          </rPr>
          <t xml:space="preserve">
Should be approximately 1 per built room in the hotel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Bill Michaud</author>
  </authors>
  <commentList>
    <comment ref="V5" authorId="0" shapeId="0" xr:uid="{75586EFF-394E-4EE0-8A6F-B24387344459}">
      <text>
        <r>
          <rPr>
            <b/>
            <sz val="10"/>
            <color indexed="81"/>
            <rFont val="Tahoma"/>
            <family val="2"/>
          </rPr>
          <t>Bill Michaud:</t>
        </r>
        <r>
          <rPr>
            <sz val="10"/>
            <color indexed="81"/>
            <rFont val="Tahoma"/>
            <family val="2"/>
          </rPr>
          <t xml:space="preserve">
20 oz fill</t>
        </r>
      </text>
    </comment>
    <comment ref="L7" authorId="0" shapeId="0" xr:uid="{65451AB3-B1B4-4ECA-8661-B0D8A7560CFF}">
      <text>
        <r>
          <rPr>
            <sz val="10"/>
            <rFont val="Arial"/>
          </rPr>
          <t>Bill Michaud:
Includes 1 ea for the bed in a bag x the qty of queen sofa sleepers</t>
        </r>
      </text>
    </comment>
    <comment ref="M7" authorId="0" shapeId="0" xr:uid="{5EE68B38-1F02-4C7E-8184-20771DB2E1BE}">
      <text>
        <r>
          <rPr>
            <sz val="10"/>
            <rFont val="Arial"/>
          </rPr>
          <t>Bill Michaud:
Includes 1 ea for the bed in a bag x the qty of queen sofa sleepers</t>
        </r>
      </text>
    </comment>
    <comment ref="X7" authorId="0" shapeId="0" xr:uid="{92836DC0-CF88-421E-9C85-95388A56ABD3}">
      <text>
        <r>
          <rPr>
            <b/>
            <sz val="9"/>
            <color indexed="81"/>
            <rFont val="Tahoma"/>
            <family val="2"/>
          </rPr>
          <t>Bill Michaud:</t>
        </r>
        <r>
          <rPr>
            <sz val="9"/>
            <color indexed="81"/>
            <rFont val="Tahoma"/>
            <family val="2"/>
          </rPr>
          <t xml:space="preserve">
Includes 1 extra pillow in each room with a sofa sleeper</t>
        </r>
      </text>
    </comment>
    <comment ref="A8" authorId="0" shapeId="0" xr:uid="{854523F8-A6A6-495D-9215-B467068F1863}">
      <text>
        <r>
          <rPr>
            <sz val="10"/>
            <rFont val="Arial"/>
            <family val="2"/>
          </rPr>
          <t xml:space="preserve">Bill Michaud:
Identify your storage closets accurately and re-name your carts on this tab and they will copy to the other quarterly tabs
</t>
        </r>
      </text>
    </comment>
    <comment ref="L12" authorId="0" shapeId="0" xr:uid="{55B51989-FAF9-470A-9F49-8EB417C2F0D9}">
      <text>
        <r>
          <rPr>
            <sz val="10"/>
            <rFont val="Arial"/>
          </rPr>
          <t>Bill Michaud:
Includes 2.5 par x queen beds plus 1x par for sofa sleepers</t>
        </r>
      </text>
    </comment>
    <comment ref="M12" authorId="0" shapeId="0" xr:uid="{9F9349CB-C5E1-4A15-BC28-DB9E38956BB2}">
      <text>
        <r>
          <rPr>
            <sz val="10"/>
            <rFont val="Arial"/>
          </rPr>
          <t>Bill Michaud:
Includes 2.5 par x queen beds plus 1x par for sofa sleepers</t>
        </r>
      </text>
    </comment>
    <comment ref="A18" authorId="0" shapeId="0" xr:uid="{00000000-0006-0000-0500-000004000000}">
      <text>
        <r>
          <rPr>
            <b/>
            <sz val="10"/>
            <color indexed="81"/>
            <rFont val="Tahoma"/>
            <family val="2"/>
          </rPr>
          <t>Bill Michaud:</t>
        </r>
        <r>
          <rPr>
            <sz val="10"/>
            <color indexed="81"/>
            <rFont val="Tahoma"/>
            <family val="2"/>
          </rPr>
          <t xml:space="preserve">
Enter the Ending inventory value from the Dec 31st worksheet of the prior year.</t>
        </r>
      </text>
    </comment>
    <comment ref="A19" authorId="0" shapeId="0" xr:uid="{7660AC22-C9A0-42A0-A72D-E5C485C5F7B8}">
      <text>
        <r>
          <rPr>
            <sz val="10"/>
            <rFont val="Arial"/>
            <family val="2"/>
          </rPr>
          <t xml:space="preserve">Bill Michaud:
Value feeds from purchases log -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Bill Michaud</author>
  </authors>
  <commentList>
    <comment ref="T5" authorId="0" shapeId="0" xr:uid="{679D6310-C9D1-457E-920A-8EF7F955C223}">
      <text>
        <r>
          <rPr>
            <b/>
            <sz val="10"/>
            <color indexed="81"/>
            <rFont val="Tahoma"/>
            <family val="2"/>
          </rPr>
          <t>Bill Michaud:</t>
        </r>
        <r>
          <rPr>
            <sz val="10"/>
            <color indexed="81"/>
            <rFont val="Tahoma"/>
            <family val="2"/>
          </rPr>
          <t xml:space="preserve">
26 oz fill</t>
        </r>
      </text>
    </comment>
    <comment ref="U5" authorId="0" shapeId="0" xr:uid="{775DDA53-3D48-4730-AB92-A05DCC1194EB}">
      <text>
        <r>
          <rPr>
            <b/>
            <sz val="10"/>
            <color indexed="81"/>
            <rFont val="Tahoma"/>
            <family val="2"/>
          </rPr>
          <t>Bill Michaud:</t>
        </r>
        <r>
          <rPr>
            <sz val="10"/>
            <color indexed="81"/>
            <rFont val="Tahoma"/>
            <family val="2"/>
          </rPr>
          <t xml:space="preserve">
20 oz fill</t>
        </r>
      </text>
    </comment>
    <comment ref="A8" authorId="0" shapeId="0" xr:uid="{B397BEFB-58A6-408B-8892-5FCBC10F0B78}">
      <text>
        <r>
          <rPr>
            <sz val="10"/>
            <rFont val="Arial"/>
            <family val="2"/>
          </rPr>
          <t xml:space="preserve">Bill Michaud:
Identify your storage closets accurately and re-name your carts on this tab and they will copy to the other quarterly tabs
</t>
        </r>
      </text>
    </comment>
    <comment ref="A18" authorId="0" shapeId="0" xr:uid="{88B37011-5191-43AB-AC87-DB5BC2678EA6}">
      <text>
        <r>
          <rPr>
            <b/>
            <sz val="10"/>
            <color indexed="81"/>
            <rFont val="Tahoma"/>
            <family val="2"/>
          </rPr>
          <t>Bill Michaud:</t>
        </r>
        <r>
          <rPr>
            <sz val="10"/>
            <color indexed="81"/>
            <rFont val="Tahoma"/>
            <family val="2"/>
          </rPr>
          <t xml:space="preserve">
Enter the Ending inventory value from the Dec 31st worksheet of the prior year.</t>
        </r>
      </text>
    </comment>
    <comment ref="A19" authorId="0" shapeId="0" xr:uid="{29E284D7-E390-4789-BC64-434A9776B04A}">
      <text>
        <r>
          <rPr>
            <sz val="10"/>
            <rFont val="Arial"/>
            <family val="2"/>
          </rPr>
          <t xml:space="preserve">Bill Michaud:
Value feeds from purchases log -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Bill Michaud</author>
  </authors>
  <commentList>
    <comment ref="U5" authorId="0" shapeId="0" xr:uid="{FE64CBC7-BAED-405E-BA78-0A2A0A253168}">
      <text>
        <r>
          <rPr>
            <b/>
            <sz val="10"/>
            <color indexed="81"/>
            <rFont val="Tahoma"/>
            <family val="2"/>
          </rPr>
          <t>Bill Michaud:</t>
        </r>
        <r>
          <rPr>
            <sz val="10"/>
            <color indexed="81"/>
            <rFont val="Tahoma"/>
            <family val="2"/>
          </rPr>
          <t xml:space="preserve">
26 oz fill</t>
        </r>
      </text>
    </comment>
    <comment ref="V5" authorId="0" shapeId="0" xr:uid="{7B4B8392-FF50-4811-8451-FC3117286117}">
      <text>
        <r>
          <rPr>
            <b/>
            <sz val="10"/>
            <color indexed="81"/>
            <rFont val="Tahoma"/>
            <family val="2"/>
          </rPr>
          <t>Bill Michaud:</t>
        </r>
        <r>
          <rPr>
            <sz val="10"/>
            <color indexed="81"/>
            <rFont val="Tahoma"/>
            <family val="2"/>
          </rPr>
          <t xml:space="preserve">
20 oz fill</t>
        </r>
      </text>
    </comment>
    <comment ref="A18" authorId="0" shapeId="0" xr:uid="{8C1E7C8C-E205-45A5-A5FD-2561604D3540}">
      <text>
        <r>
          <rPr>
            <b/>
            <sz val="10"/>
            <color indexed="81"/>
            <rFont val="Tahoma"/>
            <family val="2"/>
          </rPr>
          <t>Bill Michaud:</t>
        </r>
        <r>
          <rPr>
            <sz val="10"/>
            <color indexed="81"/>
            <rFont val="Tahoma"/>
            <family val="2"/>
          </rPr>
          <t xml:space="preserve">
Enter the Ending inventory value from the Dec 31st worksheet of the prior year.</t>
        </r>
      </text>
    </comment>
    <comment ref="A19" authorId="0" shapeId="0" xr:uid="{15BD1DD1-BA01-42C0-BE4C-23336E3686A7}">
      <text>
        <r>
          <rPr>
            <sz val="10"/>
            <rFont val="Arial"/>
            <family val="2"/>
          </rPr>
          <t xml:space="preserve">Bill Michaud:
Value feeds from purchases log -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Bill Michaud</author>
  </authors>
  <commentList>
    <comment ref="U5" authorId="0" shapeId="0" xr:uid="{BF904BF5-6E08-4D0E-8690-AAFE3D32401E}">
      <text>
        <r>
          <rPr>
            <b/>
            <sz val="10"/>
            <color indexed="81"/>
            <rFont val="Tahoma"/>
            <family val="2"/>
          </rPr>
          <t>Bill Michaud:</t>
        </r>
        <r>
          <rPr>
            <sz val="10"/>
            <color indexed="81"/>
            <rFont val="Tahoma"/>
            <family val="2"/>
          </rPr>
          <t xml:space="preserve">
26 oz fill</t>
        </r>
      </text>
    </comment>
    <comment ref="V5" authorId="0" shapeId="0" xr:uid="{E2972033-449C-4B0E-8669-F615FE99670F}">
      <text>
        <r>
          <rPr>
            <b/>
            <sz val="10"/>
            <color indexed="81"/>
            <rFont val="Tahoma"/>
            <family val="2"/>
          </rPr>
          <t>Bill Michaud:</t>
        </r>
        <r>
          <rPr>
            <sz val="10"/>
            <color indexed="81"/>
            <rFont val="Tahoma"/>
            <family val="2"/>
          </rPr>
          <t xml:space="preserve">
20 oz fill</t>
        </r>
      </text>
    </comment>
    <comment ref="A8" authorId="0" shapeId="0" xr:uid="{5C9E9C33-F5E7-4BEC-9E19-7F3C42B56A23}">
      <text>
        <r>
          <rPr>
            <sz val="10"/>
            <rFont val="Arial"/>
            <family val="2"/>
          </rPr>
          <t xml:space="preserve">Bill Michaud:
Identify your storage closets accurately and re-name your carts on this tab and they will copy to the other quarterly tabs
</t>
        </r>
      </text>
    </comment>
    <comment ref="A18" authorId="0" shapeId="0" xr:uid="{4D6B2F13-D3A0-4BF9-B209-37367A3798FA}">
      <text>
        <r>
          <rPr>
            <b/>
            <sz val="10"/>
            <color indexed="81"/>
            <rFont val="Tahoma"/>
            <family val="2"/>
          </rPr>
          <t>Bill Michaud:</t>
        </r>
        <r>
          <rPr>
            <sz val="10"/>
            <color indexed="81"/>
            <rFont val="Tahoma"/>
            <family val="2"/>
          </rPr>
          <t xml:space="preserve">
Enter the Ending inventory value from the Dec 31st worksheet of the prior year.</t>
        </r>
      </text>
    </comment>
    <comment ref="A19" authorId="0" shapeId="0" xr:uid="{01187A21-9AE8-40FA-8F3D-D94AF9F3F245}">
      <text>
        <r>
          <rPr>
            <sz val="10"/>
            <rFont val="Arial"/>
            <family val="2"/>
          </rPr>
          <t xml:space="preserve">Bill Michaud:
Value feeds from purchases log - </t>
        </r>
      </text>
    </comment>
  </commentList>
</comments>
</file>

<file path=xl/sharedStrings.xml><?xml version="1.0" encoding="utf-8"?>
<sst xmlns="http://schemas.openxmlformats.org/spreadsheetml/2006/main" count="456" uniqueCount="236">
  <si>
    <t>Follow these simple steps to set up your hotel &amp; use the easy linen inventory workbook.</t>
  </si>
  <si>
    <t>Begin by completing the Hotel Set Up page.</t>
  </si>
  <si>
    <t>1st, enter your room type counts. This can be obtained from your hotel property management system.</t>
  </si>
  <si>
    <t>2nd, enter your desired level of PAR. This is the number of turns you of linen you will need. Remember, higher PAR levels = longer linen life &amp;</t>
  </si>
  <si>
    <t>Less loss of productivity for the department.</t>
  </si>
  <si>
    <r>
      <t xml:space="preserve">3rd, enter the number of  </t>
    </r>
    <r>
      <rPr>
        <b/>
        <sz val="10"/>
        <rFont val="Arial"/>
        <family val="2"/>
      </rPr>
      <t>FLAT</t>
    </r>
    <r>
      <rPr>
        <sz val="10"/>
        <rFont val="Arial"/>
        <family val="2"/>
      </rPr>
      <t xml:space="preserve"> sheets used per made bed. Do this for both KNG &amp; TDB.</t>
    </r>
  </si>
  <si>
    <r>
      <t xml:space="preserve">Are you using </t>
    </r>
    <r>
      <rPr>
        <b/>
        <sz val="10"/>
        <rFont val="Arial"/>
        <family val="2"/>
      </rPr>
      <t>FITTED</t>
    </r>
    <r>
      <rPr>
        <sz val="10"/>
        <rFont val="Arial"/>
        <family val="2"/>
      </rPr>
      <t xml:space="preserve"> sheets? If so, indicate it. The worksheet will calculate these totals for you as well.</t>
    </r>
  </si>
  <si>
    <t>4th, don't forget the sofa sleeper counts!!</t>
  </si>
  <si>
    <t>The second step in setting up the worksheet is to proceed to the tab titled "Total Linen March 31st".</t>
  </si>
  <si>
    <r>
      <rPr>
        <sz val="10"/>
        <rFont val="Arial"/>
        <family val="2"/>
      </rPr>
      <t xml:space="preserve">Enter the </t>
    </r>
    <r>
      <rPr>
        <b/>
        <sz val="10"/>
        <rFont val="Arial"/>
        <family val="2"/>
      </rPr>
      <t xml:space="preserve">COST PER UNIT </t>
    </r>
    <r>
      <rPr>
        <sz val="10"/>
        <rFont val="Arial"/>
        <family val="2"/>
      </rPr>
      <t xml:space="preserve">for each linen item on the </t>
    </r>
    <r>
      <rPr>
        <b/>
        <sz val="10"/>
        <rFont val="Arial"/>
        <family val="2"/>
      </rPr>
      <t>Total Linen</t>
    </r>
    <r>
      <rPr>
        <sz val="10"/>
        <rFont val="Arial"/>
        <family val="2"/>
      </rPr>
      <t xml:space="preserve"> form. This will allow the form to calculate the value of your inventory</t>
    </r>
  </si>
  <si>
    <t xml:space="preserve"> and how much the needed linen will cost.  You can only do this on the March 31st worksheet.    The price per item will copy  to each</t>
  </si>
  <si>
    <t xml:space="preserve"> of the following quarters and remain consistent for the entire year.  Even though prices may fluctuate throughout the year, we do not </t>
  </si>
  <si>
    <t>want our inventory values to shrink or grow based on price changes.</t>
  </si>
  <si>
    <t>To complete the setup of the inventory worksheet go to the tab titled "Storage Worksheet".</t>
  </si>
  <si>
    <r>
      <t>Prepare</t>
    </r>
    <r>
      <rPr>
        <sz val="10"/>
        <rFont val="Arial"/>
        <family val="2"/>
      </rPr>
      <t xml:space="preserve"> the </t>
    </r>
    <r>
      <rPr>
        <b/>
        <sz val="10"/>
        <rFont val="Arial"/>
        <family val="2"/>
      </rPr>
      <t>Storage Worksheet</t>
    </r>
    <r>
      <rPr>
        <sz val="10"/>
        <rFont val="Arial"/>
        <family val="2"/>
      </rPr>
      <t xml:space="preserve"> by entering the names or numbers of the different storage facilities on the left hand side.   This form will</t>
    </r>
  </si>
  <si>
    <r>
      <t xml:space="preserve"> add up the linen counts entered for the various storage facilities &amp; transfer the totals to the </t>
    </r>
    <r>
      <rPr>
        <b/>
        <sz val="10"/>
        <rFont val="Arial"/>
        <family val="2"/>
      </rPr>
      <t>Total Linen</t>
    </r>
    <r>
      <rPr>
        <sz val="10"/>
        <rFont val="Arial"/>
        <family val="2"/>
      </rPr>
      <t xml:space="preserve"> page of the workbook.</t>
    </r>
  </si>
  <si>
    <t xml:space="preserve">Use this form to ensure that each of the storage closets are counted each quarter and to tally the total linen in storage value for the total </t>
  </si>
  <si>
    <t>linen worksheet.</t>
  </si>
  <si>
    <t>This completes the setup process for the Linen Inventory Worksheet.</t>
  </si>
  <si>
    <t>Using the "Save As" function, save your Linen Worksheet using the file naming format</t>
  </si>
  <si>
    <t>LinenInventory_PropertyName_Year</t>
  </si>
  <si>
    <t>It will be very important for you to record all purchases into the Purchase Log form.  Failure to do this will result in a lot of work later.</t>
  </si>
  <si>
    <t>Each quarters totals will be added to the Total Linen worksheet for the respective quarter as you enter purchase quantities into .</t>
  </si>
  <si>
    <t>the "Purchase Log"</t>
  </si>
  <si>
    <t>The Inventory Process</t>
  </si>
  <si>
    <r>
      <rPr>
        <b/>
        <sz val="10"/>
        <rFont val="Arial"/>
        <family val="2"/>
      </rPr>
      <t xml:space="preserve">Print </t>
    </r>
    <r>
      <rPr>
        <sz val="10"/>
        <rFont val="Arial"/>
        <family val="2"/>
      </rPr>
      <t xml:space="preserve">the </t>
    </r>
    <r>
      <rPr>
        <b/>
        <sz val="10"/>
        <rFont val="Arial"/>
        <family val="2"/>
      </rPr>
      <t>Storage Count Form</t>
    </r>
    <r>
      <rPr>
        <sz val="10"/>
        <rFont val="Arial"/>
        <family val="2"/>
      </rPr>
      <t xml:space="preserve">. Make as many copies of this form as needed &amp; distribute to counters/room attendants. This where they </t>
    </r>
  </si>
  <si>
    <r>
      <t xml:space="preserve">should record the linen counts from each storage room. Since the form is similar to the </t>
    </r>
    <r>
      <rPr>
        <b/>
        <sz val="10"/>
        <rFont val="Arial"/>
        <family val="2"/>
      </rPr>
      <t>Storage Worksheet</t>
    </r>
    <r>
      <rPr>
        <sz val="10"/>
        <rFont val="Arial"/>
        <family val="2"/>
      </rPr>
      <t>, it will make input of these totals simple.</t>
    </r>
  </si>
  <si>
    <r>
      <t xml:space="preserve">Using the </t>
    </r>
    <r>
      <rPr>
        <b/>
        <sz val="10"/>
        <rFont val="Arial"/>
        <family val="2"/>
      </rPr>
      <t>Storage Count Form</t>
    </r>
    <r>
      <rPr>
        <sz val="10"/>
        <rFont val="Arial"/>
        <family val="2"/>
      </rPr>
      <t xml:space="preserve"> and entering it on the Storage Worksheet will be easier than entering it directly on the Total Linen page. </t>
    </r>
  </si>
  <si>
    <t>Once all storage areas have been counted, enter the values from each Storage Count Form into the worksheet titled "Storage Worksheet"</t>
  </si>
  <si>
    <t>Once all of the Storage Count Forms have been entered, enter the numbers from the total line on the Storage Worksheet into line 5 titled</t>
  </si>
  <si>
    <t>"in storage" on the "Total Linen" worksheet for the appropriate quarter.  Before the worksheet will allow you to enter any values, it will ask</t>
  </si>
  <si>
    <t xml:space="preserve"> you for a password.  The password for all cells that you are allowed to modify is "hotel" (enter it without the quotation marks).</t>
  </si>
  <si>
    <t>You are not</t>
  </si>
  <si>
    <t>allowed to modify certain cells, so if your "hotel" password doesn't work, you're trying to type into a cell that's protected.  If you identify a formula</t>
  </si>
  <si>
    <t>problem in the worksheet, call me and I will fix it for you.</t>
  </si>
  <si>
    <t xml:space="preserve">The only totals left for input are the dirty counts in laundry and clean laundry on carts.  Count those items and enter them into line 6 titled "Laundry" </t>
  </si>
  <si>
    <t>on the quarterly "Total Linen" worksheet.</t>
  </si>
  <si>
    <t>Once this is done, your inventory process is complete.</t>
  </si>
  <si>
    <t>It is important to know that you are only allowed to modify the yellow colored cells.  All of the other cells are protected</t>
  </si>
  <si>
    <t xml:space="preserve">  with a different password.  If you need to change other cells anywhere else in the worksheet, contact Bill Michaud.</t>
  </si>
  <si>
    <t>Review the Results</t>
  </si>
  <si>
    <t xml:space="preserve">Once you have completed the worksheet, review the shortage lines.  </t>
  </si>
  <si>
    <t>Look for significant shortages that didn't exist in the prior quarter.</t>
  </si>
  <si>
    <t>How confident are you that every purchase invoice was entered?</t>
  </si>
  <si>
    <t>Double check this if cells turned red on the worksheet.</t>
  </si>
  <si>
    <t>Print a copy of this worksheet for regular use in determining your ongoing purchasing needs.</t>
  </si>
  <si>
    <t>Make a plan to reduce loss so that purchases grow the inventory closer to PAR rather than</t>
  </si>
  <si>
    <t>just replace discarded and lost linen.</t>
  </si>
  <si>
    <t>Submit the "Total Linen" worksheet for the quarter you are reporting for to the General Manager by the 5th day after the end of the quarter.</t>
  </si>
  <si>
    <t>Enter Property Name and other Details in the Hotel Setup Tab</t>
  </si>
  <si>
    <t>Room Type Counts</t>
  </si>
  <si>
    <t>password = hotel</t>
  </si>
  <si>
    <t>1st</t>
  </si>
  <si>
    <t>Type</t>
  </si>
  <si>
    <t>Qty</t>
  </si>
  <si>
    <t>2nd</t>
  </si>
  <si>
    <t>3rd</t>
  </si>
  <si>
    <t>Room Types w/  1 King bed</t>
  </si>
  <si>
    <t>KNG</t>
  </si>
  <si>
    <t>Enter desired PAR</t>
  </si>
  <si>
    <t>How many flat sheets</t>
  </si>
  <si>
    <t xml:space="preserve"> </t>
  </si>
  <si>
    <t>Pillows per bed</t>
  </si>
  <si>
    <t>NK</t>
  </si>
  <si>
    <t>level below:</t>
  </si>
  <si>
    <t>per bed ?</t>
  </si>
  <si>
    <t>soft</t>
  </si>
  <si>
    <t>firm</t>
  </si>
  <si>
    <t>HNK1</t>
  </si>
  <si>
    <t>(e.g. 2.5 or 3 turns)</t>
  </si>
  <si>
    <t>(triple sheet?)</t>
  </si>
  <si>
    <t>SHNK</t>
  </si>
  <si>
    <t>Linens</t>
  </si>
  <si>
    <t>QQ</t>
  </si>
  <si>
    <t>Pillows &amp; Blankets</t>
  </si>
  <si>
    <t>Room Types w/ 2 Queen beds</t>
  </si>
  <si>
    <t>And Bath Linen ?</t>
  </si>
  <si>
    <t>HNQQ</t>
  </si>
  <si>
    <t>Count per room:</t>
  </si>
  <si>
    <t>Kings</t>
  </si>
  <si>
    <t>Queens</t>
  </si>
  <si>
    <t>Hand</t>
  </si>
  <si>
    <t>Bath</t>
  </si>
  <si>
    <t>Facial</t>
  </si>
  <si>
    <t>TTL King</t>
  </si>
  <si>
    <t>4th</t>
  </si>
  <si>
    <t>Set Contents</t>
  </si>
  <si>
    <t>TTL QQ</t>
  </si>
  <si>
    <t>Don't forget Sofa Sleepers!! How many ?</t>
  </si>
  <si>
    <t>King</t>
  </si>
  <si>
    <t>Queen</t>
  </si>
  <si>
    <t>Queent Fitted</t>
  </si>
  <si>
    <t>Flat</t>
  </si>
  <si>
    <t>TTL Count</t>
  </si>
  <si>
    <t>Queen Flat</t>
  </si>
  <si>
    <t>Fitted</t>
  </si>
  <si>
    <t>Should be equal to the total                  room count for your hotel</t>
  </si>
  <si>
    <t>Cribs</t>
  </si>
  <si>
    <t>Rollaways</t>
  </si>
  <si>
    <t>Blanket</t>
  </si>
  <si>
    <t>Firm Case</t>
  </si>
  <si>
    <t>Pillow Case</t>
  </si>
  <si>
    <t>Soft Case</t>
  </si>
  <si>
    <t>Bath Linen</t>
  </si>
  <si>
    <t>Full / Sofa Sleepers</t>
  </si>
  <si>
    <t>Pillow Cases</t>
  </si>
  <si>
    <t>Month of Invoice Date</t>
  </si>
  <si>
    <t>Invoice Number</t>
  </si>
  <si>
    <t>Wash</t>
  </si>
  <si>
    <t xml:space="preserve">Bath </t>
  </si>
  <si>
    <t>Flat Sheet</t>
  </si>
  <si>
    <t>Fitted Sheet</t>
  </si>
  <si>
    <t>Duvet / Blanket</t>
  </si>
  <si>
    <t>Duvet Cover / Top Spread</t>
  </si>
  <si>
    <t>Flat Sheets</t>
  </si>
  <si>
    <t>Fitted Sheets</t>
  </si>
  <si>
    <t>Blankets</t>
  </si>
  <si>
    <t>King Firm Pillow Cases</t>
  </si>
  <si>
    <t>King Soft Pillow Cases</t>
  </si>
  <si>
    <t>Queen Firm Pillow Cases</t>
  </si>
  <si>
    <t>Queen Soft Pillow Cases</t>
  </si>
  <si>
    <t>Clothes</t>
  </si>
  <si>
    <t>Towels</t>
  </si>
  <si>
    <t>Mats</t>
  </si>
  <si>
    <t>Quarter 1 Total</t>
  </si>
  <si>
    <t>Quarter 2 Total</t>
  </si>
  <si>
    <t>Quarter 3 Total</t>
  </si>
  <si>
    <t>Quarter 4 Total</t>
  </si>
  <si>
    <t>Total Annual Purchases</t>
  </si>
  <si>
    <t>Unit Cost</t>
  </si>
  <si>
    <t>Annual Spend</t>
  </si>
  <si>
    <t>Approximated annual linen expenditure</t>
  </si>
  <si>
    <t>Storage Count Form</t>
  </si>
  <si>
    <t>Rotational linen</t>
  </si>
  <si>
    <t>print on legal paper to include the "Other Items" section on the page.</t>
  </si>
  <si>
    <t>Non-rotational items</t>
  </si>
  <si>
    <t>Other Items</t>
  </si>
  <si>
    <t>Wash Cloths</t>
  </si>
  <si>
    <t>Hand Towels</t>
  </si>
  <si>
    <t>Bath Towels</t>
  </si>
  <si>
    <t>Bath Mats</t>
  </si>
  <si>
    <t>King   Sets</t>
  </si>
  <si>
    <t>Queen Sets</t>
  </si>
  <si>
    <t>King Firm Pillows</t>
  </si>
  <si>
    <t>King Soft Pillows</t>
  </si>
  <si>
    <t>Queen Firm Pillows</t>
  </si>
  <si>
    <t>Queen Soft Pillows</t>
  </si>
  <si>
    <t>King Mattress Pads</t>
  </si>
  <si>
    <t>Queen Mattress Pads</t>
  </si>
  <si>
    <t>Shower Curtains</t>
  </si>
  <si>
    <t>Rollaway Sets</t>
  </si>
  <si>
    <t>Crib Sets</t>
  </si>
  <si>
    <t>Pool Towels</t>
  </si>
  <si>
    <t>Laundry Room</t>
  </si>
  <si>
    <t>2nd Floor Closet</t>
  </si>
  <si>
    <t>3rd Floor Closet</t>
  </si>
  <si>
    <t>Cart 1</t>
  </si>
  <si>
    <t>Cart 2</t>
  </si>
  <si>
    <t>Cart 3</t>
  </si>
  <si>
    <t>Cart 4</t>
  </si>
  <si>
    <t>Pool</t>
  </si>
  <si>
    <t>Fitness Center</t>
  </si>
  <si>
    <t>Totals</t>
  </si>
  <si>
    <t>Counts for the sets are formulated to be added into the itemized columns for the set contents based upon the details in the Hotel Set Up tab.   You will not enter sets into the quarterly sheets.</t>
  </si>
  <si>
    <t>Number in rooms</t>
  </si>
  <si>
    <t>Total Count</t>
  </si>
  <si>
    <t>Supervisor Responsible for Count</t>
  </si>
  <si>
    <t>1)   Ensure all areas of the hotel where linen needs to be counted are identified  in column A.</t>
  </si>
  <si>
    <t>Other Items Par Levels</t>
  </si>
  <si>
    <t>2)  Print blank Storage Count Form - as many as needed for the # of people participating in the count</t>
  </si>
  <si>
    <t>Variance vs PAR</t>
  </si>
  <si>
    <t>3)  Write the values into the proper cells as items are counted</t>
  </si>
  <si>
    <t>Signature______________________________________</t>
  </si>
  <si>
    <t xml:space="preserve">4)  Once inventory of all locations is completed, enter the data into the storage worksheet and print. </t>
  </si>
  <si>
    <t>5)  Leave values in sheet for reference throughout the following quarter</t>
  </si>
  <si>
    <t>Date ________________________________</t>
  </si>
  <si>
    <t xml:space="preserve">6) When it's time for the next inventory to be taken, delete all the values from the body of the form.   </t>
  </si>
  <si>
    <t>1st Quarter</t>
  </si>
  <si>
    <t>Pillowcases</t>
  </si>
  <si>
    <t xml:space="preserve"> Bath Towels</t>
  </si>
  <si>
    <t>Flat  Sheets</t>
  </si>
  <si>
    <t>Duvets /       Comforters</t>
  </si>
  <si>
    <t>Blanket / Throw</t>
  </si>
  <si>
    <t>King Firm</t>
  </si>
  <si>
    <t>King Soft</t>
  </si>
  <si>
    <t>Queen Firm</t>
  </si>
  <si>
    <t>Queen Soft</t>
  </si>
  <si>
    <t>In Room PAR</t>
  </si>
  <si>
    <t>From Storage Count</t>
  </si>
  <si>
    <t>Inventory Total</t>
  </si>
  <si>
    <t>Par Level</t>
  </si>
  <si>
    <t>Inventory Variance</t>
  </si>
  <si>
    <t>Inventory Shortage $$</t>
  </si>
  <si>
    <t>Starting Inventory</t>
  </si>
  <si>
    <t>Purchases</t>
  </si>
  <si>
    <t>Ending Inventory</t>
  </si>
  <si>
    <t>Usage/Loss Qty</t>
  </si>
  <si>
    <t>Loss $$$$$</t>
  </si>
  <si>
    <t>Monthly Loss Total</t>
  </si>
  <si>
    <t>not including negativer values</t>
  </si>
  <si>
    <t>Unit Cost Calculator  (complete in Q1 only, unit cost values will pull from this sheet for other quarters)</t>
  </si>
  <si>
    <t>Case Qty</t>
  </si>
  <si>
    <t>Case cost</t>
  </si>
  <si>
    <t>Cs cost w/ tax</t>
  </si>
  <si>
    <t>2nd Quarter</t>
  </si>
  <si>
    <t>not including negative values</t>
  </si>
  <si>
    <t>3rd Quarter</t>
  </si>
  <si>
    <t>4th Quarter</t>
  </si>
  <si>
    <t>not including credit values</t>
  </si>
  <si>
    <t>Current Quarter</t>
  </si>
  <si>
    <t>You must select the quarter from the drop down box.                          You may not manually enter the number.</t>
  </si>
  <si>
    <t>password is</t>
  </si>
  <si>
    <t>hotel</t>
  </si>
  <si>
    <t>Par Variance</t>
  </si>
  <si>
    <t>Quarter</t>
  </si>
  <si>
    <t>change</t>
  </si>
  <si>
    <t>Terry</t>
  </si>
  <si>
    <t xml:space="preserve">This report shows our variance from our par level each quarter.  The "change" column should show positive numbers for any items that are negativve in the quarterly count column.   Positive numbers means that our overall inventory grew closer toward our desired par level.  Negative numbers show that we lost ground for that specific item during the quarter.  Wise purchasing and reducing loss will produce these positive numbers and allow our inventories to gain ground toward our preferred inventory par levels.                                                                              Make sure the "current quarter" is accurate in cell D2.  </t>
  </si>
  <si>
    <t>King Linens</t>
  </si>
  <si>
    <t>Mattress Pads</t>
  </si>
  <si>
    <t>Duvet's</t>
  </si>
  <si>
    <t>Queen Linens</t>
  </si>
  <si>
    <t>Mattres Pads</t>
  </si>
  <si>
    <t>Bed Spreads</t>
  </si>
  <si>
    <t>Extra Pillows</t>
  </si>
  <si>
    <t>Pillows</t>
  </si>
  <si>
    <t>Firm Pillows</t>
  </si>
  <si>
    <t>Firm Pillow Cases</t>
  </si>
  <si>
    <t>Soft Pillows</t>
  </si>
  <si>
    <t>Soft Pillow Cases</t>
  </si>
  <si>
    <t>Quarterly Loss (Qty)</t>
  </si>
  <si>
    <t>Quarterly Average</t>
  </si>
  <si>
    <t>This report shows how many of each individual item was lost each quarter.  This is a trend report that should help us identify problems and create strategies to minimize our linen loss.  The "change" column shows if we lost fewer of that specific item than in the previous quarter.  This will be useful if you aggressively target a specific item to reduce the loss levels OR if you have an item that shows a signifiant spike in loss rates.  The Quarterly Average column will help show the loss quantity average for the completed quarters to help identify a "normal" loss level.  Obviously the goal would be to reduce the average quarterly loss number by progressively reducing the loss each quarter.</t>
  </si>
  <si>
    <t>Quarterly Loss ($$)</t>
  </si>
  <si>
    <t>Total Annual Loss $$</t>
  </si>
  <si>
    <t xml:space="preserve">This report shows the cost of the lost linen during the quarter.  This also provides total loss values for each quarter and annualized loss amounts for each item.  The "change" column on this report shows the increased or decreased dollar values of the loss for that quarter as compared to the loss dollars for the previous quarter.  Not every loss number will be able to be decreased every quarter, but aggressive attention to linen loss should result in improvement for most quarterly loss totals.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</si>
</sst>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0_);[Red]\(0\)"/>
    <numFmt numFmtId="165" formatCode="&quot;$&quot;#,##0;[Red]&quot;$&quot;#,##0"/>
  </numFmts>
  <fonts count="71" x14ac:knownFonts="1">
    <font>
      <sz val="10"/>
      <name val="Arial"/>
    </font>
    <font>
      <sz val="10"/>
      <name val="Arial"/>
      <family val="2"/>
    </font>
    <font>
      <sz val="8"/>
      <name val="Arial"/>
      <family val="2"/>
    </font>
    <font>
      <sz val="6"/>
      <name val="Arial"/>
      <family val="2"/>
    </font>
    <font>
      <b/>
      <sz val="7"/>
      <name val="Arial"/>
      <family val="2"/>
    </font>
    <font>
      <sz val="7"/>
      <name val="Arial"/>
      <family val="2"/>
    </font>
    <font>
      <b/>
      <sz val="10"/>
      <name val="Arial"/>
      <family val="2"/>
    </font>
    <font>
      <sz val="10"/>
      <color indexed="48"/>
      <name val="Arial"/>
      <family val="2"/>
    </font>
    <font>
      <b/>
      <sz val="10"/>
      <color indexed="48"/>
      <name val="Arial"/>
      <family val="2"/>
    </font>
    <font>
      <sz val="7"/>
      <color indexed="10"/>
      <name val="Arial"/>
      <family val="2"/>
    </font>
    <font>
      <sz val="10"/>
      <color indexed="10"/>
      <name val="Arial"/>
      <family val="2"/>
    </font>
    <font>
      <sz val="10"/>
      <color indexed="59"/>
      <name val="Arial"/>
      <family val="2"/>
    </font>
    <font>
      <sz val="9"/>
      <color indexed="48"/>
      <name val="Arial"/>
      <family val="2"/>
    </font>
    <font>
      <b/>
      <sz val="10"/>
      <color indexed="59"/>
      <name val="Arial"/>
      <family val="2"/>
    </font>
    <font>
      <sz val="9"/>
      <name val="Arial"/>
      <family val="2"/>
    </font>
    <font>
      <b/>
      <sz val="8"/>
      <name val="Arial"/>
      <family val="2"/>
    </font>
    <font>
      <sz val="9"/>
      <name val="Arial"/>
      <family val="2"/>
    </font>
    <font>
      <b/>
      <sz val="14"/>
      <name val="Arial"/>
      <family val="2"/>
    </font>
    <font>
      <sz val="14"/>
      <name val="Arial"/>
      <family val="2"/>
    </font>
    <font>
      <sz val="16"/>
      <name val="Arial"/>
      <family val="2"/>
    </font>
    <font>
      <b/>
      <sz val="12"/>
      <name val="Arial"/>
      <family val="2"/>
    </font>
    <font>
      <b/>
      <sz val="16"/>
      <name val="Arial"/>
      <family val="2"/>
    </font>
    <font>
      <sz val="10"/>
      <color indexed="81"/>
      <name val="Tahoma"/>
      <family val="2"/>
    </font>
    <font>
      <b/>
      <sz val="10"/>
      <color indexed="81"/>
      <name val="Tahoma"/>
      <family val="2"/>
    </font>
    <font>
      <b/>
      <u/>
      <sz val="11"/>
      <name val="Arial"/>
      <family val="2"/>
    </font>
    <font>
      <b/>
      <i/>
      <u/>
      <sz val="10"/>
      <name val="Arial"/>
      <family val="2"/>
    </font>
    <font>
      <b/>
      <u/>
      <sz val="12"/>
      <name val="Arial"/>
      <family val="2"/>
    </font>
    <font>
      <b/>
      <u/>
      <sz val="18"/>
      <name val="Arial"/>
      <family val="2"/>
    </font>
    <font>
      <sz val="11"/>
      <color indexed="48"/>
      <name val="Arial"/>
      <family val="2"/>
    </font>
    <font>
      <sz val="12"/>
      <name val="Arial"/>
      <family val="2"/>
    </font>
    <font>
      <b/>
      <u/>
      <sz val="16"/>
      <name val="Arial"/>
      <family val="2"/>
    </font>
    <font>
      <b/>
      <sz val="11"/>
      <name val="Arial"/>
      <family val="2"/>
    </font>
    <font>
      <b/>
      <i/>
      <u/>
      <sz val="14"/>
      <name val="Arial"/>
      <family val="2"/>
    </font>
    <font>
      <b/>
      <i/>
      <sz val="12"/>
      <color rgb="FF7030A0"/>
      <name val="Arial"/>
      <family val="2"/>
    </font>
    <font>
      <b/>
      <i/>
      <u/>
      <sz val="10"/>
      <color rgb="FFFF0000"/>
      <name val="Arial"/>
      <family val="2"/>
    </font>
    <font>
      <b/>
      <sz val="10"/>
      <color rgb="FFC00000"/>
      <name val="Arial"/>
      <family val="2"/>
    </font>
    <font>
      <sz val="10"/>
      <color theme="0"/>
      <name val="Arial"/>
      <family val="2"/>
    </font>
    <font>
      <b/>
      <sz val="10"/>
      <color theme="3" tint="0.39997558519241921"/>
      <name val="Arial"/>
      <family val="2"/>
    </font>
    <font>
      <b/>
      <sz val="12"/>
      <color theme="0"/>
      <name val="Arial"/>
      <family val="2"/>
    </font>
    <font>
      <b/>
      <sz val="9"/>
      <color rgb="FF7030A0"/>
      <name val="Arial"/>
      <family val="2"/>
    </font>
    <font>
      <b/>
      <i/>
      <sz val="18"/>
      <color rgb="FF0070C0"/>
      <name val="Arial"/>
      <family val="2"/>
    </font>
    <font>
      <b/>
      <sz val="20"/>
      <color rgb="FF0070C0"/>
      <name val="Arial"/>
      <family val="2"/>
    </font>
    <font>
      <b/>
      <sz val="36"/>
      <color rgb="FF0070C0"/>
      <name val="Arial"/>
      <family val="2"/>
    </font>
    <font>
      <sz val="8"/>
      <name val="Agency FB"/>
      <family val="2"/>
    </font>
    <font>
      <sz val="12"/>
      <name val="Alasassy Caps"/>
    </font>
    <font>
      <b/>
      <sz val="18"/>
      <color rgb="FF0070C0"/>
      <name val="Arial"/>
      <family val="2"/>
    </font>
    <font>
      <b/>
      <sz val="11"/>
      <color theme="3" tint="0.39997558519241921"/>
      <name val="Arial"/>
      <family val="2"/>
    </font>
    <font>
      <sz val="10"/>
      <color rgb="FFFF0000"/>
      <name val="Arial"/>
      <family val="2"/>
    </font>
    <font>
      <sz val="18"/>
      <name val="Arial"/>
      <family val="2"/>
    </font>
    <font>
      <sz val="9"/>
      <name val="Agency FB"/>
      <family val="2"/>
    </font>
    <font>
      <b/>
      <sz val="11"/>
      <color theme="0"/>
      <name val="Arial"/>
      <family val="2"/>
    </font>
    <font>
      <b/>
      <sz val="12"/>
      <color theme="1"/>
      <name val="Arial"/>
      <family val="2"/>
    </font>
    <font>
      <sz val="36"/>
      <name val="Arial"/>
      <family val="2"/>
    </font>
    <font>
      <b/>
      <u/>
      <sz val="10"/>
      <name val="Arial"/>
      <family val="2"/>
    </font>
    <font>
      <b/>
      <sz val="11"/>
      <color rgb="FF0070C0"/>
      <name val="Arial"/>
      <family val="2"/>
    </font>
    <font>
      <b/>
      <sz val="11"/>
      <color indexed="48"/>
      <name val="Arial"/>
      <family val="2"/>
    </font>
    <font>
      <b/>
      <sz val="12"/>
      <color indexed="48"/>
      <name val="Arial"/>
      <family val="2"/>
    </font>
    <font>
      <b/>
      <sz val="10"/>
      <color theme="1"/>
      <name val="Arial"/>
      <family val="2"/>
    </font>
    <font>
      <b/>
      <sz val="10"/>
      <color theme="0"/>
      <name val="Arial"/>
      <family val="2"/>
    </font>
    <font>
      <sz val="9"/>
      <color indexed="81"/>
      <name val="Tahoma"/>
      <family val="2"/>
    </font>
    <font>
      <b/>
      <sz val="12"/>
      <color theme="3" tint="0.39997558519241921"/>
      <name val="Arial"/>
      <family val="2"/>
    </font>
    <font>
      <sz val="20"/>
      <name val="Arial"/>
      <family val="2"/>
    </font>
    <font>
      <b/>
      <sz val="14"/>
      <color theme="3" tint="0.39997558519241921"/>
      <name val="Arial"/>
      <family val="2"/>
    </font>
    <font>
      <b/>
      <sz val="16"/>
      <color rgb="FFFF0000"/>
      <name val="Arial"/>
      <family val="2"/>
    </font>
    <font>
      <b/>
      <sz val="9"/>
      <color indexed="81"/>
      <name val="Tahoma"/>
      <family val="2"/>
    </font>
    <font>
      <b/>
      <sz val="14"/>
      <color rgb="FF0070C0"/>
      <name val="Arial"/>
      <family val="2"/>
    </font>
    <font>
      <b/>
      <sz val="11"/>
      <color indexed="8"/>
      <name val="Arial"/>
      <family val="2"/>
    </font>
    <font>
      <b/>
      <sz val="11"/>
      <color indexed="10"/>
      <name val="Arial"/>
      <family val="2"/>
    </font>
    <font>
      <b/>
      <sz val="11"/>
      <color theme="1"/>
      <name val="Arial"/>
      <family val="2"/>
    </font>
    <font>
      <b/>
      <sz val="10"/>
      <color indexed="8"/>
      <name val="Arial"/>
      <family val="2"/>
    </font>
    <font>
      <b/>
      <sz val="10"/>
      <color indexed="10"/>
      <name val="Arial"/>
      <family val="2"/>
    </font>
  </fonts>
  <fills count="36">
    <fill>
      <patternFill patternType="none"/>
    </fill>
    <fill>
      <patternFill patternType="gray125"/>
    </fill>
    <fill>
      <patternFill patternType="solid">
        <fgColor indexed="15"/>
        <bgColor indexed="64"/>
      </patternFill>
    </fill>
    <fill>
      <patternFill patternType="solid">
        <fgColor indexed="13"/>
        <bgColor indexed="64"/>
      </patternFill>
    </fill>
    <fill>
      <patternFill patternType="solid">
        <fgColor indexed="53"/>
        <bgColor indexed="64"/>
      </patternFill>
    </fill>
    <fill>
      <patternFill patternType="solid">
        <fgColor indexed="43"/>
        <bgColor indexed="64"/>
      </patternFill>
    </fill>
    <fill>
      <patternFill patternType="solid">
        <fgColor indexed="9"/>
        <bgColor indexed="64"/>
      </patternFill>
    </fill>
    <fill>
      <patternFill patternType="gray125">
        <bgColor indexed="9"/>
      </patternFill>
    </fill>
    <fill>
      <patternFill patternType="solid">
        <fgColor indexed="65"/>
        <bgColor indexed="64"/>
      </patternFill>
    </fill>
    <fill>
      <patternFill patternType="solid">
        <fgColor rgb="FFFFFF00"/>
        <bgColor indexed="64"/>
      </patternFill>
    </fill>
    <fill>
      <patternFill patternType="solid">
        <fgColor theme="0"/>
        <bgColor indexed="64"/>
      </patternFill>
    </fill>
    <fill>
      <patternFill patternType="gray125">
        <bgColor theme="0"/>
      </patternFill>
    </fill>
    <fill>
      <patternFill patternType="solid">
        <fgColor indexed="65"/>
        <bgColor theme="0"/>
      </patternFill>
    </fill>
    <fill>
      <patternFill patternType="solid">
        <fgColor theme="0" tint="-0.14999847407452621"/>
        <bgColor indexed="64"/>
      </patternFill>
    </fill>
    <fill>
      <patternFill patternType="lightUp">
        <fgColor theme="0" tint="-0.24994659260841701"/>
        <bgColor theme="0"/>
      </patternFill>
    </fill>
    <fill>
      <patternFill patternType="lightUp">
        <fgColor theme="0" tint="-0.24994659260841701"/>
        <bgColor indexed="65"/>
      </patternFill>
    </fill>
    <fill>
      <patternFill patternType="solid">
        <fgColor rgb="FFFFFF99"/>
        <bgColor indexed="64"/>
      </patternFill>
    </fill>
    <fill>
      <patternFill patternType="solid">
        <fgColor theme="7" tint="0.79998168889431442"/>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theme="4"/>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bgColor indexed="64"/>
      </patternFill>
    </fill>
    <fill>
      <patternFill patternType="solid">
        <fgColor theme="3"/>
        <bgColor indexed="64"/>
      </patternFill>
    </fill>
    <fill>
      <patternFill patternType="solid">
        <fgColor theme="7"/>
        <bgColor indexed="64"/>
      </patternFill>
    </fill>
    <fill>
      <patternFill patternType="solid">
        <fgColor theme="1"/>
        <bgColor indexed="64"/>
      </patternFill>
    </fill>
    <fill>
      <patternFill patternType="solid">
        <fgColor theme="3" tint="0.39997558519241921"/>
        <bgColor indexed="64"/>
      </patternFill>
    </fill>
  </fills>
  <borders count="1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double">
        <color indexed="64"/>
      </top>
      <bottom style="thick">
        <color indexed="64"/>
      </bottom>
      <diagonal/>
    </border>
    <border>
      <left/>
      <right/>
      <top style="double">
        <color indexed="64"/>
      </top>
      <bottom/>
      <diagonal/>
    </border>
    <border>
      <left style="thin">
        <color indexed="64"/>
      </left>
      <right style="thin">
        <color indexed="64"/>
      </right>
      <top/>
      <bottom style="double">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top/>
      <bottom style="thick">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bottom style="thick">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double">
        <color indexed="64"/>
      </bottom>
      <diagonal/>
    </border>
    <border>
      <left style="double">
        <color indexed="64"/>
      </left>
      <right style="medium">
        <color indexed="64"/>
      </right>
      <top/>
      <bottom style="medium">
        <color indexed="64"/>
      </bottom>
      <diagonal/>
    </border>
    <border>
      <left/>
      <right style="thin">
        <color indexed="64"/>
      </right>
      <top/>
      <bottom/>
      <diagonal/>
    </border>
    <border>
      <left/>
      <right style="medium">
        <color indexed="64"/>
      </right>
      <top/>
      <bottom/>
      <diagonal/>
    </border>
    <border>
      <left/>
      <right style="medium">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top style="thin">
        <color indexed="64"/>
      </top>
      <bottom/>
      <diagonal/>
    </border>
    <border>
      <left style="thick">
        <color indexed="64"/>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ck">
        <color indexed="64"/>
      </top>
      <bottom/>
      <diagonal/>
    </border>
    <border>
      <left style="thin">
        <color indexed="64"/>
      </left>
      <right style="thin">
        <color indexed="64"/>
      </right>
      <top style="thick">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double">
        <color indexed="64"/>
      </bottom>
      <diagonal/>
    </border>
    <border>
      <left style="thin">
        <color indexed="64"/>
      </left>
      <right/>
      <top style="medium">
        <color indexed="64"/>
      </top>
      <bottom style="medium">
        <color indexed="64"/>
      </bottom>
      <diagonal/>
    </border>
    <border>
      <left/>
      <right style="thin">
        <color indexed="64"/>
      </right>
      <top style="thin">
        <color indexed="64"/>
      </top>
      <bottom style="double">
        <color indexed="64"/>
      </bottom>
      <diagonal/>
    </border>
    <border>
      <left style="medium">
        <color indexed="64"/>
      </left>
      <right/>
      <top style="thin">
        <color indexed="64"/>
      </top>
      <bottom style="double">
        <color indexed="64"/>
      </bottom>
      <diagonal/>
    </border>
    <border>
      <left/>
      <right/>
      <top/>
      <bottom style="double">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s>
  <cellStyleXfs count="2">
    <xf numFmtId="0" fontId="0" fillId="0" borderId="0"/>
    <xf numFmtId="44" fontId="1" fillId="0" borderId="0" applyFont="0" applyFill="0" applyBorder="0" applyAlignment="0" applyProtection="0"/>
  </cellStyleXfs>
  <cellXfs count="638">
    <xf numFmtId="0" fontId="0" fillId="0" borderId="0" xfId="0"/>
    <xf numFmtId="0" fontId="0" fillId="0" borderId="0" xfId="0" applyAlignment="1">
      <alignment horizontal="center"/>
    </xf>
    <xf numFmtId="0" fontId="0" fillId="0" borderId="1" xfId="0" applyBorder="1" applyAlignment="1">
      <alignment horizontal="center"/>
    </xf>
    <xf numFmtId="0" fontId="3" fillId="0" borderId="0" xfId="0" applyFont="1"/>
    <xf numFmtId="0" fontId="5" fillId="0" borderId="0" xfId="0" applyFont="1" applyAlignment="1">
      <alignment horizontal="center"/>
    </xf>
    <xf numFmtId="0" fontId="4" fillId="0" borderId="5" xfId="0" applyFont="1" applyBorder="1" applyAlignment="1">
      <alignment horizontal="center"/>
    </xf>
    <xf numFmtId="0" fontId="0" fillId="4" borderId="2" xfId="0" applyFill="1" applyBorder="1"/>
    <xf numFmtId="0" fontId="0" fillId="4" borderId="3" xfId="0" applyFill="1" applyBorder="1"/>
    <xf numFmtId="0" fontId="6" fillId="4" borderId="3" xfId="0" applyFont="1" applyFill="1" applyBorder="1" applyAlignment="1">
      <alignment horizontal="center"/>
    </xf>
    <xf numFmtId="0" fontId="4" fillId="0" borderId="8" xfId="0" applyFont="1" applyBorder="1" applyAlignment="1">
      <alignment horizontal="center"/>
    </xf>
    <xf numFmtId="0" fontId="0" fillId="0" borderId="9" xfId="0" applyBorder="1" applyAlignment="1">
      <alignment horizontal="center"/>
    </xf>
    <xf numFmtId="0" fontId="0" fillId="0" borderId="10" xfId="0" applyBorder="1"/>
    <xf numFmtId="0" fontId="0" fillId="0" borderId="11" xfId="0" applyBorder="1"/>
    <xf numFmtId="0" fontId="6" fillId="0" borderId="11" xfId="0" applyFont="1" applyBorder="1"/>
    <xf numFmtId="0" fontId="6" fillId="0" borderId="12" xfId="0" applyFont="1" applyBorder="1"/>
    <xf numFmtId="0" fontId="6" fillId="0" borderId="2" xfId="0" applyFont="1" applyBorder="1"/>
    <xf numFmtId="0" fontId="0" fillId="0" borderId="15" xfId="0" applyBorder="1" applyAlignment="1">
      <alignment horizontal="center"/>
    </xf>
    <xf numFmtId="0" fontId="12" fillId="0" borderId="1" xfId="0" applyFont="1" applyBorder="1" applyAlignment="1" applyProtection="1">
      <alignment horizontal="center"/>
      <protection locked="0"/>
    </xf>
    <xf numFmtId="0" fontId="0" fillId="5" borderId="0" xfId="0" applyFill="1"/>
    <xf numFmtId="0" fontId="9" fillId="5" borderId="0" xfId="0" applyFont="1" applyFill="1"/>
    <xf numFmtId="0" fontId="10" fillId="5" borderId="0" xfId="0" applyFont="1" applyFill="1"/>
    <xf numFmtId="0" fontId="0" fillId="5" borderId="0" xfId="0" applyFill="1" applyAlignment="1">
      <alignment horizontal="center"/>
    </xf>
    <xf numFmtId="0" fontId="7" fillId="5" borderId="0" xfId="0" applyFont="1" applyFill="1" applyAlignment="1">
      <alignment horizontal="center"/>
    </xf>
    <xf numFmtId="0" fontId="6" fillId="5" borderId="0" xfId="0" applyFont="1" applyFill="1"/>
    <xf numFmtId="0" fontId="0" fillId="6" borderId="0" xfId="0" applyFill="1"/>
    <xf numFmtId="0" fontId="0" fillId="1" borderId="0" xfId="0" applyFill="1"/>
    <xf numFmtId="0" fontId="0" fillId="1" borderId="0" xfId="0" applyFill="1" applyAlignment="1">
      <alignment horizontal="center"/>
    </xf>
    <xf numFmtId="0" fontId="3" fillId="1" borderId="0" xfId="0" applyFont="1" applyFill="1"/>
    <xf numFmtId="0" fontId="0" fillId="7" borderId="0" xfId="0" applyFill="1"/>
    <xf numFmtId="0" fontId="5" fillId="7" borderId="0" xfId="0" applyFont="1" applyFill="1" applyAlignment="1">
      <alignment horizontal="center"/>
    </xf>
    <xf numFmtId="0" fontId="3" fillId="1" borderId="0" xfId="0" applyFont="1" applyFill="1" applyAlignment="1">
      <alignment horizontal="center"/>
    </xf>
    <xf numFmtId="0" fontId="18" fillId="1" borderId="0" xfId="0" applyFont="1" applyFill="1"/>
    <xf numFmtId="0" fontId="20" fillId="6" borderId="0" xfId="0" applyFont="1" applyFill="1"/>
    <xf numFmtId="0" fontId="6" fillId="6" borderId="0" xfId="0" applyFont="1" applyFill="1"/>
    <xf numFmtId="0" fontId="13" fillId="0" borderId="9" xfId="0" applyFont="1" applyBorder="1" applyAlignment="1">
      <alignment horizontal="center"/>
    </xf>
    <xf numFmtId="0" fontId="0" fillId="11" borderId="0" xfId="0" applyFill="1" applyAlignment="1">
      <alignment horizontal="center"/>
    </xf>
    <xf numFmtId="0" fontId="24" fillId="6" borderId="0" xfId="0" applyFont="1" applyFill="1"/>
    <xf numFmtId="0" fontId="25" fillId="6" borderId="0" xfId="0" applyFont="1" applyFill="1"/>
    <xf numFmtId="0" fontId="26" fillId="6" borderId="0" xfId="0" applyFont="1" applyFill="1"/>
    <xf numFmtId="0" fontId="27" fillId="6" borderId="0" xfId="0" applyFont="1" applyFill="1"/>
    <xf numFmtId="0" fontId="33" fillId="6" borderId="0" xfId="0" applyFont="1" applyFill="1"/>
    <xf numFmtId="0" fontId="34" fillId="6" borderId="0" xfId="0" applyFont="1" applyFill="1"/>
    <xf numFmtId="0" fontId="35" fillId="6" borderId="0" xfId="0" applyFont="1" applyFill="1"/>
    <xf numFmtId="14" fontId="12" fillId="0" borderId="1" xfId="0" applyNumberFormat="1" applyFont="1" applyBorder="1" applyAlignment="1" applyProtection="1">
      <alignment horizontal="center"/>
      <protection locked="0"/>
    </xf>
    <xf numFmtId="0" fontId="30" fillId="0" borderId="0" xfId="0" applyFont="1"/>
    <xf numFmtId="0" fontId="31" fillId="0" borderId="0" xfId="0" applyFont="1" applyAlignment="1">
      <alignment horizontal="center"/>
    </xf>
    <xf numFmtId="0" fontId="32" fillId="0" borderId="0" xfId="0" applyFont="1"/>
    <xf numFmtId="0" fontId="29" fillId="12" borderId="32" xfId="0" applyFont="1" applyFill="1" applyBorder="1" applyAlignment="1">
      <alignment horizontal="center"/>
    </xf>
    <xf numFmtId="0" fontId="20" fillId="6" borderId="16" xfId="0" applyFont="1" applyFill="1" applyBorder="1" applyAlignment="1">
      <alignment horizontal="right"/>
    </xf>
    <xf numFmtId="0" fontId="0" fillId="10" borderId="0" xfId="0" applyFill="1"/>
    <xf numFmtId="164" fontId="29" fillId="13" borderId="33" xfId="0" applyNumberFormat="1" applyFont="1" applyFill="1" applyBorder="1" applyAlignment="1">
      <alignment horizontal="center"/>
    </xf>
    <xf numFmtId="164" fontId="29" fillId="14" borderId="34" xfId="1" applyNumberFormat="1" applyFont="1" applyFill="1" applyBorder="1" applyAlignment="1">
      <alignment horizontal="center"/>
    </xf>
    <xf numFmtId="164" fontId="29" fillId="10" borderId="0" xfId="0" applyNumberFormat="1" applyFont="1" applyFill="1" applyAlignment="1">
      <alignment horizontal="center"/>
    </xf>
    <xf numFmtId="164" fontId="29" fillId="10" borderId="33" xfId="0" applyNumberFormat="1" applyFont="1" applyFill="1" applyBorder="1" applyAlignment="1">
      <alignment horizontal="center"/>
    </xf>
    <xf numFmtId="164" fontId="29" fillId="10" borderId="34" xfId="1" applyNumberFormat="1" applyFont="1" applyFill="1" applyBorder="1" applyAlignment="1">
      <alignment horizontal="center"/>
    </xf>
    <xf numFmtId="164" fontId="29" fillId="13" borderId="34" xfId="1" applyNumberFormat="1" applyFont="1" applyFill="1" applyBorder="1" applyAlignment="1">
      <alignment horizontal="center"/>
    </xf>
    <xf numFmtId="0" fontId="0" fillId="10" borderId="0" xfId="0" applyFill="1" applyAlignment="1">
      <alignment horizontal="center"/>
    </xf>
    <xf numFmtId="0" fontId="20" fillId="6" borderId="0" xfId="0" applyFont="1" applyFill="1" applyAlignment="1">
      <alignment horizontal="right"/>
    </xf>
    <xf numFmtId="0" fontId="4" fillId="10" borderId="0" xfId="0" applyFont="1" applyFill="1" applyAlignment="1">
      <alignment horizontal="center"/>
    </xf>
    <xf numFmtId="164" fontId="29" fillId="13" borderId="35" xfId="0" applyNumberFormat="1" applyFont="1" applyFill="1" applyBorder="1" applyAlignment="1">
      <alignment horizontal="center"/>
    </xf>
    <xf numFmtId="164" fontId="29" fillId="14" borderId="23" xfId="1" applyNumberFormat="1" applyFont="1" applyFill="1" applyBorder="1" applyAlignment="1">
      <alignment horizontal="center"/>
    </xf>
    <xf numFmtId="164" fontId="29" fillId="10" borderId="35" xfId="0" applyNumberFormat="1" applyFont="1" applyFill="1" applyBorder="1" applyAlignment="1">
      <alignment horizontal="center"/>
    </xf>
    <xf numFmtId="0" fontId="20" fillId="6" borderId="19" xfId="0" applyFont="1" applyFill="1" applyBorder="1" applyAlignment="1">
      <alignment horizontal="right"/>
    </xf>
    <xf numFmtId="164" fontId="29" fillId="15" borderId="23" xfId="1" applyNumberFormat="1" applyFont="1" applyFill="1" applyBorder="1" applyAlignment="1">
      <alignment horizontal="center"/>
    </xf>
    <xf numFmtId="164" fontId="29" fillId="0" borderId="0" xfId="0" applyNumberFormat="1" applyFont="1" applyAlignment="1">
      <alignment horizontal="center"/>
    </xf>
    <xf numFmtId="164" fontId="29" fillId="0" borderId="35" xfId="0" applyNumberFormat="1" applyFont="1" applyBorder="1" applyAlignment="1">
      <alignment horizontal="center"/>
    </xf>
    <xf numFmtId="164" fontId="29" fillId="13" borderId="12" xfId="0" applyNumberFormat="1" applyFont="1" applyFill="1" applyBorder="1" applyAlignment="1">
      <alignment horizontal="center"/>
    </xf>
    <xf numFmtId="164" fontId="29" fillId="15" borderId="14" xfId="1" applyNumberFormat="1" applyFont="1" applyFill="1" applyBorder="1" applyAlignment="1">
      <alignment horizontal="center"/>
    </xf>
    <xf numFmtId="164" fontId="29" fillId="0" borderId="36" xfId="0" applyNumberFormat="1" applyFont="1" applyBorder="1" applyAlignment="1">
      <alignment horizontal="center"/>
    </xf>
    <xf numFmtId="164" fontId="29" fillId="0" borderId="12" xfId="0" applyNumberFormat="1" applyFont="1" applyBorder="1" applyAlignment="1">
      <alignment horizontal="center"/>
    </xf>
    <xf numFmtId="0" fontId="29" fillId="0" borderId="0" xfId="0" applyFont="1"/>
    <xf numFmtId="164" fontId="29" fillId="0" borderId="0" xfId="1" applyNumberFormat="1" applyFont="1" applyBorder="1" applyAlignment="1">
      <alignment horizontal="center"/>
    </xf>
    <xf numFmtId="0" fontId="32" fillId="6" borderId="0" xfId="0" applyFont="1" applyFill="1"/>
    <xf numFmtId="164" fontId="29" fillId="13" borderId="11" xfId="0" applyNumberFormat="1" applyFont="1" applyFill="1" applyBorder="1" applyAlignment="1">
      <alignment horizontal="center"/>
    </xf>
    <xf numFmtId="164" fontId="29" fillId="15" borderId="13" xfId="1" applyNumberFormat="1" applyFont="1" applyFill="1" applyBorder="1" applyAlignment="1">
      <alignment horizontal="center"/>
    </xf>
    <xf numFmtId="164" fontId="29" fillId="0" borderId="37" xfId="0" applyNumberFormat="1" applyFont="1" applyBorder="1" applyAlignment="1">
      <alignment horizontal="center"/>
    </xf>
    <xf numFmtId="164" fontId="29" fillId="0" borderId="11" xfId="0" applyNumberFormat="1" applyFont="1" applyBorder="1" applyAlignment="1">
      <alignment horizontal="center"/>
    </xf>
    <xf numFmtId="164" fontId="29" fillId="10" borderId="13" xfId="1" applyNumberFormat="1" applyFont="1" applyFill="1" applyBorder="1" applyAlignment="1">
      <alignment horizontal="center"/>
    </xf>
    <xf numFmtId="164" fontId="29" fillId="13" borderId="13" xfId="1" applyNumberFormat="1" applyFont="1" applyFill="1" applyBorder="1" applyAlignment="1">
      <alignment horizontal="center"/>
    </xf>
    <xf numFmtId="164" fontId="29" fillId="10" borderId="38" xfId="1" applyNumberFormat="1" applyFont="1" applyFill="1" applyBorder="1" applyAlignment="1">
      <alignment horizontal="center"/>
    </xf>
    <xf numFmtId="164" fontId="29" fillId="13" borderId="38" xfId="1" applyNumberFormat="1" applyFont="1" applyFill="1" applyBorder="1" applyAlignment="1">
      <alignment horizontal="center"/>
    </xf>
    <xf numFmtId="0" fontId="32" fillId="6" borderId="0" xfId="0" applyFont="1" applyFill="1" applyAlignment="1">
      <alignment horizontal="left"/>
    </xf>
    <xf numFmtId="0" fontId="20" fillId="6" borderId="0" xfId="0" applyFont="1" applyFill="1" applyAlignment="1">
      <alignment horizontal="center"/>
    </xf>
    <xf numFmtId="44" fontId="0" fillId="0" borderId="0" xfId="1" applyFont="1" applyAlignment="1">
      <alignment horizontal="center"/>
    </xf>
    <xf numFmtId="0" fontId="29" fillId="12" borderId="0" xfId="0" applyFont="1" applyFill="1" applyAlignment="1">
      <alignment horizontal="center"/>
    </xf>
    <xf numFmtId="1" fontId="0" fillId="0" borderId="0" xfId="0" applyNumberFormat="1"/>
    <xf numFmtId="1" fontId="36" fillId="10" borderId="0" xfId="0" applyNumberFormat="1" applyFont="1" applyFill="1"/>
    <xf numFmtId="0" fontId="0" fillId="0" borderId="40" xfId="0" applyBorder="1" applyAlignment="1">
      <alignment horizontal="center"/>
    </xf>
    <xf numFmtId="0" fontId="0" fillId="0" borderId="41" xfId="0" applyBorder="1" applyAlignment="1">
      <alignment horizontal="center"/>
    </xf>
    <xf numFmtId="0" fontId="16" fillId="0" borderId="0" xfId="0" applyFont="1" applyAlignment="1">
      <alignment horizontal="center"/>
    </xf>
    <xf numFmtId="0" fontId="0" fillId="0" borderId="1" xfId="0" applyBorder="1"/>
    <xf numFmtId="0" fontId="6" fillId="3" borderId="0" xfId="0" applyFont="1" applyFill="1" applyAlignment="1">
      <alignment horizontal="center"/>
    </xf>
    <xf numFmtId="0" fontId="4" fillId="6" borderId="37" xfId="0" applyFont="1" applyFill="1" applyBorder="1" applyAlignment="1">
      <alignment horizontal="center" vertical="center" wrapText="1"/>
    </xf>
    <xf numFmtId="0" fontId="4" fillId="6" borderId="0" xfId="0" applyFont="1" applyFill="1" applyAlignment="1">
      <alignment horizontal="center" vertical="center" wrapText="1"/>
    </xf>
    <xf numFmtId="0" fontId="13" fillId="0" borderId="0" xfId="0" applyFont="1" applyAlignment="1">
      <alignment horizontal="center"/>
    </xf>
    <xf numFmtId="0" fontId="0" fillId="0" borderId="9" xfId="0" applyBorder="1"/>
    <xf numFmtId="0" fontId="18" fillId="0" borderId="0" xfId="0" applyFont="1"/>
    <xf numFmtId="0" fontId="17" fillId="10" borderId="3" xfId="0" applyFont="1" applyFill="1" applyBorder="1" applyAlignment="1">
      <alignment horizontal="center"/>
    </xf>
    <xf numFmtId="164" fontId="20" fillId="13" borderId="11" xfId="0" applyNumberFormat="1" applyFont="1" applyFill="1" applyBorder="1" applyAlignment="1">
      <alignment horizontal="center"/>
    </xf>
    <xf numFmtId="164" fontId="38" fillId="14" borderId="13" xfId="1" applyNumberFormat="1" applyFont="1" applyFill="1" applyBorder="1" applyAlignment="1">
      <alignment horizontal="center"/>
    </xf>
    <xf numFmtId="164" fontId="20" fillId="10" borderId="37" xfId="0" applyNumberFormat="1" applyFont="1" applyFill="1" applyBorder="1" applyAlignment="1">
      <alignment horizontal="center"/>
    </xf>
    <xf numFmtId="164" fontId="20" fillId="10" borderId="11" xfId="0" applyNumberFormat="1" applyFont="1" applyFill="1" applyBorder="1" applyAlignment="1">
      <alignment horizontal="center"/>
    </xf>
    <xf numFmtId="164" fontId="20" fillId="10" borderId="13" xfId="1" applyNumberFormat="1" applyFont="1" applyFill="1" applyBorder="1" applyAlignment="1">
      <alignment horizontal="center"/>
    </xf>
    <xf numFmtId="164" fontId="20" fillId="13" borderId="13" xfId="1" applyNumberFormat="1" applyFont="1" applyFill="1" applyBorder="1" applyAlignment="1">
      <alignment horizontal="center"/>
    </xf>
    <xf numFmtId="164" fontId="20" fillId="10" borderId="56" xfId="1" applyNumberFormat="1" applyFont="1" applyFill="1" applyBorder="1" applyAlignment="1">
      <alignment horizontal="center"/>
    </xf>
    <xf numFmtId="164" fontId="0" fillId="13" borderId="43" xfId="0" applyNumberFormat="1" applyFill="1" applyBorder="1" applyAlignment="1">
      <alignment horizontal="center"/>
    </xf>
    <xf numFmtId="164" fontId="20" fillId="13" borderId="35" xfId="0" applyNumberFormat="1" applyFont="1" applyFill="1" applyBorder="1" applyAlignment="1">
      <alignment horizontal="center"/>
    </xf>
    <xf numFmtId="164" fontId="20" fillId="14" borderId="23" xfId="1" applyNumberFormat="1" applyFont="1" applyFill="1" applyBorder="1" applyAlignment="1">
      <alignment horizontal="center"/>
    </xf>
    <xf numFmtId="164" fontId="20" fillId="10" borderId="0" xfId="0" applyNumberFormat="1" applyFont="1" applyFill="1" applyAlignment="1">
      <alignment horizontal="center"/>
    </xf>
    <xf numFmtId="164" fontId="20" fillId="10" borderId="35" xfId="0" applyNumberFormat="1" applyFont="1" applyFill="1" applyBorder="1" applyAlignment="1">
      <alignment horizontal="center"/>
    </xf>
    <xf numFmtId="164" fontId="20" fillId="10" borderId="34" xfId="1" applyNumberFormat="1" applyFont="1" applyFill="1" applyBorder="1" applyAlignment="1">
      <alignment horizontal="center"/>
    </xf>
    <xf numFmtId="164" fontId="20" fillId="13" borderId="34" xfId="1" applyNumberFormat="1" applyFont="1" applyFill="1" applyBorder="1" applyAlignment="1">
      <alignment horizontal="center"/>
    </xf>
    <xf numFmtId="164" fontId="20" fillId="10" borderId="40" xfId="1" applyNumberFormat="1" applyFont="1" applyFill="1" applyBorder="1" applyAlignment="1">
      <alignment horizontal="center"/>
    </xf>
    <xf numFmtId="164" fontId="0" fillId="13" borderId="44" xfId="0" applyNumberFormat="1" applyFill="1" applyBorder="1" applyAlignment="1">
      <alignment horizontal="center"/>
    </xf>
    <xf numFmtId="164" fontId="20" fillId="10" borderId="38" xfId="1" applyNumberFormat="1" applyFont="1" applyFill="1" applyBorder="1" applyAlignment="1">
      <alignment horizontal="center"/>
    </xf>
    <xf numFmtId="164" fontId="20" fillId="13" borderId="38" xfId="1" applyNumberFormat="1" applyFont="1" applyFill="1" applyBorder="1" applyAlignment="1">
      <alignment horizontal="center"/>
    </xf>
    <xf numFmtId="164" fontId="20" fillId="10" borderId="57" xfId="1" applyNumberFormat="1" applyFont="1" applyFill="1" applyBorder="1" applyAlignment="1">
      <alignment horizontal="center"/>
    </xf>
    <xf numFmtId="164" fontId="0" fillId="13" borderId="45" xfId="0" applyNumberFormat="1" applyFill="1" applyBorder="1" applyAlignment="1">
      <alignment horizontal="center"/>
    </xf>
    <xf numFmtId="164" fontId="0" fillId="0" borderId="0" xfId="0" applyNumberFormat="1" applyAlignment="1">
      <alignment horizontal="center"/>
    </xf>
    <xf numFmtId="40" fontId="29" fillId="0" borderId="0" xfId="0" applyNumberFormat="1" applyFont="1" applyAlignment="1">
      <alignment horizontal="center"/>
    </xf>
    <xf numFmtId="40" fontId="29" fillId="0" borderId="0" xfId="1" applyNumberFormat="1" applyFont="1" applyBorder="1" applyAlignment="1">
      <alignment horizontal="center"/>
    </xf>
    <xf numFmtId="40" fontId="0" fillId="0" borderId="0" xfId="0" applyNumberFormat="1" applyAlignment="1">
      <alignment horizontal="center"/>
    </xf>
    <xf numFmtId="40" fontId="29" fillId="13" borderId="11" xfId="0" applyNumberFormat="1" applyFont="1" applyFill="1" applyBorder="1" applyAlignment="1">
      <alignment horizontal="center"/>
    </xf>
    <xf numFmtId="40" fontId="29" fillId="15" borderId="13" xfId="1" applyNumberFormat="1" applyFont="1" applyFill="1" applyBorder="1" applyAlignment="1">
      <alignment horizontal="center"/>
    </xf>
    <xf numFmtId="40" fontId="29" fillId="0" borderId="37" xfId="0" applyNumberFormat="1" applyFont="1" applyBorder="1" applyAlignment="1">
      <alignment horizontal="center"/>
    </xf>
    <xf numFmtId="40" fontId="29" fillId="0" borderId="11" xfId="0" applyNumberFormat="1" applyFont="1" applyBorder="1" applyAlignment="1">
      <alignment horizontal="center"/>
    </xf>
    <xf numFmtId="40" fontId="29" fillId="10" borderId="13" xfId="1" applyNumberFormat="1" applyFont="1" applyFill="1" applyBorder="1" applyAlignment="1">
      <alignment horizontal="center"/>
    </xf>
    <xf numFmtId="40" fontId="29" fillId="13" borderId="13" xfId="1" applyNumberFormat="1" applyFont="1" applyFill="1" applyBorder="1" applyAlignment="1">
      <alignment horizontal="center"/>
    </xf>
    <xf numFmtId="40" fontId="29" fillId="13" borderId="35" xfId="0" applyNumberFormat="1" applyFont="1" applyFill="1" applyBorder="1" applyAlignment="1">
      <alignment horizontal="center"/>
    </xf>
    <xf numFmtId="40" fontId="29" fillId="15" borderId="23" xfId="1" applyNumberFormat="1" applyFont="1" applyFill="1" applyBorder="1" applyAlignment="1">
      <alignment horizontal="center"/>
    </xf>
    <xf numFmtId="40" fontId="29" fillId="0" borderId="35" xfId="0" applyNumberFormat="1" applyFont="1" applyBorder="1" applyAlignment="1">
      <alignment horizontal="center"/>
    </xf>
    <xf numFmtId="40" fontId="29" fillId="10" borderId="34" xfId="1" applyNumberFormat="1" applyFont="1" applyFill="1" applyBorder="1" applyAlignment="1">
      <alignment horizontal="center"/>
    </xf>
    <xf numFmtId="40" fontId="29" fillId="13" borderId="34" xfId="1" applyNumberFormat="1" applyFont="1" applyFill="1" applyBorder="1" applyAlignment="1">
      <alignment horizontal="center"/>
    </xf>
    <xf numFmtId="40" fontId="29" fillId="13" borderId="12" xfId="0" applyNumberFormat="1" applyFont="1" applyFill="1" applyBorder="1" applyAlignment="1">
      <alignment horizontal="center"/>
    </xf>
    <xf numFmtId="40" fontId="29" fillId="15" borderId="14" xfId="1" applyNumberFormat="1" applyFont="1" applyFill="1" applyBorder="1" applyAlignment="1">
      <alignment horizontal="center"/>
    </xf>
    <xf numFmtId="40" fontId="29" fillId="0" borderId="36" xfId="0" applyNumberFormat="1" applyFont="1" applyBorder="1" applyAlignment="1">
      <alignment horizontal="center"/>
    </xf>
    <xf numFmtId="40" fontId="29" fillId="0" borderId="12" xfId="0" applyNumberFormat="1" applyFont="1" applyBorder="1" applyAlignment="1">
      <alignment horizontal="center"/>
    </xf>
    <xf numFmtId="40" fontId="29" fillId="10" borderId="38" xfId="1" applyNumberFormat="1" applyFont="1" applyFill="1" applyBorder="1" applyAlignment="1">
      <alignment horizontal="center"/>
    </xf>
    <xf numFmtId="40" fontId="29" fillId="13" borderId="38" xfId="1" applyNumberFormat="1" applyFont="1" applyFill="1" applyBorder="1" applyAlignment="1">
      <alignment horizontal="center"/>
    </xf>
    <xf numFmtId="40" fontId="15" fillId="13" borderId="55" xfId="0" applyNumberFormat="1" applyFont="1" applyFill="1" applyBorder="1" applyAlignment="1">
      <alignment horizontal="center"/>
    </xf>
    <xf numFmtId="40" fontId="15" fillId="15" borderId="21" xfId="1" applyNumberFormat="1" applyFont="1" applyFill="1" applyBorder="1" applyAlignment="1">
      <alignment horizontal="center"/>
    </xf>
    <xf numFmtId="40" fontId="15" fillId="0" borderId="21" xfId="0" applyNumberFormat="1" applyFont="1" applyBorder="1" applyAlignment="1">
      <alignment horizontal="center"/>
    </xf>
    <xf numFmtId="40" fontId="15" fillId="0" borderId="55" xfId="0" applyNumberFormat="1" applyFont="1" applyBorder="1" applyAlignment="1">
      <alignment horizontal="center"/>
    </xf>
    <xf numFmtId="40" fontId="15" fillId="0" borderId="20" xfId="0" applyNumberFormat="1" applyFont="1" applyBorder="1" applyAlignment="1">
      <alignment horizontal="center"/>
    </xf>
    <xf numFmtId="40" fontId="15" fillId="13" borderId="63" xfId="0" applyNumberFormat="1" applyFont="1" applyFill="1" applyBorder="1" applyAlignment="1">
      <alignment horizontal="center"/>
    </xf>
    <xf numFmtId="0" fontId="7" fillId="0" borderId="1" xfId="0" applyFont="1" applyBorder="1" applyAlignment="1" applyProtection="1">
      <alignment horizontal="center"/>
      <protection locked="0"/>
    </xf>
    <xf numFmtId="0" fontId="7" fillId="0" borderId="46" xfId="0" applyFont="1" applyBorder="1" applyAlignment="1" applyProtection="1">
      <alignment horizontal="center"/>
      <protection locked="0"/>
    </xf>
    <xf numFmtId="0" fontId="7" fillId="0" borderId="26" xfId="0" applyFont="1" applyBorder="1" applyAlignment="1" applyProtection="1">
      <alignment horizontal="center" vertical="top"/>
      <protection locked="0"/>
    </xf>
    <xf numFmtId="0" fontId="7" fillId="0" borderId="0" xfId="0" applyFont="1" applyAlignment="1" applyProtection="1">
      <alignment horizontal="center" vertical="top"/>
      <protection locked="0"/>
    </xf>
    <xf numFmtId="0" fontId="7" fillId="0" borderId="9" xfId="0" applyFont="1" applyBorder="1" applyAlignment="1" applyProtection="1">
      <alignment horizontal="center"/>
      <protection locked="0"/>
    </xf>
    <xf numFmtId="0" fontId="7" fillId="0" borderId="27" xfId="0" applyFont="1" applyBorder="1" applyAlignment="1" applyProtection="1">
      <alignment horizontal="center" vertical="top"/>
      <protection locked="0"/>
    </xf>
    <xf numFmtId="0" fontId="7" fillId="0" borderId="40" xfId="0" applyFont="1" applyBorder="1" applyAlignment="1" applyProtection="1">
      <alignment horizontal="center"/>
      <protection locked="0"/>
    </xf>
    <xf numFmtId="165" fontId="14" fillId="1" borderId="0" xfId="0" applyNumberFormat="1" applyFont="1" applyFill="1" applyAlignment="1">
      <alignment horizontal="center"/>
    </xf>
    <xf numFmtId="0" fontId="14" fillId="0" borderId="0" xfId="0" applyFont="1" applyAlignment="1">
      <alignment horizontal="left" wrapText="1"/>
    </xf>
    <xf numFmtId="0" fontId="6" fillId="2" borderId="3" xfId="0" applyFont="1" applyFill="1" applyBorder="1" applyAlignment="1">
      <alignment horizontal="center"/>
    </xf>
    <xf numFmtId="0" fontId="6" fillId="2" borderId="4" xfId="0" applyFont="1" applyFill="1" applyBorder="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xf numFmtId="0" fontId="29" fillId="0" borderId="0" xfId="0" applyFont="1" applyAlignment="1">
      <alignment horizontal="center" vertical="center" wrapText="1"/>
    </xf>
    <xf numFmtId="0" fontId="12" fillId="0" borderId="1" xfId="0" quotePrefix="1" applyFont="1" applyBorder="1" applyAlignment="1" applyProtection="1">
      <alignment horizontal="center"/>
      <protection locked="0"/>
    </xf>
    <xf numFmtId="0" fontId="1" fillId="6" borderId="0" xfId="0" applyFont="1" applyFill="1"/>
    <xf numFmtId="0" fontId="1" fillId="0" borderId="0" xfId="0" applyFont="1"/>
    <xf numFmtId="0" fontId="1" fillId="5" borderId="29" xfId="0" applyFont="1" applyFill="1" applyBorder="1" applyAlignment="1">
      <alignment horizontal="center"/>
    </xf>
    <xf numFmtId="0" fontId="1" fillId="16" borderId="0" xfId="0" applyFont="1" applyFill="1"/>
    <xf numFmtId="0" fontId="1" fillId="5" borderId="0" xfId="0" applyFont="1" applyFill="1"/>
    <xf numFmtId="0" fontId="1" fillId="5" borderId="30" xfId="0" applyFont="1" applyFill="1" applyBorder="1" applyAlignment="1">
      <alignment horizontal="center"/>
    </xf>
    <xf numFmtId="0" fontId="1" fillId="0" borderId="0" xfId="0" applyFont="1" applyAlignment="1">
      <alignment horizontal="left"/>
    </xf>
    <xf numFmtId="0" fontId="1" fillId="0" borderId="0" xfId="0" applyFont="1" applyAlignment="1">
      <alignment horizontal="center"/>
    </xf>
    <xf numFmtId="40" fontId="1" fillId="13" borderId="11" xfId="1" applyNumberFormat="1" applyFont="1" applyFill="1" applyBorder="1" applyAlignment="1">
      <alignment horizontal="center"/>
    </xf>
    <xf numFmtId="40" fontId="1" fillId="14" borderId="13" xfId="1" applyNumberFormat="1" applyFont="1" applyFill="1" applyBorder="1" applyAlignment="1">
      <alignment horizontal="center"/>
    </xf>
    <xf numFmtId="40" fontId="1" fillId="10" borderId="37" xfId="1" applyNumberFormat="1" applyFont="1" applyFill="1" applyBorder="1" applyAlignment="1">
      <alignment horizontal="center"/>
    </xf>
    <xf numFmtId="40" fontId="1" fillId="10" borderId="11" xfId="1" applyNumberFormat="1" applyFont="1" applyFill="1" applyBorder="1" applyAlignment="1">
      <alignment horizontal="center"/>
    </xf>
    <xf numFmtId="40" fontId="1" fillId="10" borderId="13" xfId="1" applyNumberFormat="1" applyFont="1" applyFill="1" applyBorder="1" applyAlignment="1">
      <alignment horizontal="center"/>
    </xf>
    <xf numFmtId="40" fontId="1" fillId="13" borderId="13" xfId="1" applyNumberFormat="1" applyFont="1" applyFill="1" applyBorder="1" applyAlignment="1">
      <alignment horizontal="center"/>
    </xf>
    <xf numFmtId="40" fontId="1" fillId="10" borderId="56" xfId="1" applyNumberFormat="1" applyFont="1" applyFill="1" applyBorder="1" applyAlignment="1">
      <alignment horizontal="center"/>
    </xf>
    <xf numFmtId="40" fontId="1" fillId="13" borderId="58" xfId="1" applyNumberFormat="1" applyFont="1" applyFill="1" applyBorder="1" applyAlignment="1">
      <alignment horizontal="center"/>
    </xf>
    <xf numFmtId="40" fontId="1" fillId="13" borderId="35" xfId="1" applyNumberFormat="1" applyFont="1" applyFill="1" applyBorder="1" applyAlignment="1">
      <alignment horizontal="center"/>
    </xf>
    <xf numFmtId="40" fontId="1" fillId="14" borderId="23" xfId="1" applyNumberFormat="1" applyFont="1" applyFill="1" applyBorder="1" applyAlignment="1">
      <alignment horizontal="center"/>
    </xf>
    <xf numFmtId="40" fontId="1" fillId="10" borderId="0" xfId="1" applyNumberFormat="1" applyFont="1" applyFill="1" applyBorder="1" applyAlignment="1">
      <alignment horizontal="center"/>
    </xf>
    <xf numFmtId="40" fontId="1" fillId="10" borderId="35" xfId="1" applyNumberFormat="1" applyFont="1" applyFill="1" applyBorder="1" applyAlignment="1">
      <alignment horizontal="center"/>
    </xf>
    <xf numFmtId="40" fontId="1" fillId="10" borderId="34" xfId="1" applyNumberFormat="1" applyFont="1" applyFill="1" applyBorder="1" applyAlignment="1">
      <alignment horizontal="center"/>
    </xf>
    <xf numFmtId="40" fontId="1" fillId="13" borderId="34" xfId="1" applyNumberFormat="1" applyFont="1" applyFill="1" applyBorder="1" applyAlignment="1">
      <alignment horizontal="center"/>
    </xf>
    <xf numFmtId="40" fontId="1" fillId="10" borderId="40" xfId="1" applyNumberFormat="1" applyFont="1" applyFill="1" applyBorder="1" applyAlignment="1">
      <alignment horizontal="center"/>
    </xf>
    <xf numFmtId="40" fontId="1" fillId="13" borderId="59" xfId="1" applyNumberFormat="1" applyFont="1" applyFill="1" applyBorder="1" applyAlignment="1">
      <alignment horizontal="center"/>
    </xf>
    <xf numFmtId="40" fontId="1" fillId="15" borderId="23" xfId="1" applyNumberFormat="1" applyFont="1" applyFill="1" applyBorder="1" applyAlignment="1">
      <alignment horizontal="center"/>
    </xf>
    <xf numFmtId="40" fontId="1" fillId="0" borderId="0" xfId="1" applyNumberFormat="1" applyFont="1" applyBorder="1" applyAlignment="1">
      <alignment horizontal="center"/>
    </xf>
    <xf numFmtId="40" fontId="1" fillId="0" borderId="35" xfId="1" applyNumberFormat="1" applyFont="1" applyBorder="1" applyAlignment="1">
      <alignment horizontal="center"/>
    </xf>
    <xf numFmtId="40" fontId="1" fillId="13" borderId="12" xfId="1" applyNumberFormat="1" applyFont="1" applyFill="1" applyBorder="1" applyAlignment="1">
      <alignment horizontal="center"/>
    </xf>
    <xf numFmtId="40" fontId="1" fillId="15" borderId="14" xfId="1" applyNumberFormat="1" applyFont="1" applyFill="1" applyBorder="1" applyAlignment="1">
      <alignment horizontal="center"/>
    </xf>
    <xf numFmtId="40" fontId="1" fillId="0" borderId="36" xfId="1" applyNumberFormat="1" applyFont="1" applyBorder="1" applyAlignment="1">
      <alignment horizontal="center"/>
    </xf>
    <xf numFmtId="40" fontId="1" fillId="0" borderId="12" xfId="1" applyNumberFormat="1" applyFont="1" applyBorder="1" applyAlignment="1">
      <alignment horizontal="center"/>
    </xf>
    <xf numFmtId="40" fontId="1" fillId="10" borderId="38" xfId="1" applyNumberFormat="1" applyFont="1" applyFill="1" applyBorder="1" applyAlignment="1">
      <alignment horizontal="center"/>
    </xf>
    <xf numFmtId="40" fontId="1" fillId="13" borderId="38" xfId="1" applyNumberFormat="1" applyFont="1" applyFill="1" applyBorder="1" applyAlignment="1">
      <alignment horizontal="center"/>
    </xf>
    <xf numFmtId="40" fontId="1" fillId="10" borderId="57" xfId="1" applyNumberFormat="1" applyFont="1" applyFill="1" applyBorder="1" applyAlignment="1">
      <alignment horizontal="center"/>
    </xf>
    <xf numFmtId="40" fontId="1" fillId="13" borderId="60" xfId="1" applyNumberFormat="1" applyFont="1" applyFill="1" applyBorder="1" applyAlignment="1">
      <alignment horizontal="center"/>
    </xf>
    <xf numFmtId="40" fontId="1" fillId="0" borderId="0" xfId="1" applyNumberFormat="1" applyFont="1" applyAlignment="1">
      <alignment horizontal="center"/>
    </xf>
    <xf numFmtId="40" fontId="1" fillId="15" borderId="13" xfId="1" applyNumberFormat="1" applyFont="1" applyFill="1" applyBorder="1" applyAlignment="1">
      <alignment horizontal="center"/>
    </xf>
    <xf numFmtId="40" fontId="1" fillId="0" borderId="37" xfId="1" applyNumberFormat="1" applyFont="1" applyBorder="1" applyAlignment="1">
      <alignment horizontal="center"/>
    </xf>
    <xf numFmtId="40" fontId="1" fillId="0" borderId="11" xfId="1" applyNumberFormat="1" applyFont="1" applyBorder="1" applyAlignment="1">
      <alignment horizontal="center"/>
    </xf>
    <xf numFmtId="40" fontId="1" fillId="10" borderId="14" xfId="1" applyNumberFormat="1" applyFont="1" applyFill="1" applyBorder="1" applyAlignment="1">
      <alignment horizontal="center"/>
    </xf>
    <xf numFmtId="40" fontId="1" fillId="13" borderId="14" xfId="1" applyNumberFormat="1" applyFont="1" applyFill="1" applyBorder="1" applyAlignment="1">
      <alignment horizontal="center"/>
    </xf>
    <xf numFmtId="40" fontId="1" fillId="10" borderId="61" xfId="1" applyNumberFormat="1" applyFont="1" applyFill="1" applyBorder="1" applyAlignment="1">
      <alignment horizontal="center"/>
    </xf>
    <xf numFmtId="40" fontId="1" fillId="0" borderId="0" xfId="1" applyNumberFormat="1" applyFont="1" applyFill="1" applyBorder="1" applyAlignment="1">
      <alignment horizontal="center"/>
    </xf>
    <xf numFmtId="40" fontId="1" fillId="0" borderId="62" xfId="1" applyNumberFormat="1" applyFont="1" applyFill="1" applyBorder="1" applyAlignment="1">
      <alignment horizontal="center"/>
    </xf>
    <xf numFmtId="0" fontId="0" fillId="20" borderId="9" xfId="0" applyFill="1" applyBorder="1" applyAlignment="1">
      <alignment horizontal="center"/>
    </xf>
    <xf numFmtId="0" fontId="0" fillId="20" borderId="78" xfId="0" applyFill="1" applyBorder="1" applyAlignment="1">
      <alignment horizontal="center"/>
    </xf>
    <xf numFmtId="0" fontId="0" fillId="0" borderId="0" xfId="0" applyAlignment="1">
      <alignment vertical="center"/>
    </xf>
    <xf numFmtId="44" fontId="2" fillId="10" borderId="22" xfId="0" applyNumberFormat="1" applyFont="1" applyFill="1" applyBorder="1" applyAlignment="1" applyProtection="1">
      <alignment horizontal="center"/>
      <protection locked="0"/>
    </xf>
    <xf numFmtId="164" fontId="0" fillId="10" borderId="1" xfId="0" applyNumberFormat="1" applyFill="1" applyBorder="1" applyAlignment="1">
      <alignment horizontal="center" vertical="center"/>
    </xf>
    <xf numFmtId="164" fontId="0" fillId="11" borderId="0" xfId="0" applyNumberFormat="1" applyFill="1" applyAlignment="1">
      <alignment horizontal="center" vertical="center"/>
    </xf>
    <xf numFmtId="164" fontId="1" fillId="10" borderId="1" xfId="0" applyNumberFormat="1" applyFont="1" applyFill="1" applyBorder="1" applyAlignment="1">
      <alignment horizontal="center" vertical="center"/>
    </xf>
    <xf numFmtId="0" fontId="46" fillId="0" borderId="42" xfId="0" applyFont="1" applyBorder="1" applyAlignment="1" applyProtection="1">
      <alignment horizontal="center"/>
      <protection locked="0"/>
    </xf>
    <xf numFmtId="0" fontId="46" fillId="0" borderId="42" xfId="0" applyFont="1" applyBorder="1" applyAlignment="1">
      <alignment horizontal="center"/>
    </xf>
    <xf numFmtId="0" fontId="3" fillId="0" borderId="0" xfId="0" applyFont="1" applyAlignment="1">
      <alignment horizontal="center"/>
    </xf>
    <xf numFmtId="6" fontId="2" fillId="0" borderId="31" xfId="0" applyNumberFormat="1" applyFont="1" applyBorder="1" applyAlignment="1">
      <alignment horizontal="center" vertical="center"/>
    </xf>
    <xf numFmtId="6" fontId="2" fillId="1" borderId="17" xfId="0" applyNumberFormat="1" applyFont="1" applyFill="1" applyBorder="1" applyAlignment="1" applyProtection="1">
      <alignment horizontal="center" vertical="center"/>
      <protection locked="0"/>
    </xf>
    <xf numFmtId="165" fontId="14" fillId="8" borderId="0" xfId="0" applyNumberFormat="1" applyFont="1" applyFill="1" applyAlignment="1">
      <alignment horizontal="center"/>
    </xf>
    <xf numFmtId="165" fontId="14" fillId="8" borderId="0" xfId="0" applyNumberFormat="1" applyFont="1" applyFill="1" applyAlignment="1">
      <alignment horizontal="left"/>
    </xf>
    <xf numFmtId="165" fontId="14" fillId="8" borderId="67" xfId="0" applyNumberFormat="1" applyFont="1" applyFill="1" applyBorder="1"/>
    <xf numFmtId="1" fontId="6" fillId="8" borderId="0" xfId="0" applyNumberFormat="1" applyFont="1" applyFill="1" applyAlignment="1">
      <alignment horizontal="center"/>
    </xf>
    <xf numFmtId="0" fontId="14" fillId="0" borderId="0" xfId="0" applyFont="1" applyAlignment="1">
      <alignment horizontal="center"/>
    </xf>
    <xf numFmtId="0" fontId="6" fillId="5" borderId="0" xfId="0" applyFont="1" applyFill="1" applyAlignment="1">
      <alignment horizontal="right"/>
    </xf>
    <xf numFmtId="0" fontId="4" fillId="0" borderId="20" xfId="0" applyFont="1" applyBorder="1" applyAlignment="1">
      <alignment horizontal="center"/>
    </xf>
    <xf numFmtId="0" fontId="4" fillId="0" borderId="21" xfId="0" applyFont="1" applyBorder="1" applyAlignment="1">
      <alignment horizontal="center"/>
    </xf>
    <xf numFmtId="0" fontId="1" fillId="5" borderId="0" xfId="0" applyFont="1" applyFill="1" applyAlignment="1">
      <alignment horizontal="center"/>
    </xf>
    <xf numFmtId="0" fontId="6" fillId="5" borderId="0" xfId="0" applyFont="1" applyFill="1" applyAlignment="1">
      <alignment horizontal="center"/>
    </xf>
    <xf numFmtId="0" fontId="54" fillId="25" borderId="13" xfId="0" applyFont="1" applyFill="1" applyBorder="1" applyAlignment="1" applyProtection="1">
      <alignment horizontal="center"/>
      <protection locked="0"/>
    </xf>
    <xf numFmtId="0" fontId="54" fillId="25" borderId="14" xfId="0" applyFont="1" applyFill="1" applyBorder="1" applyAlignment="1" applyProtection="1">
      <alignment horizontal="center"/>
      <protection locked="0"/>
    </xf>
    <xf numFmtId="0" fontId="46" fillId="25" borderId="39" xfId="0" applyFont="1" applyFill="1" applyBorder="1" applyAlignment="1" applyProtection="1">
      <alignment horizontal="center"/>
      <protection locked="0"/>
    </xf>
    <xf numFmtId="0" fontId="46" fillId="25" borderId="13" xfId="0" applyFont="1" applyFill="1" applyBorder="1" applyAlignment="1">
      <alignment horizontal="center"/>
    </xf>
    <xf numFmtId="0" fontId="46" fillId="25" borderId="24" xfId="0" applyFont="1" applyFill="1" applyBorder="1" applyAlignment="1" applyProtection="1">
      <alignment horizontal="center"/>
      <protection locked="0"/>
    </xf>
    <xf numFmtId="0" fontId="46" fillId="25" borderId="14" xfId="0" applyFont="1" applyFill="1" applyBorder="1" applyAlignment="1">
      <alignment horizontal="center"/>
    </xf>
    <xf numFmtId="0" fontId="55" fillId="25" borderId="42" xfId="0" applyFont="1" applyFill="1" applyBorder="1" applyAlignment="1" applyProtection="1">
      <alignment horizontal="center"/>
      <protection locked="0"/>
    </xf>
    <xf numFmtId="0" fontId="46" fillId="25" borderId="42" xfId="0" applyFont="1" applyFill="1" applyBorder="1" applyAlignment="1">
      <alignment horizontal="center"/>
    </xf>
    <xf numFmtId="0" fontId="54" fillId="25" borderId="1" xfId="0" applyFont="1" applyFill="1" applyBorder="1"/>
    <xf numFmtId="0" fontId="54" fillId="25" borderId="1" xfId="0" applyFont="1" applyFill="1" applyBorder="1" applyAlignment="1" applyProtection="1">
      <alignment horizontal="center"/>
      <protection locked="0"/>
    </xf>
    <xf numFmtId="0" fontId="56" fillId="5" borderId="0" xfId="0" applyFont="1" applyFill="1" applyAlignment="1">
      <alignment horizontal="right"/>
    </xf>
    <xf numFmtId="0" fontId="1" fillId="0" borderId="12" xfId="0" applyFont="1" applyBorder="1"/>
    <xf numFmtId="0" fontId="0" fillId="5" borderId="0" xfId="0" applyFill="1" applyAlignment="1">
      <alignment horizontal="right"/>
    </xf>
    <xf numFmtId="0" fontId="57" fillId="5" borderId="0" xfId="0" applyFont="1" applyFill="1" applyAlignment="1">
      <alignment horizontal="center"/>
    </xf>
    <xf numFmtId="1" fontId="11" fillId="0" borderId="13" xfId="0" applyNumberFormat="1" applyFont="1" applyBorder="1" applyAlignment="1">
      <alignment horizontal="center"/>
    </xf>
    <xf numFmtId="1" fontId="0" fillId="0" borderId="14" xfId="0" applyNumberFormat="1" applyBorder="1" applyAlignment="1">
      <alignment horizontal="center"/>
    </xf>
    <xf numFmtId="1" fontId="37" fillId="25" borderId="43" xfId="0" applyNumberFormat="1" applyFont="1" applyFill="1" applyBorder="1" applyAlignment="1" applyProtection="1">
      <alignment horizontal="center"/>
      <protection locked="0"/>
    </xf>
    <xf numFmtId="1" fontId="37" fillId="25" borderId="44" xfId="0" applyNumberFormat="1" applyFont="1" applyFill="1" applyBorder="1" applyAlignment="1" applyProtection="1">
      <alignment horizontal="center"/>
      <protection locked="0"/>
    </xf>
    <xf numFmtId="1" fontId="37" fillId="25" borderId="45" xfId="0" applyNumberFormat="1" applyFont="1" applyFill="1" applyBorder="1" applyAlignment="1" applyProtection="1">
      <alignment horizontal="center"/>
      <protection locked="0"/>
    </xf>
    <xf numFmtId="0" fontId="29" fillId="5" borderId="0" xfId="0" applyFont="1" applyFill="1"/>
    <xf numFmtId="0" fontId="7" fillId="0" borderId="10" xfId="0" applyFont="1" applyBorder="1" applyAlignment="1" applyProtection="1">
      <alignment horizontal="center"/>
      <protection locked="0"/>
    </xf>
    <xf numFmtId="44" fontId="6" fillId="0" borderId="67" xfId="0" applyNumberFormat="1" applyFont="1" applyBorder="1"/>
    <xf numFmtId="0" fontId="14" fillId="0" borderId="0" xfId="0" applyFont="1" applyAlignment="1">
      <alignment wrapText="1"/>
    </xf>
    <xf numFmtId="0" fontId="20" fillId="0" borderId="0" xfId="0" applyFont="1" applyAlignment="1">
      <alignment horizontal="center"/>
    </xf>
    <xf numFmtId="44" fontId="6" fillId="0" borderId="0" xfId="0" applyNumberFormat="1" applyFont="1"/>
    <xf numFmtId="0" fontId="13" fillId="0" borderId="0" xfId="0" applyFont="1" applyAlignment="1">
      <alignment horizontal="center" vertical="center" wrapText="1"/>
    </xf>
    <xf numFmtId="44" fontId="6" fillId="0" borderId="0" xfId="0" applyNumberFormat="1" applyFont="1" applyAlignment="1">
      <alignment wrapText="1"/>
    </xf>
    <xf numFmtId="0" fontId="0" fillId="0" borderId="1" xfId="0" applyBorder="1" applyAlignment="1">
      <alignment horizontal="center" vertical="center"/>
    </xf>
    <xf numFmtId="0" fontId="0" fillId="0" borderId="9" xfId="0" applyBorder="1" applyAlignment="1">
      <alignment horizontal="center" vertical="center"/>
    </xf>
    <xf numFmtId="0" fontId="52" fillId="0" borderId="0" xfId="0" applyFont="1" applyAlignment="1">
      <alignment vertical="center"/>
    </xf>
    <xf numFmtId="0" fontId="60" fillId="25" borderId="48" xfId="0" applyFont="1" applyFill="1" applyBorder="1" applyAlignment="1" applyProtection="1">
      <alignment horizontal="center" vertical="center"/>
      <protection locked="0"/>
    </xf>
    <xf numFmtId="0" fontId="0" fillId="0" borderId="0" xfId="0" applyAlignment="1">
      <alignment horizontal="left" vertical="center"/>
    </xf>
    <xf numFmtId="0" fontId="0" fillId="35" borderId="0" xfId="0" applyFill="1"/>
    <xf numFmtId="0" fontId="0" fillId="1" borderId="0" xfId="0" applyFill="1" applyAlignment="1">
      <alignment horizontal="center" vertical="center"/>
    </xf>
    <xf numFmtId="0" fontId="62" fillId="0" borderId="11" xfId="0" applyFont="1" applyBorder="1" applyAlignment="1" applyProtection="1">
      <alignment horizontal="center" vertical="center"/>
      <protection locked="0"/>
    </xf>
    <xf numFmtId="0" fontId="62" fillId="0" borderId="39" xfId="0" applyFont="1" applyBorder="1" applyAlignment="1" applyProtection="1">
      <alignment horizontal="center" vertical="center"/>
      <protection locked="0"/>
    </xf>
    <xf numFmtId="0" fontId="62" fillId="0" borderId="96" xfId="0" applyFont="1" applyBorder="1" applyAlignment="1" applyProtection="1">
      <alignment horizontal="center" vertical="center"/>
      <protection locked="0"/>
    </xf>
    <xf numFmtId="0" fontId="62" fillId="0" borderId="13" xfId="0" applyFont="1" applyBorder="1" applyAlignment="1" applyProtection="1">
      <alignment horizontal="center" vertical="center"/>
      <protection locked="0"/>
    </xf>
    <xf numFmtId="0" fontId="62" fillId="0" borderId="48" xfId="0" applyFont="1" applyBorder="1" applyAlignment="1" applyProtection="1">
      <alignment horizontal="center" vertical="center"/>
      <protection locked="0"/>
    </xf>
    <xf numFmtId="0" fontId="62" fillId="0" borderId="39" xfId="0" applyFont="1" applyBorder="1" applyAlignment="1">
      <alignment horizontal="center" vertical="center"/>
    </xf>
    <xf numFmtId="0" fontId="62" fillId="0" borderId="13" xfId="0" applyFont="1" applyBorder="1" applyAlignment="1">
      <alignment horizontal="center" vertical="center"/>
    </xf>
    <xf numFmtId="0" fontId="62" fillId="0" borderId="35" xfId="0" applyFont="1" applyBorder="1" applyAlignment="1">
      <alignment horizontal="center" vertical="center"/>
    </xf>
    <xf numFmtId="0" fontId="62" fillId="0" borderId="1" xfId="0" applyFont="1" applyBorder="1" applyAlignment="1">
      <alignment horizontal="center" vertical="center"/>
    </xf>
    <xf numFmtId="0" fontId="62" fillId="0" borderId="46" xfId="0" applyFont="1" applyBorder="1" applyAlignment="1">
      <alignment horizontal="center" vertical="center"/>
    </xf>
    <xf numFmtId="0" fontId="62" fillId="0" borderId="23" xfId="0" applyFont="1" applyBorder="1" applyAlignment="1">
      <alignment horizontal="center" vertical="center"/>
    </xf>
    <xf numFmtId="0" fontId="62" fillId="0" borderId="33" xfId="0" applyFont="1" applyBorder="1" applyAlignment="1" applyProtection="1">
      <alignment horizontal="center" vertical="center"/>
      <protection locked="0"/>
    </xf>
    <xf numFmtId="0" fontId="62" fillId="0" borderId="9" xfId="0" applyFont="1" applyBorder="1" applyAlignment="1" applyProtection="1">
      <alignment horizontal="center" vertical="center"/>
      <protection locked="0"/>
    </xf>
    <xf numFmtId="0" fontId="62" fillId="0" borderId="41" xfId="0" applyFont="1" applyBorder="1" applyAlignment="1" applyProtection="1">
      <alignment horizontal="center" vertical="center"/>
      <protection locked="0"/>
    </xf>
    <xf numFmtId="0" fontId="62" fillId="0" borderId="34" xfId="0" applyFont="1" applyBorder="1" applyAlignment="1" applyProtection="1">
      <alignment horizontal="center" vertical="center"/>
      <protection locked="0"/>
    </xf>
    <xf numFmtId="0" fontId="62" fillId="0" borderId="79" xfId="0" applyFont="1" applyBorder="1" applyAlignment="1" applyProtection="1">
      <alignment horizontal="center" vertical="center"/>
      <protection locked="0"/>
    </xf>
    <xf numFmtId="0" fontId="62" fillId="0" borderId="1" xfId="0" applyFont="1" applyBorder="1" applyAlignment="1" applyProtection="1">
      <alignment horizontal="center" vertical="center"/>
      <protection locked="0"/>
    </xf>
    <xf numFmtId="0" fontId="62" fillId="0" borderId="9" xfId="0" applyFont="1" applyBorder="1" applyAlignment="1">
      <alignment horizontal="center" vertical="center"/>
    </xf>
    <xf numFmtId="0" fontId="62" fillId="0" borderId="34" xfId="0" applyFont="1" applyBorder="1" applyAlignment="1">
      <alignment horizontal="center" vertical="center"/>
    </xf>
    <xf numFmtId="0" fontId="62" fillId="0" borderId="35" xfId="0" applyFont="1" applyBorder="1" applyAlignment="1" applyProtection="1">
      <alignment horizontal="center" vertical="center"/>
      <protection locked="0"/>
    </xf>
    <xf numFmtId="0" fontId="62" fillId="0" borderId="50" xfId="0" applyFont="1" applyBorder="1" applyAlignment="1" applyProtection="1">
      <alignment horizontal="center" vertical="center"/>
      <protection locked="0"/>
    </xf>
    <xf numFmtId="0" fontId="62" fillId="0" borderId="23" xfId="0" applyFont="1" applyBorder="1" applyAlignment="1" applyProtection="1">
      <alignment horizontal="center" vertical="center"/>
      <protection locked="0"/>
    </xf>
    <xf numFmtId="0" fontId="62" fillId="0" borderId="49" xfId="0" applyFont="1" applyBorder="1" applyAlignment="1" applyProtection="1">
      <alignment horizontal="center" vertical="center"/>
      <protection locked="0"/>
    </xf>
    <xf numFmtId="0" fontId="62" fillId="0" borderId="80" xfId="0" applyFont="1" applyBorder="1" applyAlignment="1" applyProtection="1">
      <alignment horizontal="center" vertical="center"/>
      <protection locked="0"/>
    </xf>
    <xf numFmtId="0" fontId="62" fillId="0" borderId="22" xfId="0" applyFont="1" applyBorder="1" applyAlignment="1" applyProtection="1">
      <alignment horizontal="center" vertical="center"/>
      <protection locked="0"/>
    </xf>
    <xf numFmtId="0" fontId="62" fillId="0" borderId="68" xfId="0" applyFont="1" applyBorder="1" applyAlignment="1" applyProtection="1">
      <alignment horizontal="center" vertical="center"/>
      <protection locked="0"/>
    </xf>
    <xf numFmtId="0" fontId="62" fillId="0" borderId="81" xfId="0" applyFont="1" applyBorder="1" applyAlignment="1" applyProtection="1">
      <alignment horizontal="center" vertical="center"/>
      <protection locked="0"/>
    </xf>
    <xf numFmtId="0" fontId="62" fillId="0" borderId="94" xfId="0" applyFont="1" applyBorder="1" applyAlignment="1" applyProtection="1">
      <alignment horizontal="center" vertical="center"/>
      <protection locked="0"/>
    </xf>
    <xf numFmtId="0" fontId="62" fillId="0" borderId="22" xfId="0" applyFont="1" applyBorder="1" applyAlignment="1">
      <alignment horizontal="center" vertical="center"/>
    </xf>
    <xf numFmtId="0" fontId="62" fillId="0" borderId="81" xfId="0" applyFont="1" applyBorder="1" applyAlignment="1">
      <alignment horizontal="center" vertical="center"/>
    </xf>
    <xf numFmtId="0" fontId="62" fillId="0" borderId="97" xfId="0" applyFont="1" applyBorder="1" applyAlignment="1" applyProtection="1">
      <alignment horizontal="center" vertical="center"/>
      <protection locked="0"/>
    </xf>
    <xf numFmtId="0" fontId="62" fillId="0" borderId="10" xfId="0" applyFont="1" applyBorder="1" applyAlignment="1" applyProtection="1">
      <alignment horizontal="center" vertical="center"/>
      <protection locked="0"/>
    </xf>
    <xf numFmtId="0" fontId="62" fillId="0" borderId="105" xfId="0" applyFont="1" applyBorder="1" applyAlignment="1" applyProtection="1">
      <alignment horizontal="center" vertical="center"/>
      <protection locked="0"/>
    </xf>
    <xf numFmtId="0" fontId="62" fillId="0" borderId="98" xfId="0" applyFont="1" applyBorder="1" applyAlignment="1" applyProtection="1">
      <alignment horizontal="center" vertical="center"/>
      <protection locked="0"/>
    </xf>
    <xf numFmtId="0" fontId="62" fillId="0" borderId="106" xfId="0" applyFont="1" applyBorder="1" applyAlignment="1" applyProtection="1">
      <alignment horizontal="center" vertical="center"/>
      <protection locked="0"/>
    </xf>
    <xf numFmtId="0" fontId="62" fillId="0" borderId="10" xfId="0" applyFont="1" applyBorder="1" applyAlignment="1">
      <alignment horizontal="center" vertical="center"/>
    </xf>
    <xf numFmtId="0" fontId="62" fillId="0" borderId="98" xfId="0" applyFont="1" applyBorder="1" applyAlignment="1">
      <alignment horizontal="center" vertical="center"/>
    </xf>
    <xf numFmtId="0" fontId="62" fillId="0" borderId="107" xfId="0" applyFont="1" applyBorder="1" applyAlignment="1">
      <alignment horizontal="center" vertical="center"/>
    </xf>
    <xf numFmtId="0" fontId="62" fillId="0" borderId="97" xfId="0" applyFont="1" applyBorder="1" applyAlignment="1">
      <alignment horizontal="center" vertical="center"/>
    </xf>
    <xf numFmtId="0" fontId="62" fillId="0" borderId="103" xfId="0" applyFont="1" applyBorder="1" applyAlignment="1">
      <alignment horizontal="center" vertical="center"/>
    </xf>
    <xf numFmtId="0" fontId="53" fillId="5" borderId="0" xfId="0" applyFont="1" applyFill="1"/>
    <xf numFmtId="0" fontId="54" fillId="25" borderId="11" xfId="0" applyFont="1" applyFill="1" applyBorder="1" applyAlignment="1">
      <alignment horizontal="center"/>
    </xf>
    <xf numFmtId="0" fontId="54" fillId="25" borderId="13" xfId="0" applyFont="1" applyFill="1" applyBorder="1" applyAlignment="1">
      <alignment horizontal="center"/>
    </xf>
    <xf numFmtId="0" fontId="54" fillId="25" borderId="35" xfId="0" applyFont="1" applyFill="1" applyBorder="1" applyAlignment="1">
      <alignment horizontal="center"/>
    </xf>
    <xf numFmtId="0" fontId="54" fillId="25" borderId="23" xfId="0" applyFont="1" applyFill="1" applyBorder="1" applyAlignment="1">
      <alignment horizontal="center"/>
    </xf>
    <xf numFmtId="0" fontId="54" fillId="25" borderId="12" xfId="0" applyFont="1" applyFill="1" applyBorder="1" applyAlignment="1">
      <alignment horizontal="center"/>
    </xf>
    <xf numFmtId="0" fontId="54" fillId="25" borderId="14" xfId="0" applyFont="1" applyFill="1" applyBorder="1" applyAlignment="1">
      <alignment horizontal="center"/>
    </xf>
    <xf numFmtId="0" fontId="3" fillId="0" borderId="16" xfId="0" applyFont="1" applyBorder="1"/>
    <xf numFmtId="0" fontId="18" fillId="0" borderId="65" xfId="0" applyFont="1" applyBorder="1"/>
    <xf numFmtId="0" fontId="17" fillId="0" borderId="16" xfId="0" applyFont="1" applyBorder="1"/>
    <xf numFmtId="0" fontId="0" fillId="0" borderId="65" xfId="0" applyBorder="1"/>
    <xf numFmtId="0" fontId="17" fillId="0" borderId="20" xfId="0" applyFont="1" applyBorder="1"/>
    <xf numFmtId="0" fontId="0" fillId="0" borderId="36" xfId="0" applyBorder="1"/>
    <xf numFmtId="0" fontId="0" fillId="0" borderId="83" xfId="0" applyBorder="1"/>
    <xf numFmtId="0" fontId="51" fillId="0" borderId="0" xfId="0" applyFont="1" applyAlignment="1">
      <alignment vertical="center" wrapText="1"/>
    </xf>
    <xf numFmtId="0" fontId="21" fillId="0" borderId="55" xfId="0" applyFont="1" applyBorder="1" applyAlignment="1" applyProtection="1">
      <alignment horizontal="center" vertical="center"/>
      <protection locked="0"/>
    </xf>
    <xf numFmtId="0" fontId="21" fillId="0" borderId="21" xfId="0" applyFont="1" applyBorder="1" applyAlignment="1" applyProtection="1">
      <alignment horizontal="center" vertical="center"/>
      <protection locked="0"/>
    </xf>
    <xf numFmtId="0" fontId="21" fillId="0" borderId="38" xfId="0" applyFont="1" applyBorder="1" applyAlignment="1" applyProtection="1">
      <alignment horizontal="center" vertical="center"/>
      <protection locked="0"/>
    </xf>
    <xf numFmtId="1" fontId="21" fillId="0" borderId="21" xfId="0" applyNumberFormat="1" applyFont="1" applyBorder="1" applyAlignment="1" applyProtection="1">
      <alignment horizontal="center" vertical="center"/>
      <protection locked="0"/>
    </xf>
    <xf numFmtId="0" fontId="19" fillId="0" borderId="108" xfId="0" applyFont="1" applyBorder="1" applyAlignment="1">
      <alignment horizontal="center" vertical="center"/>
    </xf>
    <xf numFmtId="0" fontId="19" fillId="0" borderId="62" xfId="0" applyFont="1" applyBorder="1" applyAlignment="1">
      <alignment horizontal="center" vertical="center"/>
    </xf>
    <xf numFmtId="0" fontId="19" fillId="0" borderId="109" xfId="0" applyFont="1" applyBorder="1" applyAlignment="1">
      <alignment horizontal="center" vertical="center"/>
    </xf>
    <xf numFmtId="0" fontId="47" fillId="0" borderId="37" xfId="0" applyFont="1" applyBorder="1" applyAlignment="1">
      <alignment horizontal="left" vertical="center"/>
    </xf>
    <xf numFmtId="0" fontId="47" fillId="0" borderId="82" xfId="0" applyFont="1" applyBorder="1" applyAlignment="1">
      <alignment horizontal="left" vertical="center"/>
    </xf>
    <xf numFmtId="0" fontId="47" fillId="0" borderId="16" xfId="0" applyFont="1" applyBorder="1" applyAlignment="1">
      <alignment horizontal="left" vertical="center"/>
    </xf>
    <xf numFmtId="0" fontId="47" fillId="0" borderId="0" xfId="0" applyFont="1" applyAlignment="1">
      <alignment horizontal="left" vertical="center"/>
    </xf>
    <xf numFmtId="0" fontId="47" fillId="0" borderId="65" xfId="0" applyFont="1" applyBorder="1" applyAlignment="1">
      <alignment horizontal="left" vertical="center"/>
    </xf>
    <xf numFmtId="0" fontId="47" fillId="0" borderId="20" xfId="0" applyFont="1" applyBorder="1" applyAlignment="1">
      <alignment horizontal="left" vertical="center"/>
    </xf>
    <xf numFmtId="0" fontId="47" fillId="0" borderId="36" xfId="0" applyFont="1" applyBorder="1" applyAlignment="1">
      <alignment horizontal="left" vertical="center"/>
    </xf>
    <xf numFmtId="0" fontId="47" fillId="0" borderId="83" xfId="0" applyFont="1" applyBorder="1" applyAlignment="1">
      <alignment horizontal="left" vertical="center"/>
    </xf>
    <xf numFmtId="0" fontId="47" fillId="0" borderId="5" xfId="0" applyFont="1" applyBorder="1" applyAlignment="1">
      <alignment horizontal="left" vertical="center"/>
    </xf>
    <xf numFmtId="0" fontId="8" fillId="13" borderId="42" xfId="0" applyFont="1" applyFill="1" applyBorder="1" applyAlignment="1" applyProtection="1">
      <alignment horizontal="center"/>
      <protection locked="0"/>
    </xf>
    <xf numFmtId="0" fontId="55" fillId="5" borderId="0" xfId="0" applyFont="1" applyFill="1" applyAlignment="1">
      <alignment horizontal="right"/>
    </xf>
    <xf numFmtId="0" fontId="55" fillId="5" borderId="0" xfId="0" applyFont="1" applyFill="1"/>
    <xf numFmtId="1" fontId="19" fillId="0" borderId="25" xfId="0" applyNumberFormat="1" applyFont="1" applyBorder="1" applyAlignment="1">
      <alignment horizontal="center" vertical="center"/>
    </xf>
    <xf numFmtId="1" fontId="19" fillId="0" borderId="31" xfId="0" applyNumberFormat="1" applyFont="1" applyBorder="1" applyAlignment="1">
      <alignment horizontal="center" vertical="center"/>
    </xf>
    <xf numFmtId="1" fontId="19" fillId="0" borderId="104" xfId="0" applyNumberFormat="1" applyFont="1" applyBorder="1" applyAlignment="1">
      <alignment horizontal="center" vertical="center"/>
    </xf>
    <xf numFmtId="1" fontId="19" fillId="0" borderId="15" xfId="0" applyNumberFormat="1" applyFont="1" applyBorder="1" applyAlignment="1">
      <alignment horizontal="center" vertical="center"/>
    </xf>
    <xf numFmtId="0" fontId="62" fillId="0" borderId="37" xfId="0" applyFont="1" applyBorder="1" applyAlignment="1">
      <alignment horizontal="center" vertical="center"/>
    </xf>
    <xf numFmtId="0" fontId="62" fillId="0" borderId="11" xfId="0" applyFont="1" applyBorder="1" applyAlignment="1">
      <alignment horizontal="center" vertical="center"/>
    </xf>
    <xf numFmtId="0" fontId="62" fillId="0" borderId="56" xfId="0" applyFont="1" applyBorder="1" applyAlignment="1">
      <alignment horizontal="center" vertical="center"/>
    </xf>
    <xf numFmtId="0" fontId="62" fillId="0" borderId="0" xfId="0" applyFont="1" applyAlignment="1">
      <alignment horizontal="center" vertical="center"/>
    </xf>
    <xf numFmtId="0" fontId="31" fillId="0" borderId="16" xfId="0" applyFont="1" applyBorder="1" applyAlignment="1" applyProtection="1">
      <alignment horizontal="center" vertical="center"/>
      <protection locked="0"/>
    </xf>
    <xf numFmtId="0" fontId="63" fillId="1" borderId="0" xfId="0" applyFont="1" applyFill="1" applyAlignment="1">
      <alignment horizontal="center" vertical="center"/>
    </xf>
    <xf numFmtId="0" fontId="6" fillId="1" borderId="16" xfId="0" applyFont="1" applyFill="1" applyBorder="1"/>
    <xf numFmtId="0" fontId="47" fillId="1" borderId="0" xfId="0" applyFont="1" applyFill="1" applyAlignment="1">
      <alignment vertical="top" wrapText="1"/>
    </xf>
    <xf numFmtId="0" fontId="47" fillId="1" borderId="0" xfId="0" applyFont="1" applyFill="1" applyAlignment="1">
      <alignment horizontal="center" vertical="top" wrapText="1"/>
    </xf>
    <xf numFmtId="0" fontId="51" fillId="0" borderId="0" xfId="0" applyFont="1" applyAlignment="1">
      <alignment horizontal="right" vertical="center" wrapText="1"/>
    </xf>
    <xf numFmtId="0" fontId="0" fillId="1" borderId="16" xfId="0" applyFill="1" applyBorder="1"/>
    <xf numFmtId="0" fontId="47" fillId="1" borderId="65" xfId="0" applyFont="1" applyFill="1" applyBorder="1" applyAlignment="1">
      <alignment horizontal="center" vertical="top" wrapText="1"/>
    </xf>
    <xf numFmtId="0" fontId="0" fillId="1" borderId="36" xfId="0" applyFill="1" applyBorder="1"/>
    <xf numFmtId="0" fontId="47" fillId="1" borderId="36" xfId="0" applyFont="1" applyFill="1" applyBorder="1" applyAlignment="1">
      <alignment horizontal="center" vertical="top" wrapText="1"/>
    </xf>
    <xf numFmtId="0" fontId="47" fillId="1" borderId="83" xfId="0" applyFont="1" applyFill="1" applyBorder="1" applyAlignment="1">
      <alignment horizontal="center" vertical="top" wrapText="1"/>
    </xf>
    <xf numFmtId="0" fontId="6" fillId="5" borderId="3" xfId="0" applyFont="1" applyFill="1" applyBorder="1"/>
    <xf numFmtId="0" fontId="65" fillId="25" borderId="48" xfId="0" applyFont="1" applyFill="1" applyBorder="1" applyAlignment="1" applyProtection="1">
      <alignment horizontal="center" vertical="center"/>
      <protection locked="0"/>
    </xf>
    <xf numFmtId="0" fontId="40" fillId="5" borderId="0" xfId="0" applyFont="1" applyFill="1" applyAlignment="1">
      <alignment vertical="center"/>
    </xf>
    <xf numFmtId="1" fontId="0" fillId="10" borderId="9" xfId="0" applyNumberFormat="1" applyFill="1" applyBorder="1" applyAlignment="1">
      <alignment horizontal="center" vertical="center"/>
    </xf>
    <xf numFmtId="0" fontId="0" fillId="10" borderId="9" xfId="0" applyFill="1" applyBorder="1" applyAlignment="1">
      <alignment horizontal="center" vertical="center"/>
    </xf>
    <xf numFmtId="0" fontId="0" fillId="11" borderId="0" xfId="0" applyFill="1" applyAlignment="1">
      <alignment horizontal="center" vertical="center"/>
    </xf>
    <xf numFmtId="0" fontId="0" fillId="10" borderId="39" xfId="0" applyFill="1" applyBorder="1" applyAlignment="1">
      <alignment horizontal="center" vertical="center"/>
    </xf>
    <xf numFmtId="0" fontId="0" fillId="10" borderId="25" xfId="0" applyFill="1" applyBorder="1" applyAlignment="1">
      <alignment horizontal="center" vertical="center"/>
    </xf>
    <xf numFmtId="0" fontId="0" fillId="10" borderId="21" xfId="0" applyFill="1" applyBorder="1" applyAlignment="1">
      <alignment horizontal="center" vertical="center"/>
    </xf>
    <xf numFmtId="0" fontId="0" fillId="10" borderId="69" xfId="0" applyFill="1" applyBorder="1" applyAlignment="1">
      <alignment horizontal="center" vertical="center"/>
    </xf>
    <xf numFmtId="0" fontId="0" fillId="10" borderId="17" xfId="0" applyFill="1" applyBorder="1" applyAlignment="1">
      <alignment horizontal="center" vertical="center"/>
    </xf>
    <xf numFmtId="0" fontId="0" fillId="10" borderId="8" xfId="0" applyFill="1" applyBorder="1" applyAlignment="1">
      <alignment horizontal="center" vertical="center"/>
    </xf>
    <xf numFmtId="0" fontId="0" fillId="10" borderId="18" xfId="0" applyFill="1" applyBorder="1" applyAlignment="1">
      <alignment horizontal="center" vertical="center"/>
    </xf>
    <xf numFmtId="0" fontId="0" fillId="0" borderId="0" xfId="0" applyAlignment="1">
      <alignment horizontal="right" vertical="center"/>
    </xf>
    <xf numFmtId="0" fontId="0" fillId="20" borderId="9" xfId="0" applyFill="1" applyBorder="1" applyAlignment="1">
      <alignment horizontal="center" vertical="center"/>
    </xf>
    <xf numFmtId="0" fontId="0" fillId="20" borderId="78" xfId="0" applyFill="1" applyBorder="1" applyAlignment="1">
      <alignment horizontal="center" vertical="center"/>
    </xf>
    <xf numFmtId="0" fontId="0" fillId="10" borderId="28" xfId="0" applyFill="1" applyBorder="1" applyAlignment="1">
      <alignment horizontal="center" vertical="center"/>
    </xf>
    <xf numFmtId="0" fontId="0" fillId="11" borderId="0" xfId="0" applyFill="1" applyAlignment="1">
      <alignment vertical="center"/>
    </xf>
    <xf numFmtId="0" fontId="3" fillId="0" borderId="0" xfId="0" applyFont="1" applyAlignment="1">
      <alignment horizontal="right"/>
    </xf>
    <xf numFmtId="0" fontId="0" fillId="10" borderId="1" xfId="0" applyFill="1" applyBorder="1" applyAlignment="1">
      <alignment horizontal="center" vertical="center"/>
    </xf>
    <xf numFmtId="164" fontId="0" fillId="0" borderId="1" xfId="0" applyNumberFormat="1" applyBorder="1" applyAlignment="1">
      <alignment horizontal="center" vertical="center"/>
    </xf>
    <xf numFmtId="164" fontId="0" fillId="1" borderId="0" xfId="0" applyNumberFormat="1" applyFill="1" applyAlignment="1">
      <alignment horizontal="center" vertical="center"/>
    </xf>
    <xf numFmtId="165" fontId="14" fillId="8" borderId="1" xfId="0" applyNumberFormat="1" applyFont="1" applyFill="1" applyBorder="1" applyAlignment="1">
      <alignment horizontal="center" vertical="center"/>
    </xf>
    <xf numFmtId="165" fontId="14" fillId="1" borderId="0" xfId="0" applyNumberFormat="1" applyFont="1" applyFill="1" applyAlignment="1">
      <alignment horizontal="center" vertical="center"/>
    </xf>
    <xf numFmtId="1" fontId="0" fillId="10" borderId="1" xfId="0" applyNumberFormat="1" applyFill="1" applyBorder="1" applyAlignment="1">
      <alignment horizontal="center" vertical="center"/>
    </xf>
    <xf numFmtId="1" fontId="0" fillId="11" borderId="0" xfId="0" applyNumberFormat="1" applyFill="1" applyAlignment="1">
      <alignment horizontal="center" vertical="center"/>
    </xf>
    <xf numFmtId="1" fontId="1" fillId="10" borderId="1" xfId="0" applyNumberFormat="1" applyFont="1" applyFill="1" applyBorder="1" applyAlignment="1">
      <alignment horizontal="center" vertical="center"/>
    </xf>
    <xf numFmtId="44" fontId="2" fillId="10" borderId="22" xfId="0" applyNumberFormat="1" applyFont="1" applyFill="1" applyBorder="1" applyAlignment="1" applyProtection="1">
      <alignment horizontal="center" vertical="center"/>
      <protection locked="0"/>
    </xf>
    <xf numFmtId="0" fontId="0" fillId="0" borderId="10" xfId="0" applyBorder="1" applyAlignment="1">
      <alignment vertical="center"/>
    </xf>
    <xf numFmtId="0" fontId="0" fillId="1" borderId="0" xfId="0" applyFill="1" applyAlignment="1">
      <alignment vertical="center"/>
    </xf>
    <xf numFmtId="0" fontId="0" fillId="9" borderId="1" xfId="0" applyFill="1" applyBorder="1" applyAlignment="1">
      <alignment horizontal="center" vertical="center"/>
    </xf>
    <xf numFmtId="165" fontId="14" fillId="8" borderId="22" xfId="0" applyNumberFormat="1" applyFont="1" applyFill="1" applyBorder="1" applyAlignment="1">
      <alignment horizontal="center" vertical="center"/>
    </xf>
    <xf numFmtId="165" fontId="14" fillId="8" borderId="0" xfId="0" applyNumberFormat="1" applyFont="1" applyFill="1" applyAlignment="1">
      <alignment horizontal="left" vertical="center"/>
    </xf>
    <xf numFmtId="165" fontId="14" fillId="8" borderId="0" xfId="0" applyNumberFormat="1" applyFont="1" applyFill="1" applyAlignment="1">
      <alignment horizontal="center" vertical="center"/>
    </xf>
    <xf numFmtId="1" fontId="6" fillId="8" borderId="0" xfId="0" applyNumberFormat="1" applyFont="1" applyFill="1" applyAlignment="1">
      <alignment horizontal="center" vertical="center"/>
    </xf>
    <xf numFmtId="165" fontId="14" fillId="8" borderId="67" xfId="0" applyNumberFormat="1" applyFont="1" applyFill="1" applyBorder="1" applyAlignment="1">
      <alignment vertical="center"/>
    </xf>
    <xf numFmtId="0" fontId="0" fillId="0" borderId="84" xfId="0" applyBorder="1" applyAlignment="1">
      <alignment horizontal="center" vertical="center"/>
    </xf>
    <xf numFmtId="0" fontId="0" fillId="0" borderId="85" xfId="0" applyBorder="1" applyAlignment="1">
      <alignment horizontal="center" vertical="center"/>
    </xf>
    <xf numFmtId="0" fontId="0" fillId="0" borderId="86" xfId="0" applyBorder="1" applyAlignment="1">
      <alignment horizontal="center" vertical="center"/>
    </xf>
    <xf numFmtId="44" fontId="43" fillId="9" borderId="87" xfId="1" applyFont="1" applyFill="1" applyBorder="1" applyAlignment="1">
      <alignment vertical="center"/>
    </xf>
    <xf numFmtId="44" fontId="43" fillId="9" borderId="1" xfId="1" applyFont="1" applyFill="1" applyBorder="1" applyAlignment="1">
      <alignment vertical="center"/>
    </xf>
    <xf numFmtId="44" fontId="43" fillId="9" borderId="88" xfId="1" applyFont="1" applyFill="1" applyBorder="1" applyAlignment="1">
      <alignment vertical="center"/>
    </xf>
    <xf numFmtId="44" fontId="49" fillId="19" borderId="89" xfId="1" applyFont="1" applyFill="1" applyBorder="1" applyAlignment="1">
      <alignment vertical="center"/>
    </xf>
    <xf numFmtId="44" fontId="49" fillId="19" borderId="0" xfId="1" applyFont="1" applyFill="1" applyBorder="1" applyAlignment="1">
      <alignment vertical="center"/>
    </xf>
    <xf numFmtId="0" fontId="49" fillId="0" borderId="0" xfId="0" applyFont="1" applyAlignment="1">
      <alignment vertical="center"/>
    </xf>
    <xf numFmtId="44" fontId="49" fillId="19" borderId="90" xfId="1" applyFont="1" applyFill="1" applyBorder="1" applyAlignment="1">
      <alignment vertical="center"/>
    </xf>
    <xf numFmtId="44" fontId="44" fillId="0" borderId="91" xfId="1" applyFont="1" applyBorder="1" applyAlignment="1">
      <alignment vertical="center"/>
    </xf>
    <xf numFmtId="44" fontId="44" fillId="0" borderId="92" xfId="1" applyFont="1" applyBorder="1" applyAlignment="1">
      <alignment vertical="center"/>
    </xf>
    <xf numFmtId="44" fontId="44" fillId="0" borderId="93" xfId="1" applyFont="1" applyBorder="1" applyAlignment="1">
      <alignment vertical="center"/>
    </xf>
    <xf numFmtId="0" fontId="6" fillId="0" borderId="64" xfId="0" applyFont="1" applyBorder="1" applyAlignment="1">
      <alignment horizontal="right" vertical="center"/>
    </xf>
    <xf numFmtId="0" fontId="31" fillId="0" borderId="64" xfId="0" applyFont="1" applyBorder="1" applyAlignment="1">
      <alignment horizontal="right" vertical="center"/>
    </xf>
    <xf numFmtId="0" fontId="66" fillId="0" borderId="64" xfId="0" applyFont="1" applyBorder="1" applyAlignment="1">
      <alignment horizontal="right" vertical="center"/>
    </xf>
    <xf numFmtId="0" fontId="67" fillId="0" borderId="0" xfId="0" applyFont="1" applyAlignment="1">
      <alignment horizontal="right" vertical="center"/>
    </xf>
    <xf numFmtId="0" fontId="31" fillId="0" borderId="64" xfId="0" applyFont="1" applyBorder="1" applyAlignment="1">
      <alignment horizontal="right" vertical="center" wrapText="1"/>
    </xf>
    <xf numFmtId="0" fontId="31" fillId="1" borderId="0" xfId="0" applyFont="1" applyFill="1" applyAlignment="1">
      <alignment horizontal="right" vertical="center"/>
    </xf>
    <xf numFmtId="0" fontId="68" fillId="0" borderId="64" xfId="0" applyFont="1" applyBorder="1" applyAlignment="1">
      <alignment horizontal="right" vertical="center"/>
    </xf>
    <xf numFmtId="0" fontId="31" fillId="8" borderId="64" xfId="0" applyFont="1" applyFill="1" applyBorder="1" applyAlignment="1">
      <alignment horizontal="right" vertical="center"/>
    </xf>
    <xf numFmtId="0" fontId="31" fillId="8" borderId="0" xfId="0" applyFont="1" applyFill="1" applyAlignment="1">
      <alignment horizontal="right" vertical="center"/>
    </xf>
    <xf numFmtId="0" fontId="31" fillId="0" borderId="0" xfId="0" applyFont="1" applyAlignment="1">
      <alignment horizontal="right" vertical="center"/>
    </xf>
    <xf numFmtId="0" fontId="31" fillId="8" borderId="0" xfId="0" applyFont="1" applyFill="1" applyAlignment="1">
      <alignment horizontal="right"/>
    </xf>
    <xf numFmtId="0" fontId="66" fillId="0" borderId="64" xfId="0" applyFont="1" applyBorder="1"/>
    <xf numFmtId="0" fontId="67" fillId="0" borderId="0" xfId="0" applyFont="1"/>
    <xf numFmtId="0" fontId="31" fillId="1" borderId="0" xfId="0" applyFont="1" applyFill="1"/>
    <xf numFmtId="0" fontId="31" fillId="0" borderId="64" xfId="0" applyFont="1" applyBorder="1" applyAlignment="1">
      <alignment vertical="center" wrapText="1"/>
    </xf>
    <xf numFmtId="0" fontId="0" fillId="0" borderId="40" xfId="0" applyBorder="1" applyAlignment="1">
      <alignment horizontal="center" vertical="center"/>
    </xf>
    <xf numFmtId="0" fontId="0" fillId="0" borderId="41" xfId="0" applyBorder="1" applyAlignment="1">
      <alignment horizontal="center" vertical="center"/>
    </xf>
    <xf numFmtId="0" fontId="69" fillId="0" borderId="64" xfId="0" applyFont="1" applyBorder="1" applyAlignment="1">
      <alignment horizontal="right" vertical="center"/>
    </xf>
    <xf numFmtId="0" fontId="70" fillId="0" borderId="0" xfId="0" applyFont="1" applyAlignment="1">
      <alignment horizontal="right" vertical="center"/>
    </xf>
    <xf numFmtId="0" fontId="6" fillId="0" borderId="64" xfId="0" applyFont="1" applyBorder="1" applyAlignment="1">
      <alignment horizontal="right" vertical="center" wrapText="1"/>
    </xf>
    <xf numFmtId="0" fontId="6" fillId="0" borderId="0" xfId="0" applyFont="1" applyAlignment="1">
      <alignment horizontal="right" vertical="center"/>
    </xf>
    <xf numFmtId="0" fontId="57" fillId="0" borderId="64" xfId="0" applyFont="1" applyBorder="1" applyAlignment="1">
      <alignment horizontal="right" vertical="center"/>
    </xf>
    <xf numFmtId="0" fontId="6" fillId="8" borderId="64" xfId="0" applyFont="1" applyFill="1" applyBorder="1" applyAlignment="1">
      <alignment horizontal="right" vertical="center"/>
    </xf>
    <xf numFmtId="0" fontId="6" fillId="8" borderId="0" xfId="0" applyFont="1" applyFill="1" applyAlignment="1">
      <alignment horizontal="right" vertical="center"/>
    </xf>
    <xf numFmtId="1" fontId="21" fillId="0" borderId="55" xfId="0" applyNumberFormat="1" applyFont="1" applyBorder="1" applyAlignment="1">
      <alignment horizontal="center" vertical="center"/>
    </xf>
    <xf numFmtId="1" fontId="21" fillId="0" borderId="21" xfId="0" applyNumberFormat="1" applyFont="1" applyBorder="1" applyAlignment="1">
      <alignment horizontal="center" vertical="center"/>
    </xf>
    <xf numFmtId="1" fontId="21" fillId="0" borderId="57" xfId="0" applyNumberFormat="1" applyFont="1" applyBorder="1" applyAlignment="1">
      <alignment horizontal="center" vertical="center"/>
    </xf>
    <xf numFmtId="1" fontId="21" fillId="0" borderId="38" xfId="0" applyNumberFormat="1" applyFont="1" applyBorder="1" applyAlignment="1">
      <alignment horizontal="center" vertical="center"/>
    </xf>
    <xf numFmtId="0" fontId="1" fillId="5" borderId="0" xfId="0" applyFont="1" applyFill="1" applyAlignment="1">
      <alignment horizontal="center" wrapText="1"/>
    </xf>
    <xf numFmtId="0" fontId="1" fillId="5" borderId="0" xfId="0" applyFont="1" applyFill="1" applyAlignment="1">
      <alignment horizontal="right"/>
    </xf>
    <xf numFmtId="0" fontId="1" fillId="5" borderId="65" xfId="0" applyFont="1" applyFill="1" applyBorder="1" applyAlignment="1">
      <alignment horizontal="right"/>
    </xf>
    <xf numFmtId="0" fontId="6" fillId="16" borderId="0" xfId="0" applyFont="1" applyFill="1" applyAlignment="1">
      <alignment horizontal="center"/>
    </xf>
    <xf numFmtId="0" fontId="53" fillId="5" borderId="0" xfId="0" applyFont="1" applyFill="1" applyAlignment="1">
      <alignment horizontal="center"/>
    </xf>
    <xf numFmtId="0" fontId="6" fillId="5" borderId="0" xfId="0" applyFont="1" applyFill="1" applyAlignment="1">
      <alignment horizontal="right"/>
    </xf>
    <xf numFmtId="0" fontId="1" fillId="5" borderId="0" xfId="0" applyFont="1" applyFill="1" applyAlignment="1">
      <alignment horizontal="center"/>
    </xf>
    <xf numFmtId="0" fontId="0" fillId="5" borderId="0" xfId="0" applyFill="1" applyAlignment="1">
      <alignment horizontal="center" wrapText="1"/>
    </xf>
    <xf numFmtId="0" fontId="1" fillId="5" borderId="64" xfId="0" applyFont="1" applyFill="1" applyBorder="1" applyAlignment="1">
      <alignment horizontal="center" vertical="center" wrapText="1"/>
    </xf>
    <xf numFmtId="0" fontId="39" fillId="0" borderId="0" xfId="0" applyFont="1" applyAlignment="1">
      <alignment horizontal="center"/>
    </xf>
    <xf numFmtId="0" fontId="4" fillId="6" borderId="8" xfId="0" applyFont="1" applyFill="1" applyBorder="1" applyAlignment="1">
      <alignment horizontal="center" vertical="center" wrapText="1"/>
    </xf>
    <xf numFmtId="0" fontId="4" fillId="6" borderId="21"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6" borderId="38" xfId="0" applyFont="1" applyFill="1" applyBorder="1" applyAlignment="1">
      <alignment horizontal="center" vertical="center" wrapText="1"/>
    </xf>
    <xf numFmtId="0" fontId="1" fillId="0" borderId="0" xfId="0" applyFont="1" applyAlignment="1">
      <alignment horizontal="center" wrapText="1"/>
    </xf>
    <xf numFmtId="44" fontId="1" fillId="0" borderId="0" xfId="1" applyFont="1" applyAlignment="1">
      <alignment horizontal="center"/>
    </xf>
    <xf numFmtId="0" fontId="4" fillId="6" borderId="39" xfId="0" applyFont="1" applyFill="1" applyBorder="1" applyAlignment="1">
      <alignment horizontal="center" vertical="center" wrapText="1"/>
    </xf>
    <xf numFmtId="0" fontId="4" fillId="6" borderId="24" xfId="0" applyFont="1" applyFill="1" applyBorder="1" applyAlignment="1">
      <alignment horizontal="center" vertical="center" wrapText="1"/>
    </xf>
    <xf numFmtId="0" fontId="20" fillId="0" borderId="67" xfId="0" applyFont="1" applyBorder="1" applyAlignment="1">
      <alignment horizontal="center"/>
    </xf>
    <xf numFmtId="0" fontId="28" fillId="0" borderId="46" xfId="0" applyFont="1" applyBorder="1" applyAlignment="1" applyProtection="1">
      <alignment horizontal="right" vertical="top"/>
      <protection locked="0"/>
    </xf>
    <xf numFmtId="0" fontId="28" fillId="0" borderId="30" xfId="0" applyFont="1" applyBorder="1" applyAlignment="1" applyProtection="1">
      <alignment horizontal="right" vertical="top"/>
      <protection locked="0"/>
    </xf>
    <xf numFmtId="0" fontId="28" fillId="0" borderId="50" xfId="0" applyFont="1" applyBorder="1" applyAlignment="1" applyProtection="1">
      <alignment horizontal="right" vertical="top"/>
      <protection locked="0"/>
    </xf>
    <xf numFmtId="0" fontId="28" fillId="0" borderId="47" xfId="0" applyFont="1" applyBorder="1" applyAlignment="1" applyProtection="1">
      <alignment horizontal="right" vertical="top"/>
      <protection locked="0"/>
    </xf>
    <xf numFmtId="0" fontId="28" fillId="0" borderId="68" xfId="0" applyFont="1" applyBorder="1" applyAlignment="1" applyProtection="1">
      <alignment horizontal="right" vertical="top"/>
      <protection locked="0"/>
    </xf>
    <xf numFmtId="0" fontId="15" fillId="0" borderId="65" xfId="0" applyFont="1" applyBorder="1" applyAlignment="1">
      <alignment horizontal="center" wrapText="1"/>
    </xf>
    <xf numFmtId="0" fontId="15" fillId="0" borderId="66" xfId="0" applyFont="1" applyBorder="1" applyAlignment="1">
      <alignment horizontal="center" wrapText="1"/>
    </xf>
    <xf numFmtId="0" fontId="13" fillId="0" borderId="40" xfId="0" applyFont="1" applyBorder="1" applyAlignment="1">
      <alignment horizontal="center" vertical="center" wrapText="1"/>
    </xf>
    <xf numFmtId="0" fontId="13" fillId="0" borderId="41" xfId="0" applyFont="1" applyBorder="1" applyAlignment="1">
      <alignment horizontal="center" vertical="center" wrapText="1"/>
    </xf>
    <xf numFmtId="0" fontId="15" fillId="0" borderId="0" xfId="0" applyFont="1" applyAlignment="1">
      <alignment horizontal="center" wrapText="1"/>
    </xf>
    <xf numFmtId="0" fontId="15" fillId="0" borderId="29" xfId="0" applyFont="1" applyBorder="1" applyAlignment="1">
      <alignment horizontal="center" wrapText="1"/>
    </xf>
    <xf numFmtId="0" fontId="4" fillId="0" borderId="100" xfId="0" applyFont="1" applyBorder="1" applyAlignment="1">
      <alignment horizontal="center" vertical="center"/>
    </xf>
    <xf numFmtId="0" fontId="4" fillId="0" borderId="21" xfId="0" applyFont="1" applyBorder="1" applyAlignment="1">
      <alignment horizontal="center" vertical="center"/>
    </xf>
    <xf numFmtId="0" fontId="17" fillId="4" borderId="2" xfId="0" applyFont="1" applyFill="1" applyBorder="1" applyAlignment="1">
      <alignment horizontal="center"/>
    </xf>
    <xf numFmtId="0" fontId="17" fillId="4" borderId="3" xfId="0" applyFont="1" applyFill="1" applyBorder="1" applyAlignment="1">
      <alignment horizontal="center"/>
    </xf>
    <xf numFmtId="0" fontId="17" fillId="2" borderId="71" xfId="0" applyFont="1" applyFill="1" applyBorder="1" applyAlignment="1">
      <alignment horizontal="center"/>
    </xf>
    <xf numFmtId="0" fontId="17" fillId="2" borderId="72" xfId="0" applyFont="1" applyFill="1" applyBorder="1" applyAlignment="1">
      <alignment horizontal="center"/>
    </xf>
    <xf numFmtId="0" fontId="17" fillId="2" borderId="73" xfId="0" applyFont="1" applyFill="1" applyBorder="1" applyAlignment="1">
      <alignment horizontal="center"/>
    </xf>
    <xf numFmtId="0" fontId="17" fillId="3" borderId="3" xfId="0" applyFont="1" applyFill="1" applyBorder="1" applyAlignment="1">
      <alignment horizontal="center"/>
    </xf>
    <xf numFmtId="0" fontId="17" fillId="3" borderId="4" xfId="0" applyFont="1" applyFill="1" applyBorder="1" applyAlignment="1">
      <alignment horizontal="center"/>
    </xf>
    <xf numFmtId="0" fontId="17" fillId="17" borderId="2" xfId="0" applyFont="1" applyFill="1" applyBorder="1" applyAlignment="1">
      <alignment horizontal="center"/>
    </xf>
    <xf numFmtId="0" fontId="17" fillId="17" borderId="3" xfId="0" applyFont="1" applyFill="1" applyBorder="1" applyAlignment="1">
      <alignment horizontal="center"/>
    </xf>
    <xf numFmtId="0" fontId="17" fillId="17" borderId="4" xfId="0" applyFont="1" applyFill="1" applyBorder="1" applyAlignment="1">
      <alignment horizontal="center"/>
    </xf>
    <xf numFmtId="0" fontId="17" fillId="18" borderId="2" xfId="0" applyFont="1" applyFill="1" applyBorder="1" applyAlignment="1">
      <alignment horizontal="center"/>
    </xf>
    <xf numFmtId="0" fontId="17" fillId="18" borderId="3" xfId="0" applyFont="1" applyFill="1" applyBorder="1" applyAlignment="1">
      <alignment horizontal="center"/>
    </xf>
    <xf numFmtId="0" fontId="17" fillId="18" borderId="4" xfId="0" applyFont="1" applyFill="1" applyBorder="1" applyAlignment="1">
      <alignment horizontal="center"/>
    </xf>
    <xf numFmtId="0" fontId="4" fillId="6" borderId="13" xfId="0" applyFont="1" applyFill="1" applyBorder="1" applyAlignment="1">
      <alignment horizontal="center" vertical="center" wrapText="1"/>
    </xf>
    <xf numFmtId="0" fontId="4" fillId="6" borderId="14" xfId="0" applyFont="1" applyFill="1" applyBorder="1" applyAlignment="1">
      <alignment horizontal="center" vertical="center" wrapText="1"/>
    </xf>
    <xf numFmtId="0" fontId="4" fillId="6" borderId="69" xfId="0" applyFont="1" applyFill="1" applyBorder="1" applyAlignment="1">
      <alignment horizontal="center" vertical="center" wrapText="1"/>
    </xf>
    <xf numFmtId="0" fontId="4" fillId="6" borderId="55" xfId="0" applyFont="1" applyFill="1" applyBorder="1" applyAlignment="1">
      <alignment horizontal="center" vertical="center" wrapText="1"/>
    </xf>
    <xf numFmtId="0" fontId="4" fillId="0" borderId="99" xfId="0" applyFont="1" applyBorder="1" applyAlignment="1">
      <alignment horizontal="center" vertical="center"/>
    </xf>
    <xf numFmtId="0" fontId="4" fillId="0" borderId="55" xfId="0" applyFont="1" applyBorder="1" applyAlignment="1">
      <alignment horizontal="center" vertical="center"/>
    </xf>
    <xf numFmtId="0" fontId="4" fillId="0" borderId="8" xfId="0" applyFont="1" applyBorder="1" applyAlignment="1">
      <alignment horizontal="center" vertical="center"/>
    </xf>
    <xf numFmtId="0" fontId="4" fillId="0" borderId="69" xfId="0" applyFont="1" applyBorder="1" applyAlignment="1">
      <alignment horizontal="center" vertical="center"/>
    </xf>
    <xf numFmtId="0" fontId="48" fillId="0" borderId="36" xfId="0" applyFont="1" applyBorder="1" applyAlignment="1">
      <alignment horizontal="center"/>
    </xf>
    <xf numFmtId="0" fontId="61" fillId="0" borderId="0" xfId="0" applyFont="1" applyAlignment="1">
      <alignment horizontal="center" vertical="center"/>
    </xf>
    <xf numFmtId="0" fontId="52" fillId="0" borderId="0" xfId="0" applyFont="1" applyAlignment="1">
      <alignment horizontal="center" vertical="center"/>
    </xf>
    <xf numFmtId="0" fontId="21" fillId="0" borderId="5" xfId="0" applyFont="1" applyBorder="1" applyAlignment="1">
      <alignment horizontal="center" vertical="center"/>
    </xf>
    <xf numFmtId="0" fontId="21" fillId="0" borderId="37" xfId="0" applyFont="1" applyBorder="1" applyAlignment="1">
      <alignment horizontal="center" vertical="center"/>
    </xf>
    <xf numFmtId="0" fontId="21" fillId="0" borderId="82" xfId="0" applyFont="1" applyBorder="1" applyAlignment="1">
      <alignment horizontal="center" vertical="center"/>
    </xf>
    <xf numFmtId="0" fontId="21" fillId="0" borderId="16" xfId="0" applyFont="1" applyBorder="1" applyAlignment="1">
      <alignment horizontal="center" vertical="center"/>
    </xf>
    <xf numFmtId="0" fontId="21" fillId="0" borderId="0" xfId="0" applyFont="1" applyAlignment="1">
      <alignment horizontal="center" vertical="center"/>
    </xf>
    <xf numFmtId="0" fontId="21" fillId="0" borderId="65" xfId="0" applyFont="1" applyBorder="1" applyAlignment="1">
      <alignment horizontal="center" vertical="center"/>
    </xf>
    <xf numFmtId="0" fontId="51" fillId="0" borderId="0" xfId="0" applyFont="1" applyAlignment="1">
      <alignment horizontal="center" vertical="center" wrapText="1"/>
    </xf>
    <xf numFmtId="0" fontId="20" fillId="0" borderId="0" xfId="0" applyFont="1" applyAlignment="1">
      <alignment horizontal="right" vertical="center"/>
    </xf>
    <xf numFmtId="0" fontId="20" fillId="0" borderId="16" xfId="0" applyFont="1" applyBorder="1" applyAlignment="1">
      <alignment horizontal="right" vertical="center"/>
    </xf>
    <xf numFmtId="0" fontId="47" fillId="0" borderId="37" xfId="0" applyFont="1" applyBorder="1" applyAlignment="1">
      <alignment horizontal="center" vertical="top" wrapText="1"/>
    </xf>
    <xf numFmtId="0" fontId="47" fillId="0" borderId="0" xfId="0" applyFont="1" applyAlignment="1">
      <alignment horizontal="center" vertical="top" wrapText="1"/>
    </xf>
    <xf numFmtId="0" fontId="51" fillId="0" borderId="37" xfId="0" applyFont="1" applyBorder="1" applyAlignment="1">
      <alignment horizontal="right" vertical="center" wrapText="1"/>
    </xf>
    <xf numFmtId="0" fontId="6" fillId="6" borderId="8" xfId="0" applyFont="1" applyFill="1" applyBorder="1" applyAlignment="1">
      <alignment horizontal="center" vertical="center" wrapText="1"/>
    </xf>
    <xf numFmtId="0" fontId="6" fillId="6" borderId="17"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15" fillId="6" borderId="18" xfId="0" applyFont="1" applyFill="1" applyBorder="1" applyAlignment="1">
      <alignment horizontal="center" vertical="center" wrapText="1"/>
    </xf>
    <xf numFmtId="0" fontId="6" fillId="0" borderId="37" xfId="0" applyFont="1" applyBorder="1" applyAlignment="1">
      <alignment horizontal="center" wrapText="1"/>
    </xf>
    <xf numFmtId="0" fontId="6" fillId="0" borderId="0" xfId="0" applyFont="1" applyAlignment="1">
      <alignment horizontal="center" wrapText="1"/>
    </xf>
    <xf numFmtId="0" fontId="6" fillId="6" borderId="69" xfId="0" applyFont="1" applyFill="1" applyBorder="1" applyAlignment="1">
      <alignment horizontal="center" vertical="center" wrapText="1"/>
    </xf>
    <xf numFmtId="0" fontId="6" fillId="6" borderId="70" xfId="0" applyFont="1" applyFill="1" applyBorder="1" applyAlignment="1">
      <alignment horizontal="center" vertical="center" wrapText="1"/>
    </xf>
    <xf numFmtId="0" fontId="6" fillId="17" borderId="74" xfId="0" applyFont="1" applyFill="1" applyBorder="1" applyAlignment="1">
      <alignment horizontal="center"/>
    </xf>
    <xf numFmtId="0" fontId="6" fillId="17" borderId="75" xfId="0" applyFont="1" applyFill="1" applyBorder="1" applyAlignment="1">
      <alignment horizontal="center"/>
    </xf>
    <xf numFmtId="0" fontId="6" fillId="18" borderId="25" xfId="0" applyFont="1" applyFill="1" applyBorder="1" applyAlignment="1">
      <alignment horizontal="center"/>
    </xf>
    <xf numFmtId="0" fontId="6" fillId="18" borderId="31" xfId="0" applyFont="1" applyFill="1" applyBorder="1" applyAlignment="1">
      <alignment horizontal="center"/>
    </xf>
    <xf numFmtId="0" fontId="6" fillId="18" borderId="15" xfId="0" applyFont="1" applyFill="1" applyBorder="1" applyAlignment="1">
      <alignment horizontal="center"/>
    </xf>
    <xf numFmtId="0" fontId="6" fillId="6" borderId="77" xfId="0" applyFont="1" applyFill="1" applyBorder="1" applyAlignment="1">
      <alignment horizontal="center" vertical="center" wrapText="1"/>
    </xf>
    <xf numFmtId="0" fontId="6" fillId="6" borderId="95"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6" fillId="6" borderId="39" xfId="0" applyFont="1" applyFill="1" applyBorder="1" applyAlignment="1">
      <alignment horizontal="center" vertical="center" wrapText="1"/>
    </xf>
    <xf numFmtId="0" fontId="6" fillId="6" borderId="22"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81" xfId="0" applyFont="1" applyFill="1" applyBorder="1" applyAlignment="1">
      <alignment horizontal="center" vertical="center" wrapText="1"/>
    </xf>
    <xf numFmtId="0" fontId="6" fillId="0" borderId="37" xfId="0" applyFont="1" applyBorder="1" applyAlignment="1">
      <alignment horizontal="center"/>
    </xf>
    <xf numFmtId="0" fontId="6" fillId="0" borderId="0" xfId="0" applyFont="1" applyAlignment="1">
      <alignment horizontal="center"/>
    </xf>
    <xf numFmtId="0" fontId="50" fillId="28" borderId="2" xfId="0" applyFont="1" applyFill="1" applyBorder="1" applyAlignment="1">
      <alignment horizontal="center"/>
    </xf>
    <xf numFmtId="0" fontId="50" fillId="28" borderId="3" xfId="0" applyFont="1" applyFill="1" applyBorder="1" applyAlignment="1">
      <alignment horizontal="center"/>
    </xf>
    <xf numFmtId="0" fontId="50" fillId="28" borderId="4" xfId="0" applyFont="1" applyFill="1" applyBorder="1" applyAlignment="1">
      <alignment horizontal="center"/>
    </xf>
    <xf numFmtId="0" fontId="1" fillId="0" borderId="82" xfId="0" applyFont="1" applyBorder="1" applyAlignment="1">
      <alignment horizontal="center"/>
    </xf>
    <xf numFmtId="0" fontId="1" fillId="0" borderId="65" xfId="0" applyFont="1" applyBorder="1" applyAlignment="1">
      <alignment horizontal="center"/>
    </xf>
    <xf numFmtId="0" fontId="6" fillId="0" borderId="5" xfId="0" applyFont="1" applyBorder="1" applyAlignment="1">
      <alignment horizontal="center" wrapText="1"/>
    </xf>
    <xf numFmtId="0" fontId="6" fillId="0" borderId="16" xfId="0" applyFont="1" applyBorder="1" applyAlignment="1">
      <alignment horizontal="center" wrapText="1"/>
    </xf>
    <xf numFmtId="0" fontId="6" fillId="0" borderId="69" xfId="0" applyFont="1" applyBorder="1" applyAlignment="1">
      <alignment horizontal="center" vertical="center" wrapText="1"/>
    </xf>
    <xf numFmtId="0" fontId="6" fillId="0" borderId="70"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7" xfId="0" applyFont="1" applyBorder="1" applyAlignment="1">
      <alignment horizontal="center" vertical="center" wrapText="1"/>
    </xf>
    <xf numFmtId="0" fontId="6" fillId="2" borderId="71" xfId="0" applyFont="1" applyFill="1" applyBorder="1" applyAlignment="1">
      <alignment horizontal="center"/>
    </xf>
    <xf numFmtId="0" fontId="6" fillId="2" borderId="72" xfId="0" applyFont="1" applyFill="1" applyBorder="1" applyAlignment="1">
      <alignment horizontal="center"/>
    </xf>
    <xf numFmtId="0" fontId="6" fillId="2" borderId="73" xfId="0" applyFont="1" applyFill="1" applyBorder="1" applyAlignment="1">
      <alignment horizontal="center"/>
    </xf>
    <xf numFmtId="0" fontId="6" fillId="3" borderId="74" xfId="0" applyFont="1" applyFill="1" applyBorder="1" applyAlignment="1">
      <alignment horizontal="center"/>
    </xf>
    <xf numFmtId="0" fontId="6" fillId="3" borderId="75" xfId="0" applyFont="1" applyFill="1" applyBorder="1" applyAlignment="1">
      <alignment horizontal="center"/>
    </xf>
    <xf numFmtId="0" fontId="6" fillId="3" borderId="76" xfId="0" applyFont="1" applyFill="1" applyBorder="1" applyAlignment="1">
      <alignment horizontal="center"/>
    </xf>
    <xf numFmtId="0" fontId="6" fillId="0" borderId="99" xfId="0" applyFont="1" applyBorder="1" applyAlignment="1">
      <alignment horizontal="center" vertical="center" wrapText="1"/>
    </xf>
    <xf numFmtId="0" fontId="6" fillId="0" borderId="100" xfId="0" applyFont="1" applyBorder="1" applyAlignment="1">
      <alignment horizontal="center" vertical="center" wrapText="1"/>
    </xf>
    <xf numFmtId="0" fontId="6" fillId="0" borderId="77" xfId="0" applyFont="1" applyBorder="1" applyAlignment="1">
      <alignment horizontal="center" vertical="center" wrapText="1"/>
    </xf>
    <xf numFmtId="0" fontId="6" fillId="0" borderId="9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8" xfId="0" applyFont="1" applyBorder="1" applyAlignment="1">
      <alignment horizontal="center" vertical="center" wrapText="1"/>
    </xf>
    <xf numFmtId="0" fontId="41" fillId="0" borderId="0" xfId="0" applyFont="1" applyAlignment="1">
      <alignment horizontal="center"/>
    </xf>
    <xf numFmtId="0" fontId="4" fillId="29" borderId="8" xfId="0" applyFont="1" applyFill="1" applyBorder="1" applyAlignment="1">
      <alignment horizontal="center" vertical="center" wrapText="1"/>
    </xf>
    <xf numFmtId="0" fontId="4" fillId="29" borderId="21" xfId="0" applyFont="1" applyFill="1" applyBorder="1" applyAlignment="1">
      <alignment horizontal="center" vertical="center" wrapText="1"/>
    </xf>
    <xf numFmtId="0" fontId="4" fillId="29" borderId="7" xfId="0" applyFont="1" applyFill="1" applyBorder="1" applyAlignment="1">
      <alignment horizontal="center" vertical="center" wrapText="1"/>
    </xf>
    <xf numFmtId="0" fontId="4" fillId="29" borderId="38" xfId="0" applyFont="1" applyFill="1" applyBorder="1" applyAlignment="1">
      <alignment horizontal="center" vertical="center" wrapText="1"/>
    </xf>
    <xf numFmtId="0" fontId="4" fillId="26" borderId="69" xfId="0" applyFont="1" applyFill="1" applyBorder="1" applyAlignment="1">
      <alignment horizontal="center" vertical="center" wrapText="1"/>
    </xf>
    <xf numFmtId="0" fontId="4" fillId="26" borderId="55" xfId="0" applyFont="1" applyFill="1" applyBorder="1" applyAlignment="1">
      <alignment horizontal="center" vertical="center" wrapText="1"/>
    </xf>
    <xf numFmtId="0" fontId="4" fillId="26" borderId="8" xfId="0" applyFont="1" applyFill="1" applyBorder="1" applyAlignment="1">
      <alignment horizontal="center" vertical="center" wrapText="1"/>
    </xf>
    <xf numFmtId="0" fontId="4" fillId="26" borderId="21" xfId="0" applyFont="1" applyFill="1" applyBorder="1" applyAlignment="1">
      <alignment horizontal="center" vertical="center" wrapText="1"/>
    </xf>
    <xf numFmtId="0" fontId="4" fillId="23" borderId="8" xfId="0" applyFont="1" applyFill="1" applyBorder="1" applyAlignment="1">
      <alignment horizontal="center" vertical="center" wrapText="1"/>
    </xf>
    <xf numFmtId="0" fontId="4" fillId="23" borderId="21" xfId="0" applyFont="1" applyFill="1" applyBorder="1" applyAlignment="1">
      <alignment horizontal="center" vertical="center" wrapText="1"/>
    </xf>
    <xf numFmtId="0" fontId="4" fillId="29" borderId="69" xfId="0" applyFont="1" applyFill="1" applyBorder="1" applyAlignment="1">
      <alignment horizontal="center" vertical="center" wrapText="1"/>
    </xf>
    <xf numFmtId="0" fontId="4" fillId="29" borderId="55" xfId="0" applyFont="1" applyFill="1" applyBorder="1" applyAlignment="1">
      <alignment horizontal="center" vertical="center" wrapText="1"/>
    </xf>
    <xf numFmtId="0" fontId="58" fillId="33" borderId="2" xfId="0" applyFont="1" applyFill="1" applyBorder="1" applyAlignment="1">
      <alignment horizontal="center"/>
    </xf>
    <xf numFmtId="0" fontId="58" fillId="33" borderId="3" xfId="0" applyFont="1" applyFill="1" applyBorder="1" applyAlignment="1">
      <alignment horizontal="center"/>
    </xf>
    <xf numFmtId="0" fontId="58" fillId="33" borderId="4" xfId="0" applyFont="1" applyFill="1" applyBorder="1" applyAlignment="1">
      <alignment horizontal="center"/>
    </xf>
    <xf numFmtId="0" fontId="58" fillId="32" borderId="2" xfId="0" applyFont="1" applyFill="1" applyBorder="1" applyAlignment="1">
      <alignment horizontal="center"/>
    </xf>
    <xf numFmtId="0" fontId="58" fillId="32" borderId="3" xfId="0" applyFont="1" applyFill="1" applyBorder="1" applyAlignment="1">
      <alignment horizontal="center"/>
    </xf>
    <xf numFmtId="0" fontId="58" fillId="32" borderId="4" xfId="0" applyFont="1" applyFill="1" applyBorder="1" applyAlignment="1">
      <alignment horizontal="center"/>
    </xf>
    <xf numFmtId="0" fontId="4" fillId="19" borderId="8" xfId="0" applyFont="1" applyFill="1" applyBorder="1" applyAlignment="1">
      <alignment horizontal="center" vertical="center" wrapText="1"/>
    </xf>
    <xf numFmtId="0" fontId="4" fillId="19" borderId="21" xfId="0" applyFont="1" applyFill="1" applyBorder="1" applyAlignment="1">
      <alignment horizontal="center" vertical="center" wrapText="1"/>
    </xf>
    <xf numFmtId="0" fontId="58" fillId="4" borderId="2" xfId="0" applyFont="1" applyFill="1" applyBorder="1" applyAlignment="1">
      <alignment horizontal="center"/>
    </xf>
    <xf numFmtId="0" fontId="58" fillId="4" borderId="3" xfId="0" applyFont="1" applyFill="1" applyBorder="1" applyAlignment="1">
      <alignment horizontal="center"/>
    </xf>
    <xf numFmtId="0" fontId="4" fillId="24" borderId="1" xfId="0" applyFont="1" applyFill="1" applyBorder="1" applyAlignment="1">
      <alignment horizontal="center" vertical="center" wrapText="1"/>
    </xf>
    <xf numFmtId="0" fontId="4" fillId="24" borderId="52" xfId="0" applyFont="1" applyFill="1" applyBorder="1" applyAlignment="1">
      <alignment horizontal="center" vertical="center" wrapText="1"/>
    </xf>
    <xf numFmtId="0" fontId="4" fillId="24" borderId="22" xfId="0" applyFont="1" applyFill="1" applyBorder="1" applyAlignment="1">
      <alignment horizontal="center" vertical="center" wrapText="1"/>
    </xf>
    <xf numFmtId="0" fontId="4" fillId="24" borderId="54" xfId="0" applyFont="1" applyFill="1" applyBorder="1" applyAlignment="1">
      <alignment horizontal="center" vertical="center" wrapText="1"/>
    </xf>
    <xf numFmtId="0" fontId="36" fillId="22" borderId="0" xfId="0" applyFont="1" applyFill="1" applyAlignment="1">
      <alignment horizontal="center" vertical="center"/>
    </xf>
    <xf numFmtId="0" fontId="45" fillId="10" borderId="0" xfId="0" applyFont="1" applyFill="1" applyAlignment="1">
      <alignment horizontal="center"/>
    </xf>
    <xf numFmtId="165" fontId="6" fillId="8" borderId="2" xfId="0" applyNumberFormat="1" applyFont="1" applyFill="1" applyBorder="1" applyAlignment="1">
      <alignment horizontal="center" vertical="center"/>
    </xf>
    <xf numFmtId="165" fontId="6" fillId="8" borderId="4" xfId="0" applyNumberFormat="1" applyFont="1" applyFill="1" applyBorder="1" applyAlignment="1">
      <alignment horizontal="center" vertical="center"/>
    </xf>
    <xf numFmtId="0" fontId="4" fillId="26" borderId="7" xfId="0" applyFont="1" applyFill="1" applyBorder="1" applyAlignment="1">
      <alignment horizontal="center" vertical="center" wrapText="1"/>
    </xf>
    <xf numFmtId="0" fontId="4" fillId="26" borderId="38" xfId="0" applyFont="1" applyFill="1" applyBorder="1" applyAlignment="1">
      <alignment horizontal="center" vertical="center" wrapText="1"/>
    </xf>
    <xf numFmtId="0" fontId="4" fillId="24" borderId="51" xfId="0" applyFont="1" applyFill="1" applyBorder="1" applyAlignment="1">
      <alignment horizontal="center" vertical="center" wrapText="1"/>
    </xf>
    <xf numFmtId="0" fontId="4" fillId="24" borderId="53" xfId="0" applyFont="1" applyFill="1" applyBorder="1" applyAlignment="1">
      <alignment horizontal="center" vertical="center" wrapText="1"/>
    </xf>
    <xf numFmtId="0" fontId="4" fillId="19" borderId="69" xfId="0" applyFont="1" applyFill="1" applyBorder="1" applyAlignment="1">
      <alignment horizontal="center" vertical="center" wrapText="1"/>
    </xf>
    <xf numFmtId="0" fontId="4" fillId="19" borderId="55" xfId="0" applyFont="1" applyFill="1" applyBorder="1" applyAlignment="1">
      <alignment horizontal="center" vertical="center" wrapText="1"/>
    </xf>
    <xf numFmtId="0" fontId="58" fillId="34" borderId="2" xfId="0" applyFont="1" applyFill="1" applyBorder="1" applyAlignment="1">
      <alignment horizontal="center"/>
    </xf>
    <xf numFmtId="0" fontId="58" fillId="34" borderId="3" xfId="0" applyFont="1" applyFill="1" applyBorder="1" applyAlignment="1">
      <alignment horizontal="center"/>
    </xf>
    <xf numFmtId="0" fontId="58" fillId="31" borderId="2" xfId="0" applyFont="1" applyFill="1" applyBorder="1" applyAlignment="1">
      <alignment horizontal="center"/>
    </xf>
    <xf numFmtId="0" fontId="58" fillId="31" borderId="3" xfId="0" applyFont="1" applyFill="1" applyBorder="1" applyAlignment="1">
      <alignment horizontal="center"/>
    </xf>
    <xf numFmtId="0" fontId="58" fillId="31" borderId="4" xfId="0" applyFont="1" applyFill="1" applyBorder="1" applyAlignment="1">
      <alignment horizontal="center"/>
    </xf>
    <xf numFmtId="0" fontId="4" fillId="23" borderId="69" xfId="0" applyFont="1" applyFill="1" applyBorder="1" applyAlignment="1">
      <alignment horizontal="center" vertical="center" wrapText="1"/>
    </xf>
    <xf numFmtId="0" fontId="4" fillId="23" borderId="55" xfId="0" applyFont="1" applyFill="1" applyBorder="1" applyAlignment="1">
      <alignment horizontal="center" vertical="center" wrapText="1"/>
    </xf>
    <xf numFmtId="0" fontId="4" fillId="30" borderId="69" xfId="0" applyFont="1" applyFill="1" applyBorder="1" applyAlignment="1">
      <alignment horizontal="center" vertical="center" wrapText="1"/>
    </xf>
    <xf numFmtId="0" fontId="4" fillId="30" borderId="55" xfId="0" applyFont="1" applyFill="1" applyBorder="1" applyAlignment="1">
      <alignment horizontal="center" vertical="center" wrapText="1"/>
    </xf>
    <xf numFmtId="0" fontId="4" fillId="17" borderId="101" xfId="0" applyFont="1" applyFill="1" applyBorder="1" applyAlignment="1">
      <alignment horizontal="center" vertical="center" wrapText="1"/>
    </xf>
    <xf numFmtId="0" fontId="4" fillId="17" borderId="102" xfId="0" applyFont="1" applyFill="1" applyBorder="1" applyAlignment="1">
      <alignment horizontal="center" vertical="center" wrapText="1"/>
    </xf>
    <xf numFmtId="0" fontId="4" fillId="17" borderId="69" xfId="0" applyFont="1" applyFill="1" applyBorder="1" applyAlignment="1">
      <alignment horizontal="center" vertical="center" wrapText="1"/>
    </xf>
    <xf numFmtId="0" fontId="4" fillId="17" borderId="55" xfId="0" applyFont="1" applyFill="1" applyBorder="1" applyAlignment="1">
      <alignment horizontal="center" vertical="center" wrapText="1"/>
    </xf>
    <xf numFmtId="0" fontId="4" fillId="24" borderId="69" xfId="0" applyFont="1" applyFill="1" applyBorder="1" applyAlignment="1">
      <alignment horizontal="center" vertical="center" wrapText="1"/>
    </xf>
    <xf numFmtId="0" fontId="4" fillId="24" borderId="55" xfId="0" applyFont="1" applyFill="1" applyBorder="1" applyAlignment="1">
      <alignment horizontal="center" vertical="center" wrapText="1"/>
    </xf>
    <xf numFmtId="165" fontId="6" fillId="8" borderId="2" xfId="0" applyNumberFormat="1" applyFont="1" applyFill="1" applyBorder="1" applyAlignment="1">
      <alignment horizontal="center"/>
    </xf>
    <xf numFmtId="165" fontId="6" fillId="8" borderId="4" xfId="0" applyNumberFormat="1" applyFont="1" applyFill="1" applyBorder="1" applyAlignment="1">
      <alignment horizontal="center"/>
    </xf>
    <xf numFmtId="0" fontId="4" fillId="13" borderId="8" xfId="0" applyFont="1" applyFill="1" applyBorder="1" applyAlignment="1">
      <alignment horizontal="center" vertical="center" wrapText="1"/>
    </xf>
    <xf numFmtId="0" fontId="4" fillId="13" borderId="21" xfId="0" applyFont="1" applyFill="1" applyBorder="1" applyAlignment="1">
      <alignment horizontal="center" vertical="center" wrapText="1"/>
    </xf>
    <xf numFmtId="0" fontId="4" fillId="17" borderId="8" xfId="0" applyFont="1" applyFill="1" applyBorder="1" applyAlignment="1">
      <alignment horizontal="center" vertical="center" wrapText="1"/>
    </xf>
    <xf numFmtId="0" fontId="4" fillId="17" borderId="21"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4" fillId="17" borderId="38" xfId="0" applyFont="1" applyFill="1" applyBorder="1" applyAlignment="1">
      <alignment horizontal="center" vertical="center" wrapText="1"/>
    </xf>
    <xf numFmtId="0" fontId="4" fillId="24" borderId="8" xfId="0" applyFont="1" applyFill="1" applyBorder="1" applyAlignment="1">
      <alignment horizontal="center" vertical="center" wrapText="1"/>
    </xf>
    <xf numFmtId="0" fontId="4" fillId="24" borderId="21" xfId="0" applyFont="1" applyFill="1" applyBorder="1" applyAlignment="1">
      <alignment horizontal="center" vertical="center" wrapText="1"/>
    </xf>
    <xf numFmtId="0" fontId="4" fillId="24" borderId="7"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4" fillId="13" borderId="69" xfId="0" applyFont="1" applyFill="1" applyBorder="1" applyAlignment="1">
      <alignment horizontal="center" vertical="center" wrapText="1"/>
    </xf>
    <xf numFmtId="0" fontId="4" fillId="13" borderId="55" xfId="0" applyFont="1" applyFill="1" applyBorder="1" applyAlignment="1">
      <alignment horizontal="center" vertical="center" wrapText="1"/>
    </xf>
    <xf numFmtId="1" fontId="6" fillId="8" borderId="67" xfId="0" applyNumberFormat="1" applyFont="1" applyFill="1" applyBorder="1" applyAlignment="1">
      <alignment horizontal="center" vertical="center"/>
    </xf>
    <xf numFmtId="165" fontId="14" fillId="8" borderId="94" xfId="0" applyNumberFormat="1" applyFont="1" applyFill="1" applyBorder="1" applyAlignment="1">
      <alignment horizontal="center" vertical="center"/>
    </xf>
    <xf numFmtId="165" fontId="14" fillId="8" borderId="67" xfId="0" applyNumberFormat="1" applyFont="1" applyFill="1" applyBorder="1" applyAlignment="1">
      <alignment horizontal="center" vertical="center"/>
    </xf>
    <xf numFmtId="0" fontId="4" fillId="27" borderId="8" xfId="0" applyFont="1" applyFill="1" applyBorder="1" applyAlignment="1">
      <alignment horizontal="center" vertical="center" wrapText="1"/>
    </xf>
    <xf numFmtId="0" fontId="4" fillId="27" borderId="21" xfId="0" applyFont="1" applyFill="1" applyBorder="1" applyAlignment="1">
      <alignment horizontal="center" vertical="center" wrapText="1"/>
    </xf>
    <xf numFmtId="0" fontId="4" fillId="27" borderId="7" xfId="0" applyFont="1" applyFill="1" applyBorder="1" applyAlignment="1">
      <alignment horizontal="center" vertical="center" wrapText="1"/>
    </xf>
    <xf numFmtId="0" fontId="4" fillId="27" borderId="38" xfId="0" applyFont="1" applyFill="1" applyBorder="1" applyAlignment="1">
      <alignment horizontal="center" vertical="center" wrapText="1"/>
    </xf>
    <xf numFmtId="0" fontId="4" fillId="27" borderId="69" xfId="0" applyFont="1" applyFill="1" applyBorder="1" applyAlignment="1">
      <alignment horizontal="center" vertical="center" wrapText="1"/>
    </xf>
    <xf numFmtId="0" fontId="4" fillId="27" borderId="55" xfId="0" applyFont="1" applyFill="1" applyBorder="1" applyAlignment="1">
      <alignment horizontal="center" vertical="center" wrapText="1"/>
    </xf>
    <xf numFmtId="0" fontId="4" fillId="21" borderId="8" xfId="0" applyFont="1" applyFill="1" applyBorder="1" applyAlignment="1">
      <alignment horizontal="center" vertical="center" wrapText="1"/>
    </xf>
    <xf numFmtId="0" fontId="4" fillId="21" borderId="21" xfId="0" applyFont="1" applyFill="1" applyBorder="1" applyAlignment="1">
      <alignment horizontal="center" vertical="center" wrapText="1"/>
    </xf>
    <xf numFmtId="0" fontId="4" fillId="21" borderId="7" xfId="0" applyFont="1" applyFill="1" applyBorder="1" applyAlignment="1">
      <alignment horizontal="center" vertical="center" wrapText="1"/>
    </xf>
    <xf numFmtId="0" fontId="4" fillId="21" borderId="38" xfId="0" applyFont="1" applyFill="1" applyBorder="1" applyAlignment="1">
      <alignment horizontal="center" vertical="center" wrapText="1"/>
    </xf>
    <xf numFmtId="0" fontId="4" fillId="21" borderId="69" xfId="0" applyFont="1" applyFill="1" applyBorder="1" applyAlignment="1">
      <alignment horizontal="center" vertical="center" wrapText="1"/>
    </xf>
    <xf numFmtId="0" fontId="4" fillId="21" borderId="55" xfId="0" applyFont="1" applyFill="1" applyBorder="1" applyAlignment="1">
      <alignment horizontal="center" vertical="center" wrapText="1"/>
    </xf>
    <xf numFmtId="0" fontId="18" fillId="0" borderId="0" xfId="0" applyFont="1" applyAlignment="1">
      <alignment horizontal="center"/>
    </xf>
    <xf numFmtId="0" fontId="42" fillId="0" borderId="0" xfId="0" applyFont="1" applyAlignment="1">
      <alignment horizontal="center"/>
    </xf>
    <xf numFmtId="0" fontId="29" fillId="0" borderId="0" xfId="0" applyFont="1" applyAlignment="1">
      <alignment horizontal="right"/>
    </xf>
    <xf numFmtId="1" fontId="0" fillId="0" borderId="0" xfId="0" applyNumberFormat="1" applyAlignment="1">
      <alignment horizontal="center"/>
    </xf>
    <xf numFmtId="0" fontId="2" fillId="0" borderId="0" xfId="0" applyFont="1" applyAlignment="1">
      <alignment horizontal="center" wrapText="1"/>
    </xf>
    <xf numFmtId="0" fontId="21" fillId="0" borderId="0" xfId="0" applyFont="1" applyAlignment="1">
      <alignment horizontal="center"/>
    </xf>
    <xf numFmtId="0" fontId="29" fillId="0" borderId="0" xfId="0" applyFont="1" applyAlignment="1">
      <alignment horizontal="center" vertical="center" wrapText="1"/>
    </xf>
    <xf numFmtId="0" fontId="31" fillId="0" borderId="0" xfId="0" applyFont="1" applyAlignment="1">
      <alignment horizontal="center" vertical="center" wrapText="1"/>
    </xf>
    <xf numFmtId="0" fontId="1" fillId="0" borderId="36" xfId="0" applyFont="1" applyBorder="1" applyAlignment="1">
      <alignment horizontal="center" vertical="center" wrapText="1"/>
    </xf>
    <xf numFmtId="0" fontId="31" fillId="0" borderId="0" xfId="0" applyFont="1" applyAlignment="1">
      <alignment horizontal="center" vertical="center"/>
    </xf>
    <xf numFmtId="0" fontId="31" fillId="0" borderId="36" xfId="0" applyFont="1" applyBorder="1" applyAlignment="1">
      <alignment horizontal="center" vertical="center"/>
    </xf>
    <xf numFmtId="0" fontId="31" fillId="0" borderId="32" xfId="0" applyFont="1" applyBorder="1" applyAlignment="1">
      <alignment horizontal="center" vertical="center"/>
    </xf>
    <xf numFmtId="0" fontId="31" fillId="0" borderId="36" xfId="0" applyFont="1" applyBorder="1" applyAlignment="1">
      <alignment horizontal="center" vertical="center" wrapText="1"/>
    </xf>
  </cellXfs>
  <cellStyles count="2">
    <cellStyle name="Currency" xfId="1" builtinId="4"/>
    <cellStyle name="Normal" xfId="0" builtinId="0"/>
  </cellStyles>
  <dxfs count="1">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355146</xdr:colOff>
      <xdr:row>0</xdr:row>
      <xdr:rowOff>0</xdr:rowOff>
    </xdr:from>
    <xdr:to>
      <xdr:col>3</xdr:col>
      <xdr:colOff>175104</xdr:colOff>
      <xdr:row>2</xdr:row>
      <xdr:rowOff>28575</xdr:rowOff>
    </xdr:to>
    <xdr:pic>
      <xdr:nvPicPr>
        <xdr:cNvPr id="3" name="Picture 2">
          <a:extLst>
            <a:ext uri="{FF2B5EF4-FFF2-40B4-BE49-F238E27FC236}">
              <a16:creationId xmlns:a16="http://schemas.microsoft.com/office/drawing/2014/main" id="{A141CC82-8732-6073-0A17-48D7B7F1C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146" y="0"/>
          <a:ext cx="2609422" cy="10899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257175</xdr:colOff>
      <xdr:row>1</xdr:row>
      <xdr:rowOff>190500</xdr:rowOff>
    </xdr:from>
    <xdr:to>
      <xdr:col>6</xdr:col>
      <xdr:colOff>552450</xdr:colOff>
      <xdr:row>2</xdr:row>
      <xdr:rowOff>0</xdr:rowOff>
    </xdr:to>
    <xdr:sp macro="" textlink="">
      <xdr:nvSpPr>
        <xdr:cNvPr id="3" name="Left Arrow 2">
          <a:extLst>
            <a:ext uri="{FF2B5EF4-FFF2-40B4-BE49-F238E27FC236}">
              <a16:creationId xmlns:a16="http://schemas.microsoft.com/office/drawing/2014/main" id="{DF6B3784-6315-4403-AB25-8B8306084BF3}"/>
            </a:ext>
          </a:extLst>
        </xdr:cNvPr>
        <xdr:cNvSpPr/>
      </xdr:nvSpPr>
      <xdr:spPr>
        <a:xfrm>
          <a:off x="3733800" y="790575"/>
          <a:ext cx="295275" cy="1333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zoomScaleNormal="100" workbookViewId="0">
      <selection activeCell="P7" sqref="P7"/>
    </sheetView>
  </sheetViews>
  <sheetFormatPr defaultRowHeight="12.75" x14ac:dyDescent="0.2"/>
  <sheetData>
    <row r="1" spans="1:14" x14ac:dyDescent="0.2">
      <c r="A1" s="24"/>
      <c r="B1" s="24"/>
      <c r="C1" s="24"/>
      <c r="D1" s="24"/>
      <c r="E1" s="24"/>
      <c r="F1" s="24"/>
      <c r="G1" s="24"/>
      <c r="H1" s="24"/>
      <c r="I1" s="24"/>
      <c r="J1" s="24"/>
      <c r="K1" s="24"/>
      <c r="L1" s="24"/>
      <c r="M1" s="24"/>
      <c r="N1" s="24"/>
    </row>
    <row r="2" spans="1:14" x14ac:dyDescent="0.2">
      <c r="B2" s="24"/>
      <c r="D2" s="24"/>
      <c r="E2" s="24"/>
      <c r="F2" s="24"/>
      <c r="G2" s="24"/>
      <c r="H2" s="24"/>
      <c r="I2" s="24"/>
      <c r="J2" s="24"/>
      <c r="K2" s="24"/>
      <c r="L2" s="24"/>
      <c r="M2" s="24"/>
      <c r="N2" s="24"/>
    </row>
    <row r="3" spans="1:14" ht="15.75" x14ac:dyDescent="0.25">
      <c r="A3" s="24"/>
      <c r="B3" s="24"/>
      <c r="C3" s="32" t="s">
        <v>0</v>
      </c>
      <c r="D3" s="24"/>
      <c r="F3" s="24"/>
      <c r="G3" s="24"/>
      <c r="H3" s="24"/>
      <c r="I3" s="24"/>
      <c r="J3" s="24"/>
      <c r="K3" s="24"/>
      <c r="L3" s="24"/>
      <c r="M3" s="24"/>
      <c r="N3" s="24"/>
    </row>
    <row r="4" spans="1:14" x14ac:dyDescent="0.2">
      <c r="A4" s="24"/>
      <c r="B4" s="24"/>
      <c r="C4" s="24"/>
      <c r="D4" s="24"/>
      <c r="E4" s="24"/>
      <c r="F4" s="24"/>
      <c r="G4" s="24"/>
      <c r="H4" s="24"/>
      <c r="I4" s="24"/>
      <c r="J4" s="24"/>
      <c r="K4" s="24"/>
      <c r="L4" s="24"/>
      <c r="M4" s="24"/>
      <c r="N4" s="24"/>
    </row>
    <row r="5" spans="1:14" ht="15" x14ac:dyDescent="0.25">
      <c r="A5" s="36" t="s">
        <v>1</v>
      </c>
      <c r="B5" s="24"/>
      <c r="C5" s="24"/>
      <c r="D5" s="24"/>
      <c r="E5" s="24"/>
      <c r="F5" s="24"/>
      <c r="G5" s="24"/>
      <c r="H5" s="24"/>
      <c r="I5" s="24"/>
      <c r="J5" s="24"/>
      <c r="K5" s="24"/>
      <c r="L5" s="24"/>
      <c r="M5" s="24"/>
      <c r="N5" s="24"/>
    </row>
    <row r="6" spans="1:14" x14ac:dyDescent="0.2">
      <c r="A6" s="24"/>
      <c r="B6" s="24"/>
      <c r="C6" s="24"/>
      <c r="D6" s="24"/>
      <c r="E6" s="24"/>
      <c r="F6" s="24"/>
      <c r="G6" s="24"/>
      <c r="H6" s="24"/>
      <c r="I6" s="24"/>
      <c r="J6" s="24"/>
      <c r="K6" s="24"/>
      <c r="L6" s="24"/>
      <c r="M6" s="24"/>
      <c r="N6" s="24"/>
    </row>
    <row r="7" spans="1:14" x14ac:dyDescent="0.2">
      <c r="A7" s="160" t="s">
        <v>2</v>
      </c>
      <c r="B7" s="24"/>
      <c r="C7" s="24"/>
      <c r="D7" s="24"/>
      <c r="E7" s="24"/>
      <c r="F7" s="24"/>
      <c r="G7" s="24"/>
      <c r="H7" s="24"/>
      <c r="I7" s="24"/>
      <c r="J7" s="24"/>
      <c r="K7" s="24"/>
      <c r="L7" s="24"/>
      <c r="M7" s="24"/>
      <c r="N7" s="24"/>
    </row>
    <row r="8" spans="1:14" x14ac:dyDescent="0.2">
      <c r="A8" s="24"/>
      <c r="B8" s="24"/>
      <c r="C8" s="24"/>
      <c r="D8" s="24"/>
      <c r="E8" s="24"/>
      <c r="F8" s="24"/>
      <c r="G8" s="24"/>
      <c r="H8" s="24"/>
      <c r="I8" s="24"/>
      <c r="J8" s="24"/>
      <c r="K8" s="24"/>
      <c r="L8" s="24"/>
      <c r="M8" s="24"/>
      <c r="N8" s="24"/>
    </row>
    <row r="9" spans="1:14" x14ac:dyDescent="0.2">
      <c r="A9" s="24" t="s">
        <v>3</v>
      </c>
      <c r="B9" s="24"/>
      <c r="C9" s="24"/>
      <c r="D9" s="24"/>
      <c r="E9" s="24"/>
      <c r="F9" s="24"/>
      <c r="G9" s="24"/>
      <c r="H9" s="24"/>
      <c r="I9" s="24"/>
      <c r="J9" s="24"/>
      <c r="K9" s="24"/>
      <c r="L9" s="24"/>
      <c r="M9" s="24"/>
      <c r="N9" s="24"/>
    </row>
    <row r="10" spans="1:14" x14ac:dyDescent="0.2">
      <c r="A10" s="24" t="s">
        <v>4</v>
      </c>
      <c r="B10" s="24"/>
      <c r="C10" s="24"/>
      <c r="D10" s="24"/>
      <c r="E10" s="24"/>
      <c r="F10" s="24"/>
      <c r="G10" s="24"/>
      <c r="H10" s="24"/>
      <c r="I10" s="24"/>
      <c r="J10" s="24"/>
      <c r="K10" s="24"/>
      <c r="L10" s="24"/>
      <c r="M10" s="24"/>
      <c r="N10" s="24"/>
    </row>
    <row r="11" spans="1:14" x14ac:dyDescent="0.2">
      <c r="A11" s="24"/>
      <c r="B11" s="24"/>
      <c r="C11" s="24"/>
      <c r="D11" s="24"/>
      <c r="E11" s="24"/>
      <c r="F11" s="24"/>
      <c r="G11" s="24"/>
      <c r="H11" s="24"/>
      <c r="I11" s="24"/>
      <c r="J11" s="24"/>
      <c r="K11" s="24"/>
      <c r="L11" s="24"/>
      <c r="M11" s="24"/>
      <c r="N11" s="24"/>
    </row>
    <row r="12" spans="1:14" x14ac:dyDescent="0.2">
      <c r="A12" s="24" t="s">
        <v>5</v>
      </c>
      <c r="B12" s="24"/>
      <c r="C12" s="24"/>
      <c r="D12" s="24"/>
      <c r="E12" s="24"/>
      <c r="F12" s="24"/>
      <c r="G12" s="24"/>
      <c r="H12" s="24"/>
      <c r="I12" s="24"/>
      <c r="J12" s="24"/>
      <c r="K12" s="24"/>
      <c r="L12" s="24"/>
      <c r="M12" s="24"/>
      <c r="N12" s="24"/>
    </row>
    <row r="13" spans="1:14" x14ac:dyDescent="0.2">
      <c r="A13" s="24" t="s">
        <v>6</v>
      </c>
      <c r="B13" s="24"/>
      <c r="C13" s="24"/>
      <c r="D13" s="24"/>
      <c r="E13" s="24"/>
      <c r="F13" s="24"/>
      <c r="G13" s="24"/>
      <c r="H13" s="24"/>
      <c r="I13" s="24"/>
      <c r="J13" s="24"/>
      <c r="K13" s="24"/>
      <c r="L13" s="24"/>
      <c r="M13" s="24"/>
      <c r="N13" s="24"/>
    </row>
    <row r="14" spans="1:14" x14ac:dyDescent="0.2">
      <c r="A14" s="24"/>
      <c r="B14" s="24"/>
      <c r="C14" s="24"/>
      <c r="D14" s="24"/>
      <c r="E14" s="24"/>
      <c r="F14" s="24"/>
      <c r="G14" s="24"/>
      <c r="H14" s="24"/>
      <c r="I14" s="24"/>
      <c r="J14" s="24"/>
      <c r="K14" s="24"/>
      <c r="L14" s="24"/>
      <c r="M14" s="24"/>
      <c r="N14" s="24"/>
    </row>
    <row r="15" spans="1:14" x14ac:dyDescent="0.2">
      <c r="A15" s="24" t="s">
        <v>7</v>
      </c>
      <c r="B15" s="24"/>
      <c r="C15" s="24"/>
      <c r="D15" s="24"/>
      <c r="E15" s="24"/>
      <c r="F15" s="24"/>
      <c r="G15" s="24"/>
      <c r="H15" s="24"/>
      <c r="I15" s="24"/>
      <c r="J15" s="24"/>
      <c r="K15" s="24"/>
      <c r="L15" s="24"/>
      <c r="M15" s="24"/>
      <c r="N15" s="24"/>
    </row>
    <row r="16" spans="1:14" x14ac:dyDescent="0.2">
      <c r="A16" s="24"/>
      <c r="B16" s="24"/>
      <c r="C16" s="24"/>
      <c r="D16" s="24"/>
      <c r="E16" s="24"/>
      <c r="F16" s="24"/>
      <c r="G16" s="24"/>
      <c r="H16" s="24"/>
      <c r="I16" s="24"/>
      <c r="J16" s="24"/>
      <c r="K16" s="24"/>
      <c r="L16" s="24"/>
      <c r="M16" s="24"/>
      <c r="N16" s="24"/>
    </row>
    <row r="17" spans="1:14" ht="15" x14ac:dyDescent="0.25">
      <c r="A17" s="36" t="s">
        <v>8</v>
      </c>
    </row>
    <row r="18" spans="1:14" x14ac:dyDescent="0.2">
      <c r="A18" s="33" t="s">
        <v>9</v>
      </c>
      <c r="B18" s="24"/>
      <c r="C18" s="24"/>
      <c r="D18" s="24"/>
      <c r="E18" s="24"/>
      <c r="F18" s="24"/>
      <c r="G18" s="24"/>
      <c r="H18" s="24"/>
      <c r="I18" s="24"/>
      <c r="J18" s="24"/>
      <c r="K18" s="24"/>
      <c r="L18" s="24"/>
      <c r="M18" s="24"/>
      <c r="N18" s="24"/>
    </row>
    <row r="19" spans="1:14" x14ac:dyDescent="0.2">
      <c r="A19" s="160" t="s">
        <v>10</v>
      </c>
      <c r="B19" s="24"/>
      <c r="C19" s="24"/>
      <c r="D19" s="24"/>
      <c r="E19" s="24"/>
      <c r="F19" s="24"/>
      <c r="G19" s="24"/>
      <c r="H19" s="24"/>
      <c r="I19" s="24"/>
      <c r="J19" s="24"/>
      <c r="K19" s="24"/>
      <c r="L19" s="24"/>
      <c r="M19" s="24"/>
      <c r="N19" s="24"/>
    </row>
    <row r="20" spans="1:14" x14ac:dyDescent="0.2">
      <c r="A20" s="160" t="s">
        <v>11</v>
      </c>
      <c r="B20" s="24"/>
      <c r="C20" s="24"/>
      <c r="D20" s="24"/>
      <c r="E20" s="24"/>
      <c r="F20" s="24"/>
      <c r="G20" s="24"/>
      <c r="H20" s="24"/>
      <c r="I20" s="24"/>
      <c r="J20" s="24"/>
      <c r="K20" s="24"/>
      <c r="L20" s="24"/>
      <c r="M20" s="24"/>
      <c r="N20" s="24"/>
    </row>
    <row r="21" spans="1:14" x14ac:dyDescent="0.2">
      <c r="A21" s="160" t="s">
        <v>12</v>
      </c>
      <c r="B21" s="24"/>
      <c r="C21" s="24"/>
      <c r="D21" s="24"/>
      <c r="E21" s="24"/>
      <c r="F21" s="24"/>
      <c r="G21" s="24"/>
      <c r="H21" s="24"/>
      <c r="I21" s="24"/>
      <c r="J21" s="24"/>
      <c r="K21" s="24"/>
      <c r="L21" s="24"/>
      <c r="M21" s="24"/>
      <c r="N21" s="24"/>
    </row>
    <row r="22" spans="1:14" x14ac:dyDescent="0.2">
      <c r="A22" s="160"/>
      <c r="B22" s="24"/>
      <c r="C22" s="24"/>
      <c r="D22" s="24"/>
      <c r="E22" s="24"/>
      <c r="F22" s="24"/>
      <c r="G22" s="24"/>
      <c r="H22" s="24"/>
      <c r="I22" s="24"/>
      <c r="J22" s="24"/>
      <c r="K22" s="24"/>
      <c r="L22" s="24"/>
      <c r="M22" s="24"/>
      <c r="N22" s="24"/>
    </row>
    <row r="23" spans="1:14" ht="15" x14ac:dyDescent="0.25">
      <c r="A23" s="36" t="s">
        <v>13</v>
      </c>
      <c r="B23" s="24"/>
      <c r="C23" s="24"/>
      <c r="D23" s="24"/>
      <c r="E23" s="24"/>
      <c r="F23" s="24"/>
      <c r="G23" s="24"/>
      <c r="H23" s="24"/>
      <c r="I23" s="24"/>
      <c r="J23" s="24"/>
      <c r="K23" s="24"/>
      <c r="L23" s="24"/>
      <c r="M23" s="24"/>
      <c r="N23" s="24"/>
    </row>
    <row r="24" spans="1:14" x14ac:dyDescent="0.2">
      <c r="A24" s="33" t="s">
        <v>14</v>
      </c>
      <c r="B24" s="24"/>
      <c r="C24" s="24"/>
      <c r="D24" s="24"/>
      <c r="E24" s="24"/>
      <c r="F24" s="24"/>
      <c r="G24" s="24"/>
      <c r="H24" s="24"/>
      <c r="I24" s="24"/>
      <c r="J24" s="24"/>
      <c r="K24" s="24"/>
      <c r="L24" s="24"/>
      <c r="M24" s="24"/>
      <c r="N24" s="24"/>
    </row>
    <row r="25" spans="1:14" x14ac:dyDescent="0.2">
      <c r="A25" s="160" t="s">
        <v>15</v>
      </c>
      <c r="B25" s="24"/>
      <c r="C25" s="24"/>
      <c r="D25" s="24"/>
      <c r="E25" s="24"/>
      <c r="F25" s="24"/>
      <c r="G25" s="24"/>
      <c r="H25" s="24"/>
      <c r="I25" s="24"/>
      <c r="J25" s="24"/>
      <c r="K25" s="24"/>
      <c r="L25" s="24"/>
      <c r="M25" s="24"/>
      <c r="N25" s="24"/>
    </row>
    <row r="26" spans="1:14" x14ac:dyDescent="0.2">
      <c r="A26" s="160" t="s">
        <v>16</v>
      </c>
      <c r="B26" s="24"/>
      <c r="C26" s="24"/>
      <c r="D26" s="24"/>
      <c r="E26" s="24"/>
      <c r="F26" s="24"/>
      <c r="G26" s="24"/>
      <c r="H26" s="24"/>
      <c r="I26" s="24"/>
      <c r="J26" s="24"/>
      <c r="K26" s="24"/>
      <c r="L26" s="24"/>
      <c r="M26" s="24"/>
      <c r="N26" s="24"/>
    </row>
    <row r="27" spans="1:14" x14ac:dyDescent="0.2">
      <c r="A27" s="160" t="s">
        <v>17</v>
      </c>
      <c r="B27" s="24"/>
      <c r="C27" s="24"/>
      <c r="D27" s="24"/>
      <c r="E27" s="24"/>
      <c r="F27" s="24"/>
      <c r="G27" s="24"/>
      <c r="H27" s="24"/>
      <c r="I27" s="24"/>
      <c r="J27" s="24"/>
      <c r="K27" s="24"/>
      <c r="L27" s="24"/>
      <c r="M27" s="24"/>
      <c r="N27" s="24"/>
    </row>
    <row r="28" spans="1:14" x14ac:dyDescent="0.2">
      <c r="A28" s="160"/>
      <c r="B28" s="24"/>
      <c r="C28" s="24"/>
      <c r="D28" s="24"/>
      <c r="E28" s="24"/>
      <c r="F28" s="24"/>
      <c r="G28" s="24"/>
      <c r="H28" s="24"/>
      <c r="I28" s="24"/>
      <c r="J28" s="24"/>
      <c r="K28" s="24"/>
      <c r="L28" s="24"/>
      <c r="M28" s="24"/>
      <c r="N28" s="24"/>
    </row>
    <row r="29" spans="1:14" ht="15" x14ac:dyDescent="0.2">
      <c r="A29" s="40" t="s">
        <v>18</v>
      </c>
      <c r="B29" s="24"/>
      <c r="C29" s="24"/>
      <c r="D29" s="24"/>
      <c r="E29" s="24"/>
      <c r="F29" s="24"/>
      <c r="G29" s="24"/>
      <c r="H29" s="24"/>
      <c r="I29" s="24"/>
      <c r="J29" s="24"/>
      <c r="K29" s="24"/>
      <c r="L29" s="24"/>
      <c r="M29" s="24"/>
      <c r="N29" s="24"/>
    </row>
    <row r="30" spans="1:14" ht="15" x14ac:dyDescent="0.2">
      <c r="A30" s="40"/>
      <c r="B30" s="24"/>
      <c r="C30" s="24"/>
      <c r="D30" s="24"/>
      <c r="E30" s="24"/>
      <c r="F30" s="24"/>
      <c r="G30" s="24"/>
      <c r="H30" s="24"/>
      <c r="I30" s="24"/>
      <c r="J30" s="24"/>
      <c r="K30" s="24"/>
      <c r="L30" s="24"/>
      <c r="M30" s="24"/>
      <c r="N30" s="24"/>
    </row>
    <row r="31" spans="1:14" ht="15" x14ac:dyDescent="0.2">
      <c r="A31" s="40" t="s">
        <v>19</v>
      </c>
      <c r="B31" s="24"/>
      <c r="C31" s="24"/>
      <c r="D31" s="24"/>
      <c r="E31" s="24"/>
      <c r="F31" s="24"/>
      <c r="G31" s="24"/>
      <c r="H31" s="24"/>
      <c r="I31" s="24"/>
      <c r="J31" s="24"/>
      <c r="K31" s="24"/>
      <c r="L31" s="24"/>
      <c r="M31" s="24"/>
      <c r="N31" s="24"/>
    </row>
    <row r="32" spans="1:14" ht="15" x14ac:dyDescent="0.2">
      <c r="A32" s="40"/>
      <c r="B32" s="24" t="s">
        <v>20</v>
      </c>
      <c r="C32" s="24"/>
      <c r="D32" s="24"/>
      <c r="E32" s="24"/>
      <c r="F32" s="24"/>
      <c r="G32" s="24"/>
      <c r="H32" s="24"/>
      <c r="I32" s="24"/>
      <c r="J32" s="24"/>
      <c r="K32" s="24"/>
      <c r="L32" s="24"/>
      <c r="M32" s="24"/>
      <c r="N32" s="24"/>
    </row>
    <row r="33" spans="1:14" x14ac:dyDescent="0.2">
      <c r="A33" s="160"/>
      <c r="B33" s="24"/>
      <c r="C33" s="24"/>
      <c r="D33" s="24"/>
      <c r="E33" s="24"/>
      <c r="F33" s="24"/>
      <c r="G33" s="24"/>
      <c r="H33" s="24"/>
      <c r="I33" s="24"/>
      <c r="J33" s="24"/>
      <c r="K33" s="24"/>
      <c r="L33" s="24"/>
      <c r="M33" s="24"/>
      <c r="N33" s="24"/>
    </row>
    <row r="34" spans="1:14" x14ac:dyDescent="0.2">
      <c r="A34" s="41" t="s">
        <v>21</v>
      </c>
      <c r="B34" s="37"/>
      <c r="C34" s="37"/>
      <c r="D34" s="37"/>
      <c r="E34" s="37"/>
      <c r="F34" s="37"/>
      <c r="G34" s="37"/>
      <c r="H34" s="37"/>
      <c r="I34" s="37"/>
      <c r="J34" s="37"/>
      <c r="K34" s="37"/>
      <c r="L34" s="37"/>
      <c r="M34" s="37"/>
      <c r="N34" s="37"/>
    </row>
    <row r="35" spans="1:14" x14ac:dyDescent="0.2">
      <c r="A35" s="41" t="s">
        <v>22</v>
      </c>
      <c r="B35" s="37"/>
      <c r="C35" s="37"/>
      <c r="D35" s="37"/>
      <c r="E35" s="37"/>
      <c r="F35" s="37"/>
      <c r="G35" s="37"/>
      <c r="H35" s="37"/>
      <c r="I35" s="37"/>
      <c r="J35" s="37"/>
      <c r="K35" s="37"/>
      <c r="L35" s="37"/>
      <c r="M35" s="37"/>
      <c r="N35" s="37"/>
    </row>
    <row r="36" spans="1:14" x14ac:dyDescent="0.2">
      <c r="A36" s="41" t="s">
        <v>23</v>
      </c>
      <c r="B36" s="24"/>
      <c r="C36" s="24"/>
      <c r="D36" s="24"/>
      <c r="E36" s="24"/>
      <c r="F36" s="24"/>
      <c r="G36" s="24"/>
      <c r="H36" s="24"/>
      <c r="I36" s="24"/>
      <c r="J36" s="24"/>
      <c r="K36" s="24"/>
      <c r="L36" s="24"/>
      <c r="M36" s="24"/>
      <c r="N36" s="24"/>
    </row>
    <row r="37" spans="1:14" x14ac:dyDescent="0.2">
      <c r="A37" s="160"/>
      <c r="B37" s="24"/>
      <c r="C37" s="24"/>
      <c r="D37" s="24"/>
      <c r="E37" s="24"/>
      <c r="F37" s="24"/>
      <c r="G37" s="24"/>
      <c r="H37" s="24"/>
      <c r="I37" s="24"/>
      <c r="J37" s="24"/>
      <c r="K37" s="24"/>
      <c r="L37" s="24"/>
      <c r="M37" s="24"/>
      <c r="N37" s="24"/>
    </row>
    <row r="38" spans="1:14" ht="23.25" x14ac:dyDescent="0.35">
      <c r="A38" s="39" t="s">
        <v>24</v>
      </c>
      <c r="B38" s="24"/>
      <c r="C38" s="24"/>
      <c r="D38" s="24"/>
      <c r="E38" s="24"/>
      <c r="F38" s="24"/>
      <c r="G38" s="24"/>
      <c r="H38" s="24"/>
      <c r="I38" s="24"/>
      <c r="J38" s="24"/>
      <c r="K38" s="24"/>
      <c r="L38" s="24"/>
      <c r="M38" s="24"/>
      <c r="N38" s="24"/>
    </row>
    <row r="39" spans="1:14" x14ac:dyDescent="0.2">
      <c r="A39" s="160"/>
      <c r="B39" s="24"/>
      <c r="C39" s="24"/>
      <c r="D39" s="24"/>
      <c r="E39" s="24"/>
      <c r="F39" s="24"/>
      <c r="G39" s="24"/>
      <c r="H39" s="24"/>
      <c r="I39" s="24"/>
      <c r="J39" s="24"/>
      <c r="K39" s="24"/>
      <c r="L39" s="24"/>
      <c r="M39" s="24"/>
      <c r="N39" s="24"/>
    </row>
    <row r="40" spans="1:14" x14ac:dyDescent="0.2">
      <c r="A40" s="160" t="s">
        <v>25</v>
      </c>
      <c r="B40" s="24"/>
      <c r="C40" s="24"/>
      <c r="D40" s="24"/>
      <c r="E40" s="24"/>
      <c r="F40" s="24"/>
      <c r="G40" s="24"/>
      <c r="H40" s="24"/>
      <c r="I40" s="24"/>
      <c r="J40" s="24"/>
      <c r="K40" s="24"/>
      <c r="L40" s="24"/>
      <c r="M40" s="24"/>
      <c r="N40" s="24"/>
    </row>
    <row r="41" spans="1:14" x14ac:dyDescent="0.2">
      <c r="A41" s="160" t="s">
        <v>26</v>
      </c>
      <c r="B41" s="24"/>
      <c r="C41" s="24"/>
      <c r="D41" s="24"/>
      <c r="E41" s="24"/>
      <c r="F41" s="24"/>
      <c r="G41" s="24"/>
      <c r="H41" s="24"/>
      <c r="I41" s="24"/>
      <c r="J41" s="24"/>
      <c r="K41" s="24"/>
      <c r="L41" s="24"/>
      <c r="M41" s="24"/>
      <c r="N41" s="24"/>
    </row>
    <row r="42" spans="1:14" x14ac:dyDescent="0.2">
      <c r="A42" s="160" t="s">
        <v>27</v>
      </c>
      <c r="B42" s="24"/>
      <c r="C42" s="24"/>
      <c r="D42" s="24"/>
      <c r="E42" s="24"/>
      <c r="F42" s="24"/>
      <c r="G42" s="24"/>
      <c r="H42" s="24"/>
      <c r="I42" s="24"/>
      <c r="J42" s="24"/>
      <c r="K42" s="24"/>
      <c r="L42" s="24"/>
      <c r="M42" s="24"/>
      <c r="N42" s="24"/>
    </row>
    <row r="43" spans="1:14" x14ac:dyDescent="0.2">
      <c r="A43" s="160"/>
      <c r="B43" s="24"/>
      <c r="C43" s="24"/>
      <c r="D43" s="24"/>
      <c r="E43" s="24"/>
      <c r="F43" s="24"/>
      <c r="G43" s="24"/>
      <c r="H43" s="24"/>
      <c r="I43" s="24"/>
      <c r="J43" s="24"/>
      <c r="K43" s="24"/>
      <c r="L43" s="24"/>
      <c r="M43" s="24"/>
      <c r="N43" s="24"/>
    </row>
    <row r="44" spans="1:14" x14ac:dyDescent="0.2">
      <c r="A44" s="160" t="s">
        <v>28</v>
      </c>
      <c r="B44" s="24"/>
      <c r="C44" s="24"/>
      <c r="D44" s="24"/>
      <c r="E44" s="24"/>
      <c r="F44" s="24"/>
      <c r="G44" s="24"/>
      <c r="H44" s="24"/>
      <c r="I44" s="24"/>
      <c r="J44" s="24"/>
      <c r="K44" s="24"/>
      <c r="L44" s="24"/>
      <c r="M44" s="24"/>
      <c r="N44" s="24"/>
    </row>
    <row r="45" spans="1:14" x14ac:dyDescent="0.2">
      <c r="A45" s="160"/>
      <c r="B45" s="24"/>
      <c r="C45" s="24"/>
      <c r="D45" s="24"/>
      <c r="E45" s="24"/>
      <c r="F45" s="24"/>
      <c r="G45" s="24"/>
      <c r="H45" s="24"/>
      <c r="I45" s="24"/>
      <c r="J45" s="24"/>
      <c r="K45" s="24"/>
      <c r="L45" s="24"/>
      <c r="M45" s="24"/>
      <c r="N45" s="24"/>
    </row>
    <row r="46" spans="1:14" x14ac:dyDescent="0.2">
      <c r="A46" s="160" t="s">
        <v>29</v>
      </c>
      <c r="B46" s="24"/>
      <c r="C46" s="24"/>
      <c r="D46" s="24"/>
      <c r="E46" s="24"/>
      <c r="F46" s="24"/>
      <c r="G46" s="24"/>
      <c r="H46" s="24"/>
      <c r="I46" s="24"/>
      <c r="J46" s="24"/>
      <c r="K46" s="24"/>
      <c r="L46" s="24"/>
      <c r="M46" s="24"/>
      <c r="N46" s="24"/>
    </row>
    <row r="47" spans="1:14" x14ac:dyDescent="0.2">
      <c r="A47" s="160" t="s">
        <v>30</v>
      </c>
      <c r="B47" s="24"/>
      <c r="C47" s="24"/>
      <c r="D47" s="24"/>
      <c r="E47" s="24"/>
      <c r="F47" s="24"/>
      <c r="G47" s="24"/>
      <c r="H47" s="24"/>
      <c r="I47" s="24"/>
      <c r="J47" s="24"/>
      <c r="K47" s="24"/>
      <c r="L47" s="24"/>
      <c r="M47" s="24"/>
      <c r="N47" s="24"/>
    </row>
    <row r="48" spans="1:14" x14ac:dyDescent="0.2">
      <c r="A48" s="160" t="s">
        <v>31</v>
      </c>
      <c r="B48" s="24"/>
      <c r="C48" s="24"/>
      <c r="D48" s="24"/>
      <c r="E48" s="24"/>
      <c r="F48" s="24"/>
      <c r="G48" s="24"/>
      <c r="H48" s="24"/>
      <c r="I48" s="24"/>
      <c r="J48" s="24"/>
      <c r="K48" s="24"/>
      <c r="L48" s="24"/>
      <c r="M48" s="24" t="s">
        <v>32</v>
      </c>
      <c r="N48" s="24"/>
    </row>
    <row r="49" spans="1:14" x14ac:dyDescent="0.2">
      <c r="A49" s="160" t="s">
        <v>33</v>
      </c>
      <c r="B49" s="24"/>
      <c r="C49" s="24"/>
      <c r="D49" s="24"/>
      <c r="E49" s="24"/>
      <c r="F49" s="24"/>
      <c r="G49" s="24"/>
      <c r="H49" s="24"/>
      <c r="I49" s="24"/>
      <c r="J49" s="24"/>
      <c r="K49" s="24"/>
      <c r="L49" s="24"/>
      <c r="M49" s="24"/>
      <c r="N49" s="24"/>
    </row>
    <row r="50" spans="1:14" x14ac:dyDescent="0.2">
      <c r="A50" s="160" t="s">
        <v>34</v>
      </c>
      <c r="B50" s="24"/>
      <c r="C50" s="24"/>
      <c r="D50" s="24"/>
      <c r="E50" s="24"/>
      <c r="F50" s="24"/>
      <c r="G50" s="24"/>
      <c r="H50" s="24"/>
      <c r="I50" s="24"/>
      <c r="J50" s="24"/>
      <c r="K50" s="24"/>
      <c r="L50" s="24"/>
      <c r="M50" s="24"/>
      <c r="N50" s="24"/>
    </row>
    <row r="51" spans="1:14" x14ac:dyDescent="0.2">
      <c r="A51" s="160"/>
      <c r="B51" s="24"/>
      <c r="C51" s="24"/>
      <c r="D51" s="24"/>
      <c r="E51" s="24"/>
      <c r="F51" s="24"/>
      <c r="G51" s="24"/>
      <c r="H51" s="24"/>
      <c r="I51" s="24"/>
      <c r="J51" s="24"/>
      <c r="K51" s="24"/>
      <c r="L51" s="24"/>
      <c r="M51" s="24"/>
      <c r="N51" s="24"/>
    </row>
    <row r="52" spans="1:14" x14ac:dyDescent="0.2">
      <c r="A52" s="160" t="s">
        <v>35</v>
      </c>
      <c r="B52" s="24"/>
      <c r="C52" s="24"/>
      <c r="D52" s="24"/>
      <c r="E52" s="24"/>
      <c r="F52" s="24"/>
      <c r="G52" s="24"/>
      <c r="H52" s="24"/>
      <c r="I52" s="24"/>
      <c r="J52" s="24"/>
      <c r="K52" s="24"/>
      <c r="L52" s="24"/>
      <c r="M52" s="24"/>
      <c r="N52" s="24"/>
    </row>
    <row r="53" spans="1:14" x14ac:dyDescent="0.2">
      <c r="A53" s="160" t="s">
        <v>36</v>
      </c>
      <c r="B53" s="24"/>
      <c r="C53" s="24"/>
      <c r="D53" s="24"/>
      <c r="E53" s="24"/>
      <c r="F53" s="24"/>
      <c r="G53" s="24"/>
      <c r="H53" s="24"/>
      <c r="I53" s="24"/>
      <c r="J53" s="24"/>
      <c r="K53" s="24"/>
      <c r="L53" s="24"/>
      <c r="M53" s="24"/>
      <c r="N53" s="24"/>
    </row>
    <row r="54" spans="1:14" x14ac:dyDescent="0.2">
      <c r="A54" s="160"/>
      <c r="B54" s="24"/>
      <c r="C54" s="24"/>
      <c r="D54" s="24"/>
      <c r="E54" s="24"/>
      <c r="F54" s="24"/>
      <c r="G54" s="24"/>
      <c r="H54" s="24"/>
      <c r="I54" s="24"/>
      <c r="J54" s="24"/>
      <c r="K54" s="24"/>
      <c r="L54" s="24"/>
      <c r="M54" s="24"/>
      <c r="N54" s="24"/>
    </row>
    <row r="55" spans="1:14" x14ac:dyDescent="0.2">
      <c r="A55" s="160" t="s">
        <v>37</v>
      </c>
      <c r="B55" s="24"/>
      <c r="C55" s="24"/>
      <c r="D55" s="24"/>
      <c r="E55" s="24"/>
      <c r="F55" s="24"/>
      <c r="G55" s="24"/>
      <c r="H55" s="24"/>
      <c r="I55" s="24"/>
      <c r="J55" s="24"/>
      <c r="K55" s="24"/>
      <c r="L55" s="24"/>
      <c r="M55" s="24"/>
      <c r="N55" s="24"/>
    </row>
    <row r="56" spans="1:14" x14ac:dyDescent="0.2">
      <c r="A56" s="160"/>
      <c r="B56" s="24"/>
      <c r="C56" s="24"/>
      <c r="D56" s="24"/>
      <c r="E56" s="24"/>
      <c r="F56" s="24"/>
      <c r="G56" s="24"/>
      <c r="H56" s="24"/>
      <c r="I56" s="24"/>
      <c r="J56" s="24"/>
      <c r="K56" s="24"/>
      <c r="L56" s="24"/>
      <c r="M56" s="24"/>
      <c r="N56" s="24"/>
    </row>
    <row r="57" spans="1:14" x14ac:dyDescent="0.2">
      <c r="A57" s="42" t="s">
        <v>38</v>
      </c>
      <c r="B57" s="42"/>
      <c r="C57" s="24"/>
      <c r="D57" s="24"/>
      <c r="E57" s="24"/>
      <c r="F57" s="24"/>
      <c r="G57" s="24"/>
      <c r="H57" s="24"/>
      <c r="I57" s="24"/>
      <c r="J57" s="24"/>
      <c r="K57" s="24"/>
      <c r="L57" s="24"/>
      <c r="M57" s="24"/>
      <c r="N57" s="24"/>
    </row>
    <row r="58" spans="1:14" x14ac:dyDescent="0.2">
      <c r="A58" s="42" t="s">
        <v>39</v>
      </c>
      <c r="C58" s="24"/>
      <c r="D58" s="24"/>
      <c r="E58" s="24"/>
      <c r="F58" s="24"/>
      <c r="G58" s="24"/>
      <c r="H58" s="24"/>
      <c r="I58" s="24"/>
      <c r="J58" s="24"/>
      <c r="K58" s="24"/>
      <c r="L58" s="24"/>
      <c r="M58" s="24"/>
      <c r="N58" s="24"/>
    </row>
    <row r="59" spans="1:14" x14ac:dyDescent="0.2">
      <c r="A59" s="24"/>
      <c r="B59" s="160"/>
      <c r="C59" s="24"/>
      <c r="D59" s="24"/>
      <c r="E59" s="24"/>
      <c r="F59" s="24"/>
      <c r="G59" s="24"/>
      <c r="H59" s="24"/>
      <c r="I59" s="24"/>
      <c r="J59" s="24"/>
      <c r="K59" s="24"/>
      <c r="L59" s="24"/>
      <c r="M59" s="24"/>
      <c r="N59" s="24"/>
    </row>
    <row r="61" spans="1:14" x14ac:dyDescent="0.2">
      <c r="A61" s="160"/>
      <c r="B61" s="24"/>
      <c r="C61" s="24"/>
      <c r="D61" s="24"/>
      <c r="E61" s="24"/>
      <c r="F61" s="24"/>
      <c r="G61" s="24"/>
      <c r="H61" s="24"/>
      <c r="I61" s="24"/>
      <c r="J61" s="24"/>
      <c r="K61" s="24"/>
      <c r="L61" s="24"/>
      <c r="M61" s="24"/>
      <c r="N61" s="24"/>
    </row>
    <row r="62" spans="1:14" ht="15.75" x14ac:dyDescent="0.25">
      <c r="A62" s="38" t="s">
        <v>40</v>
      </c>
    </row>
    <row r="63" spans="1:14" x14ac:dyDescent="0.2">
      <c r="A63" s="160" t="s">
        <v>41</v>
      </c>
      <c r="B63" s="24"/>
      <c r="C63" s="24"/>
      <c r="D63" s="24"/>
      <c r="E63" s="24"/>
      <c r="F63" s="24"/>
      <c r="G63" s="24"/>
      <c r="H63" s="24"/>
      <c r="I63" s="24"/>
      <c r="J63" s="24"/>
      <c r="K63" s="24"/>
      <c r="L63" s="24"/>
      <c r="M63" s="24"/>
      <c r="N63" s="24"/>
    </row>
    <row r="64" spans="1:14" x14ac:dyDescent="0.2">
      <c r="B64" s="24" t="s">
        <v>42</v>
      </c>
      <c r="C64" s="24"/>
      <c r="D64" s="24"/>
      <c r="E64" s="24"/>
      <c r="F64" s="24"/>
      <c r="G64" s="24"/>
      <c r="H64" s="24"/>
      <c r="I64" s="24"/>
      <c r="J64" s="24"/>
      <c r="K64" s="24"/>
      <c r="L64" s="24"/>
      <c r="M64" s="24"/>
      <c r="N64" s="24"/>
    </row>
    <row r="65" spans="1:14" x14ac:dyDescent="0.2">
      <c r="A65" s="24"/>
      <c r="B65" s="160" t="s">
        <v>43</v>
      </c>
      <c r="C65" s="24"/>
      <c r="D65" s="24"/>
      <c r="E65" s="24"/>
      <c r="F65" s="24"/>
      <c r="G65" s="24"/>
      <c r="H65" s="24"/>
      <c r="I65" s="24"/>
      <c r="J65" s="24"/>
      <c r="K65" s="24"/>
      <c r="L65" s="24"/>
      <c r="M65" s="24"/>
      <c r="N65" s="24"/>
    </row>
    <row r="66" spans="1:14" x14ac:dyDescent="0.2">
      <c r="A66" s="24"/>
      <c r="B66" s="24"/>
      <c r="C66" s="160" t="s">
        <v>44</v>
      </c>
      <c r="D66" s="24"/>
      <c r="E66" s="24"/>
      <c r="F66" s="24"/>
      <c r="G66" s="24"/>
      <c r="H66" s="24"/>
      <c r="I66" s="24"/>
      <c r="J66" s="24"/>
      <c r="K66" s="24"/>
      <c r="L66" s="24"/>
      <c r="M66" s="24"/>
      <c r="N66" s="24"/>
    </row>
    <row r="67" spans="1:14" x14ac:dyDescent="0.2">
      <c r="A67" s="24"/>
      <c r="B67" s="24"/>
      <c r="C67" s="24"/>
      <c r="D67" s="24"/>
      <c r="E67" s="24"/>
      <c r="F67" s="24"/>
      <c r="G67" s="24"/>
      <c r="H67" s="24"/>
      <c r="I67" s="24"/>
      <c r="J67" s="24"/>
      <c r="K67" s="24"/>
      <c r="L67" s="24"/>
      <c r="M67" s="24"/>
      <c r="N67" s="24"/>
    </row>
    <row r="68" spans="1:14" x14ac:dyDescent="0.2">
      <c r="A68" s="160" t="s">
        <v>45</v>
      </c>
      <c r="B68" s="24"/>
      <c r="C68" s="24"/>
      <c r="D68" s="24"/>
      <c r="E68" s="24"/>
      <c r="F68" s="24"/>
      <c r="G68" s="24"/>
      <c r="H68" s="24"/>
      <c r="I68" s="24"/>
      <c r="J68" s="24"/>
      <c r="K68" s="24"/>
      <c r="L68" s="24"/>
      <c r="M68" s="24"/>
      <c r="N68" s="24"/>
    </row>
    <row r="70" spans="1:14" x14ac:dyDescent="0.2">
      <c r="A70" s="161" t="s">
        <v>46</v>
      </c>
    </row>
    <row r="71" spans="1:14" x14ac:dyDescent="0.2">
      <c r="B71" s="161" t="s">
        <v>47</v>
      </c>
    </row>
    <row r="74" spans="1:14" x14ac:dyDescent="0.2">
      <c r="A74" s="439" t="s">
        <v>48</v>
      </c>
      <c r="B74" s="439"/>
      <c r="C74" s="439"/>
      <c r="D74" s="439"/>
      <c r="E74" s="439"/>
      <c r="F74" s="439"/>
      <c r="G74" s="439"/>
      <c r="H74" s="439"/>
      <c r="I74" s="439"/>
      <c r="J74" s="439"/>
      <c r="K74" s="439"/>
      <c r="L74" s="439"/>
      <c r="M74" s="439"/>
      <c r="N74" s="439"/>
    </row>
  </sheetData>
  <customSheetViews>
    <customSheetView guid="{9EDB9842-A750-4033-9229-3D8286219058}" topLeftCell="A7">
      <selection activeCell="A30" sqref="A30"/>
      <pageMargins left="0" right="0" top="0" bottom="0" header="0" footer="0"/>
      <pageSetup orientation="landscape" horizontalDpi="300" verticalDpi="300" r:id="rId1"/>
      <headerFooter alignWithMargins="0"/>
    </customSheetView>
  </customSheetViews>
  <mergeCells count="1">
    <mergeCell ref="A74:N74"/>
  </mergeCells>
  <phoneticPr fontId="2" type="noConversion"/>
  <pageMargins left="0.5" right="0.43" top="1" bottom="1" header="0.5" footer="0.5"/>
  <pageSetup orientation="landscape" horizontalDpi="300" verticalDpi="300"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4"/>
  <sheetViews>
    <sheetView tabSelected="1" zoomScale="99" zoomScaleNormal="115" workbookViewId="0">
      <selection activeCell="F13" sqref="F13:G16"/>
    </sheetView>
  </sheetViews>
  <sheetFormatPr defaultRowHeight="12.75" x14ac:dyDescent="0.2"/>
  <cols>
    <col min="1" max="1" width="3.42578125" customWidth="1"/>
    <col min="2" max="2" width="8.5703125" customWidth="1"/>
    <col min="3" max="3" width="11.28515625" customWidth="1"/>
    <col min="4" max="4" width="9.85546875" customWidth="1"/>
    <col min="5" max="5" width="6.28515625" customWidth="1"/>
    <col min="7" max="7" width="11" customWidth="1"/>
    <col min="8" max="8" width="6.28515625" customWidth="1"/>
    <col min="10" max="10" width="11.28515625" customWidth="1"/>
    <col min="11" max="11" width="11.7109375" customWidth="1"/>
    <col min="14" max="14" width="9.7109375" customWidth="1"/>
    <col min="15" max="15" width="3" customWidth="1"/>
  </cols>
  <sheetData>
    <row r="1" spans="1:15" x14ac:dyDescent="0.2">
      <c r="A1" s="258"/>
      <c r="B1" s="258"/>
      <c r="C1" s="258"/>
      <c r="D1" s="258"/>
      <c r="E1" s="258"/>
      <c r="F1" s="258"/>
      <c r="G1" s="258"/>
      <c r="H1" s="258"/>
      <c r="I1" s="258"/>
      <c r="J1" s="258"/>
      <c r="K1" s="258"/>
      <c r="L1" s="258"/>
      <c r="M1" s="258"/>
      <c r="N1" s="258"/>
      <c r="O1" s="258"/>
    </row>
    <row r="2" spans="1:15" ht="12.75" customHeight="1" x14ac:dyDescent="0.2">
      <c r="A2" s="258"/>
      <c r="B2" s="355" t="s">
        <v>49</v>
      </c>
      <c r="C2" s="355"/>
      <c r="D2" s="355"/>
      <c r="E2" s="355"/>
      <c r="F2" s="355"/>
      <c r="G2" s="355"/>
      <c r="H2" s="355"/>
      <c r="I2" s="355"/>
      <c r="J2" s="355"/>
      <c r="K2" s="355"/>
      <c r="L2" s="355"/>
      <c r="M2" s="355"/>
      <c r="N2" s="355"/>
      <c r="O2" s="258"/>
    </row>
    <row r="3" spans="1:15" ht="12.75" customHeight="1" x14ac:dyDescent="0.2">
      <c r="A3" s="258"/>
      <c r="B3" s="355"/>
      <c r="C3" s="355"/>
      <c r="D3" s="355"/>
      <c r="E3" s="355"/>
      <c r="F3" s="355"/>
      <c r="G3" s="355"/>
      <c r="H3" s="355"/>
      <c r="I3" s="355"/>
      <c r="J3" s="355"/>
      <c r="K3" s="355"/>
      <c r="L3" s="355"/>
      <c r="M3" s="355"/>
      <c r="N3" s="355"/>
      <c r="O3" s="258"/>
    </row>
    <row r="4" spans="1:15" ht="15" x14ac:dyDescent="0.2">
      <c r="A4" s="258"/>
      <c r="B4" s="18"/>
      <c r="C4" s="433" t="s">
        <v>50</v>
      </c>
      <c r="D4" s="433"/>
      <c r="E4" s="18"/>
      <c r="F4" s="18"/>
      <c r="G4" s="18"/>
      <c r="H4" s="18"/>
      <c r="I4" s="18"/>
      <c r="J4" s="245" t="s">
        <v>51</v>
      </c>
      <c r="K4" s="245"/>
      <c r="L4" s="18"/>
      <c r="M4" s="18"/>
      <c r="N4" s="18"/>
      <c r="O4" s="258"/>
    </row>
    <row r="5" spans="1:15" ht="15.75" x14ac:dyDescent="0.25">
      <c r="A5" s="258"/>
      <c r="B5" s="236" t="s">
        <v>52</v>
      </c>
      <c r="C5" s="162" t="s">
        <v>53</v>
      </c>
      <c r="D5" s="162" t="s">
        <v>54</v>
      </c>
      <c r="E5" s="236" t="s">
        <v>55</v>
      </c>
      <c r="F5" s="18"/>
      <c r="G5" s="18"/>
      <c r="H5" s="332" t="s">
        <v>56</v>
      </c>
      <c r="I5" s="18"/>
      <c r="J5" s="18"/>
      <c r="K5" s="18"/>
      <c r="L5" s="18"/>
      <c r="M5" s="18"/>
      <c r="N5" s="18"/>
      <c r="O5" s="258"/>
    </row>
    <row r="6" spans="1:15" ht="15" x14ac:dyDescent="0.25">
      <c r="A6" s="258"/>
      <c r="B6" s="438" t="s">
        <v>57</v>
      </c>
      <c r="C6" s="234" t="s">
        <v>58</v>
      </c>
      <c r="D6" s="235">
        <v>0</v>
      </c>
      <c r="E6" s="18"/>
      <c r="F6" s="18" t="s">
        <v>59</v>
      </c>
      <c r="G6" s="18"/>
      <c r="H6" s="18"/>
      <c r="I6" s="18" t="s">
        <v>60</v>
      </c>
      <c r="J6" s="18"/>
      <c r="K6" s="18" t="s">
        <v>61</v>
      </c>
      <c r="L6" s="18"/>
      <c r="M6" s="436" t="s">
        <v>62</v>
      </c>
      <c r="N6" s="436"/>
      <c r="O6" s="258"/>
    </row>
    <row r="7" spans="1:15" ht="15.75" thickBot="1" x14ac:dyDescent="0.3">
      <c r="A7" s="258"/>
      <c r="B7" s="438"/>
      <c r="C7" s="234" t="s">
        <v>63</v>
      </c>
      <c r="D7" s="235">
        <v>0</v>
      </c>
      <c r="E7" s="18"/>
      <c r="F7" s="18" t="s">
        <v>64</v>
      </c>
      <c r="G7" s="18"/>
      <c r="H7" s="18"/>
      <c r="I7" s="18" t="s">
        <v>65</v>
      </c>
      <c r="J7" s="18"/>
      <c r="K7" s="18"/>
      <c r="L7" s="18"/>
      <c r="M7" s="21" t="s">
        <v>66</v>
      </c>
      <c r="N7" s="21" t="s">
        <v>67</v>
      </c>
      <c r="O7" s="258"/>
    </row>
    <row r="8" spans="1:15" ht="15.75" thickBot="1" x14ac:dyDescent="0.3">
      <c r="A8" s="258"/>
      <c r="B8" s="438"/>
      <c r="C8" s="234" t="s">
        <v>68</v>
      </c>
      <c r="D8" s="235">
        <v>0</v>
      </c>
      <c r="E8" s="18"/>
      <c r="F8" s="20" t="s">
        <v>69</v>
      </c>
      <c r="G8" s="18"/>
      <c r="H8" s="18"/>
      <c r="I8" s="12" t="s">
        <v>58</v>
      </c>
      <c r="J8" s="226">
        <v>1</v>
      </c>
      <c r="K8" s="19" t="s">
        <v>70</v>
      </c>
      <c r="L8" s="12" t="s">
        <v>58</v>
      </c>
      <c r="M8" s="228">
        <v>5</v>
      </c>
      <c r="N8" s="229">
        <v>5</v>
      </c>
      <c r="O8" s="258"/>
    </row>
    <row r="9" spans="1:15" ht="15.75" thickBot="1" x14ac:dyDescent="0.3">
      <c r="A9" s="258"/>
      <c r="B9" s="438"/>
      <c r="C9" s="234" t="s">
        <v>71</v>
      </c>
      <c r="D9" s="235">
        <v>0</v>
      </c>
      <c r="E9" s="18" t="s">
        <v>61</v>
      </c>
      <c r="F9" s="211">
        <v>2.5</v>
      </c>
      <c r="G9" s="163" t="s">
        <v>72</v>
      </c>
      <c r="H9" s="18"/>
      <c r="I9" s="237" t="s">
        <v>73</v>
      </c>
      <c r="J9" s="227">
        <v>1</v>
      </c>
      <c r="K9" s="18"/>
      <c r="L9" s="237" t="s">
        <v>73</v>
      </c>
      <c r="M9" s="230">
        <v>4</v>
      </c>
      <c r="N9" s="231">
        <v>4</v>
      </c>
      <c r="O9" s="258"/>
    </row>
    <row r="10" spans="1:15" ht="15.75" thickBot="1" x14ac:dyDescent="0.3">
      <c r="A10" s="258"/>
      <c r="B10" s="438"/>
      <c r="C10" s="234" t="s">
        <v>68</v>
      </c>
      <c r="D10" s="235">
        <v>0</v>
      </c>
      <c r="E10" s="18"/>
      <c r="F10" s="212">
        <v>1.1000000000000001</v>
      </c>
      <c r="G10" s="164" t="s">
        <v>74</v>
      </c>
      <c r="H10" s="18"/>
      <c r="I10" s="18"/>
      <c r="J10" s="18"/>
      <c r="K10" s="18"/>
      <c r="L10" s="164"/>
      <c r="M10" s="18"/>
      <c r="N10" s="18"/>
      <c r="O10" s="258"/>
    </row>
    <row r="11" spans="1:15" x14ac:dyDescent="0.2">
      <c r="A11" s="258"/>
      <c r="B11" s="18"/>
      <c r="C11" s="165" t="s">
        <v>53</v>
      </c>
      <c r="D11" s="165" t="s">
        <v>54</v>
      </c>
      <c r="E11" s="18"/>
      <c r="F11" s="18"/>
      <c r="G11" s="18"/>
      <c r="H11" s="18"/>
      <c r="I11" s="18"/>
      <c r="J11" s="18"/>
      <c r="K11" s="18"/>
      <c r="L11" s="18"/>
      <c r="M11" s="18"/>
      <c r="N11" s="18"/>
      <c r="O11" s="258"/>
    </row>
    <row r="12" spans="1:15" ht="15" x14ac:dyDescent="0.25">
      <c r="A12" s="258"/>
      <c r="B12" s="438" t="s">
        <v>75</v>
      </c>
      <c r="C12" s="234" t="s">
        <v>73</v>
      </c>
      <c r="D12" s="235">
        <v>0</v>
      </c>
      <c r="E12" s="18"/>
      <c r="F12" s="18"/>
      <c r="G12" s="18"/>
      <c r="H12" s="18"/>
      <c r="I12" s="18" t="s">
        <v>76</v>
      </c>
      <c r="J12" s="21"/>
      <c r="K12" s="18"/>
      <c r="L12" s="435"/>
      <c r="M12" s="435"/>
      <c r="N12" s="435"/>
      <c r="O12" s="258"/>
    </row>
    <row r="13" spans="1:15" ht="15.75" thickBot="1" x14ac:dyDescent="0.3">
      <c r="A13" s="258"/>
      <c r="B13" s="438"/>
      <c r="C13" s="234" t="s">
        <v>77</v>
      </c>
      <c r="D13" s="235">
        <v>0</v>
      </c>
      <c r="E13" s="18"/>
      <c r="F13" s="430"/>
      <c r="G13" s="437"/>
      <c r="H13" s="18"/>
      <c r="I13" s="238" t="s">
        <v>78</v>
      </c>
      <c r="J13" s="225" t="s">
        <v>79</v>
      </c>
      <c r="K13" s="239" t="s">
        <v>80</v>
      </c>
      <c r="L13" s="18"/>
      <c r="M13" s="18"/>
      <c r="N13" s="18"/>
      <c r="O13" s="258"/>
    </row>
    <row r="14" spans="1:15" ht="15" x14ac:dyDescent="0.25">
      <c r="A14" s="258"/>
      <c r="B14" s="438"/>
      <c r="C14" s="234" t="s">
        <v>73</v>
      </c>
      <c r="D14" s="235">
        <v>0</v>
      </c>
      <c r="E14" s="18"/>
      <c r="F14" s="437"/>
      <c r="G14" s="437"/>
      <c r="H14" s="18"/>
      <c r="I14" s="18" t="s">
        <v>81</v>
      </c>
      <c r="J14" s="242">
        <v>2</v>
      </c>
      <c r="K14" s="242">
        <v>2</v>
      </c>
      <c r="L14" s="18"/>
      <c r="M14" s="18"/>
      <c r="N14" s="18"/>
      <c r="O14" s="258"/>
    </row>
    <row r="15" spans="1:15" ht="15" x14ac:dyDescent="0.25">
      <c r="A15" s="258"/>
      <c r="B15" s="438"/>
      <c r="C15" s="234" t="s">
        <v>73</v>
      </c>
      <c r="D15" s="235">
        <v>0</v>
      </c>
      <c r="E15" s="18"/>
      <c r="F15" s="437"/>
      <c r="G15" s="437"/>
      <c r="H15" s="18"/>
      <c r="I15" s="18" t="s">
        <v>82</v>
      </c>
      <c r="J15" s="243">
        <v>2</v>
      </c>
      <c r="K15" s="243">
        <v>4</v>
      </c>
      <c r="L15" s="18"/>
      <c r="M15" s="18"/>
      <c r="N15" s="18"/>
      <c r="O15" s="258"/>
    </row>
    <row r="16" spans="1:15" ht="15.75" thickBot="1" x14ac:dyDescent="0.3">
      <c r="A16" s="258"/>
      <c r="B16" s="438"/>
      <c r="C16" s="234" t="s">
        <v>73</v>
      </c>
      <c r="D16" s="235">
        <v>0</v>
      </c>
      <c r="E16" s="20" t="s">
        <v>61</v>
      </c>
      <c r="F16" s="437"/>
      <c r="G16" s="437"/>
      <c r="H16" s="18"/>
      <c r="I16" s="18" t="s">
        <v>83</v>
      </c>
      <c r="J16" s="244">
        <v>3</v>
      </c>
      <c r="K16" s="244">
        <v>4</v>
      </c>
      <c r="L16" s="18"/>
      <c r="M16" s="18"/>
      <c r="N16" s="18"/>
      <c r="O16" s="258"/>
    </row>
    <row r="17" spans="1:22" ht="13.5" thickBot="1" x14ac:dyDescent="0.25">
      <c r="A17" s="258"/>
      <c r="B17" s="433"/>
      <c r="C17" s="433"/>
      <c r="D17" s="433"/>
      <c r="E17" s="433"/>
      <c r="F17" s="18"/>
      <c r="G17" s="18"/>
      <c r="H17" s="18"/>
      <c r="I17" s="18"/>
      <c r="J17" s="18"/>
      <c r="K17" s="18"/>
      <c r="L17" s="18"/>
      <c r="M17" s="18"/>
      <c r="N17" s="18"/>
      <c r="O17" s="258"/>
    </row>
    <row r="18" spans="1:22" ht="15.75" thickBot="1" x14ac:dyDescent="0.3">
      <c r="A18" s="258"/>
      <c r="B18" s="18"/>
      <c r="C18" s="13" t="s">
        <v>84</v>
      </c>
      <c r="D18" s="240">
        <f>SUM(D6:D10)</f>
        <v>0</v>
      </c>
      <c r="E18" s="20"/>
      <c r="F18" s="333" t="s">
        <v>85</v>
      </c>
      <c r="G18" s="18"/>
      <c r="H18" s="18"/>
      <c r="I18" s="18"/>
      <c r="J18" s="22"/>
      <c r="K18" s="18"/>
      <c r="L18" s="434" t="s">
        <v>86</v>
      </c>
      <c r="M18" s="434"/>
      <c r="N18" s="300"/>
      <c r="O18" s="258"/>
      <c r="R18" s="161" t="s">
        <v>61</v>
      </c>
    </row>
    <row r="19" spans="1:22" ht="15.75" thickBot="1" x14ac:dyDescent="0.3">
      <c r="A19" s="258"/>
      <c r="B19" s="18"/>
      <c r="C19" s="14" t="s">
        <v>87</v>
      </c>
      <c r="D19" s="241">
        <f>SUM(D12:D16)</f>
        <v>0</v>
      </c>
      <c r="E19" s="18"/>
      <c r="F19" s="23" t="s">
        <v>88</v>
      </c>
      <c r="G19" s="23"/>
      <c r="H19" s="23"/>
      <c r="I19" s="23"/>
      <c r="J19" s="232">
        <v>15</v>
      </c>
      <c r="K19" s="18"/>
      <c r="L19" s="225" t="s">
        <v>89</v>
      </c>
      <c r="M19" s="225" t="s">
        <v>90</v>
      </c>
      <c r="N19" s="225"/>
      <c r="O19" s="258"/>
    </row>
    <row r="20" spans="1:22" ht="15.75" thickBot="1" x14ac:dyDescent="0.3">
      <c r="A20" s="258"/>
      <c r="B20" s="18"/>
      <c r="C20" s="353"/>
      <c r="D20" s="18"/>
      <c r="E20" s="18"/>
      <c r="F20" s="23"/>
      <c r="G20" s="164"/>
      <c r="H20" s="431" t="s">
        <v>91</v>
      </c>
      <c r="I20" s="432"/>
      <c r="J20" s="233">
        <v>1</v>
      </c>
      <c r="K20" s="221" t="s">
        <v>92</v>
      </c>
      <c r="L20" s="301">
        <v>1</v>
      </c>
      <c r="M20" s="302">
        <v>1</v>
      </c>
      <c r="N20" s="18"/>
      <c r="O20" s="258"/>
    </row>
    <row r="21" spans="1:22" ht="15.75" thickBot="1" x14ac:dyDescent="0.3">
      <c r="A21" s="258"/>
      <c r="B21" s="18"/>
      <c r="C21" s="15" t="s">
        <v>93</v>
      </c>
      <c r="D21" s="16">
        <f>SUM(D6:D16)</f>
        <v>0</v>
      </c>
      <c r="E21" s="18" t="s">
        <v>61</v>
      </c>
      <c r="F21" s="18"/>
      <c r="G21" s="18"/>
      <c r="H21" s="431" t="s">
        <v>94</v>
      </c>
      <c r="I21" s="431"/>
      <c r="J21" s="233">
        <v>1</v>
      </c>
      <c r="K21" s="221" t="s">
        <v>95</v>
      </c>
      <c r="L21" s="303">
        <v>1</v>
      </c>
      <c r="M21" s="304">
        <v>1</v>
      </c>
      <c r="N21" s="18"/>
      <c r="O21" s="258"/>
    </row>
    <row r="22" spans="1:22" ht="12.75" customHeight="1" thickBot="1" x14ac:dyDescent="0.3">
      <c r="A22" s="258"/>
      <c r="B22" s="430" t="s">
        <v>96</v>
      </c>
      <c r="C22" s="430"/>
      <c r="D22" s="430"/>
      <c r="E22" s="430"/>
      <c r="F22" s="224" t="s">
        <v>97</v>
      </c>
      <c r="G22" s="224" t="s">
        <v>98</v>
      </c>
      <c r="H22" s="431" t="s">
        <v>99</v>
      </c>
      <c r="I22" s="431"/>
      <c r="J22" s="233">
        <v>1</v>
      </c>
      <c r="K22" s="221" t="s">
        <v>100</v>
      </c>
      <c r="L22" s="303">
        <v>1</v>
      </c>
      <c r="M22" s="304">
        <v>1</v>
      </c>
      <c r="N22" s="18"/>
      <c r="O22" s="258"/>
    </row>
    <row r="23" spans="1:22" ht="15.75" thickBot="1" x14ac:dyDescent="0.3">
      <c r="A23" s="258"/>
      <c r="B23" s="430"/>
      <c r="C23" s="430"/>
      <c r="D23" s="430"/>
      <c r="E23" s="430"/>
      <c r="F23" s="331">
        <v>1</v>
      </c>
      <c r="G23" s="331">
        <v>1</v>
      </c>
      <c r="H23" s="431" t="s">
        <v>101</v>
      </c>
      <c r="I23" s="431"/>
      <c r="J23" s="233">
        <v>1</v>
      </c>
      <c r="K23" s="221" t="s">
        <v>102</v>
      </c>
      <c r="L23" s="305">
        <v>1</v>
      </c>
      <c r="M23" s="306">
        <v>1</v>
      </c>
      <c r="N23" s="18"/>
      <c r="O23" s="258"/>
    </row>
    <row r="24" spans="1:22" x14ac:dyDescent="0.2">
      <c r="A24" s="258"/>
      <c r="B24" s="258"/>
      <c r="C24" s="258"/>
      <c r="D24" s="258"/>
      <c r="E24" s="258"/>
      <c r="F24" s="258"/>
      <c r="G24" s="258"/>
      <c r="H24" s="258"/>
      <c r="I24" s="258"/>
      <c r="J24" s="258"/>
      <c r="K24" s="258"/>
      <c r="L24" s="258"/>
      <c r="M24" s="258"/>
      <c r="N24" s="258"/>
      <c r="O24" s="258"/>
      <c r="V24" s="161"/>
    </row>
  </sheetData>
  <protectedRanges>
    <protectedRange password="C752" sqref="J20:J23" name="Range8"/>
    <protectedRange password="C752" sqref="C12:C16" name="Range6"/>
    <protectedRange password="C752" sqref="C6:C10" name="Range5"/>
    <protectedRange password="C752" sqref="D6:D16" name="Range1"/>
    <protectedRange password="C752" sqref="F9" name="Range2"/>
    <protectedRange password="C752" sqref="K14:K16 F23:G23 J8:J16 J18:J19" name="Range3"/>
    <protectedRange password="C752" sqref="M8:M9" name="Range4"/>
    <protectedRange password="C752" sqref="N8:N9" name="Firm Pillows"/>
  </protectedRanges>
  <customSheetViews>
    <customSheetView guid="{9EDB9842-A750-4033-9229-3D8286219058}">
      <selection activeCell="K18" sqref="K18"/>
      <pageMargins left="0" right="0" top="0" bottom="0" header="0" footer="0"/>
      <pageSetup orientation="portrait" horizontalDpi="300" verticalDpi="300" r:id="rId1"/>
      <headerFooter alignWithMargins="0"/>
    </customSheetView>
  </customSheetViews>
  <mergeCells count="13">
    <mergeCell ref="C4:D4"/>
    <mergeCell ref="L18:M18"/>
    <mergeCell ref="B17:E17"/>
    <mergeCell ref="L12:N12"/>
    <mergeCell ref="M6:N6"/>
    <mergeCell ref="F13:G16"/>
    <mergeCell ref="B6:B10"/>
    <mergeCell ref="B12:B16"/>
    <mergeCell ref="B22:E23"/>
    <mergeCell ref="H20:I20"/>
    <mergeCell ref="H21:I21"/>
    <mergeCell ref="H22:I22"/>
    <mergeCell ref="H23:I23"/>
  </mergeCells>
  <phoneticPr fontId="2" type="noConversion"/>
  <pageMargins left="0.49" right="0.55000000000000004" top="1" bottom="1" header="0.5" footer="0.5"/>
  <pageSetup orientation="portrait" horizontalDpi="300" verticalDpi="300" r:id="rId2"/>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37"/>
  <sheetViews>
    <sheetView topLeftCell="A2" zoomScaleNormal="100" workbookViewId="0">
      <pane ySplit="3" topLeftCell="A19" activePane="bottomLeft" state="frozen"/>
      <selection activeCell="A2" sqref="A2"/>
      <selection pane="bottomLeft" activeCell="E38" sqref="E38"/>
    </sheetView>
  </sheetViews>
  <sheetFormatPr defaultRowHeight="12.75" x14ac:dyDescent="0.2"/>
  <cols>
    <col min="1" max="1" width="9.5703125" style="3" customWidth="1"/>
    <col min="2" max="2" width="10.7109375" style="3" customWidth="1"/>
    <col min="3" max="6" width="8.7109375" customWidth="1"/>
    <col min="7" max="7" width="1.5703125" customWidth="1"/>
    <col min="8" max="9" width="8.7109375" customWidth="1"/>
    <col min="10" max="10" width="9.28515625" customWidth="1"/>
    <col min="11" max="11" width="8.7109375" customWidth="1"/>
    <col min="12" max="12" width="1.140625" customWidth="1"/>
    <col min="13" max="14" width="8.7109375" customWidth="1"/>
    <col min="15" max="15" width="9.42578125" customWidth="1"/>
    <col min="16" max="16" width="8.7109375" customWidth="1"/>
    <col min="17" max="17" width="1.28515625" customWidth="1"/>
    <col min="18" max="20" width="8.85546875" customWidth="1"/>
    <col min="21" max="21" width="1.140625" customWidth="1"/>
  </cols>
  <sheetData>
    <row r="1" spans="1:25" ht="13.5" thickBot="1" x14ac:dyDescent="0.25">
      <c r="C1" s="6"/>
      <c r="D1" s="7"/>
      <c r="E1" s="8" t="s">
        <v>103</v>
      </c>
      <c r="F1" s="7"/>
      <c r="H1" s="154"/>
      <c r="I1" s="154" t="s">
        <v>61</v>
      </c>
      <c r="J1" s="154" t="s">
        <v>61</v>
      </c>
      <c r="K1" s="155" t="s">
        <v>61</v>
      </c>
      <c r="M1" s="156"/>
      <c r="N1" s="156" t="s">
        <v>61</v>
      </c>
      <c r="O1" s="156" t="s">
        <v>61</v>
      </c>
      <c r="P1" s="157" t="s">
        <v>61</v>
      </c>
      <c r="Q1" s="91"/>
    </row>
    <row r="2" spans="1:25" ht="33" customHeight="1" thickTop="1" thickBot="1" x14ac:dyDescent="0.3">
      <c r="C2" s="462" t="s">
        <v>103</v>
      </c>
      <c r="D2" s="463"/>
      <c r="E2" s="463"/>
      <c r="F2" s="463"/>
      <c r="G2" s="96"/>
      <c r="H2" s="464" t="s">
        <v>79</v>
      </c>
      <c r="I2" s="465"/>
      <c r="J2" s="465"/>
      <c r="K2" s="465"/>
      <c r="L2" s="466"/>
      <c r="M2" s="467" t="s">
        <v>80</v>
      </c>
      <c r="N2" s="467"/>
      <c r="O2" s="467"/>
      <c r="P2" s="468"/>
      <c r="Q2" s="97"/>
      <c r="R2" s="469" t="s">
        <v>104</v>
      </c>
      <c r="S2" s="470"/>
      <c r="T2" s="471"/>
      <c r="U2" s="31"/>
      <c r="V2" s="472" t="s">
        <v>105</v>
      </c>
      <c r="W2" s="473"/>
      <c r="X2" s="473"/>
      <c r="Y2" s="474"/>
    </row>
    <row r="3" spans="1:25" s="1" customFormat="1" ht="22.5" customHeight="1" thickTop="1" x14ac:dyDescent="0.2">
      <c r="A3" s="458" t="s">
        <v>106</v>
      </c>
      <c r="B3" s="454" t="s">
        <v>107</v>
      </c>
      <c r="C3" s="5" t="s">
        <v>108</v>
      </c>
      <c r="D3" s="9" t="s">
        <v>81</v>
      </c>
      <c r="E3" s="9" t="s">
        <v>82</v>
      </c>
      <c r="F3" s="9" t="s">
        <v>109</v>
      </c>
      <c r="G3" s="4"/>
      <c r="H3" s="479" t="s">
        <v>110</v>
      </c>
      <c r="I3" s="460" t="s">
        <v>111</v>
      </c>
      <c r="J3" s="440" t="s">
        <v>112</v>
      </c>
      <c r="K3" s="442" t="s">
        <v>113</v>
      </c>
      <c r="L3"/>
      <c r="M3" s="482" t="s">
        <v>110</v>
      </c>
      <c r="N3" s="481" t="s">
        <v>111</v>
      </c>
      <c r="O3" s="440" t="s">
        <v>112</v>
      </c>
      <c r="P3" s="442" t="s">
        <v>113</v>
      </c>
      <c r="Q3" s="92"/>
      <c r="R3" s="477" t="s">
        <v>114</v>
      </c>
      <c r="S3" s="440" t="s">
        <v>115</v>
      </c>
      <c r="T3" s="442" t="s">
        <v>116</v>
      </c>
      <c r="U3" s="28"/>
      <c r="V3" s="477" t="s">
        <v>117</v>
      </c>
      <c r="W3" s="446" t="s">
        <v>118</v>
      </c>
      <c r="X3" s="446" t="s">
        <v>119</v>
      </c>
      <c r="Y3" s="475" t="s">
        <v>120</v>
      </c>
    </row>
    <row r="4" spans="1:25" s="1" customFormat="1" ht="17.25" customHeight="1" thickBot="1" x14ac:dyDescent="0.25">
      <c r="A4" s="459"/>
      <c r="B4" s="455"/>
      <c r="C4" s="222" t="s">
        <v>121</v>
      </c>
      <c r="D4" s="223" t="s">
        <v>122</v>
      </c>
      <c r="E4" s="223" t="s">
        <v>122</v>
      </c>
      <c r="F4" s="223" t="s">
        <v>123</v>
      </c>
      <c r="G4" s="4"/>
      <c r="H4" s="480"/>
      <c r="I4" s="461"/>
      <c r="J4" s="441"/>
      <c r="K4" s="443"/>
      <c r="L4"/>
      <c r="M4" s="480"/>
      <c r="N4" s="461"/>
      <c r="O4" s="441"/>
      <c r="P4" s="443"/>
      <c r="Q4" s="93"/>
      <c r="R4" s="478"/>
      <c r="S4" s="441"/>
      <c r="T4" s="443"/>
      <c r="U4" s="28"/>
      <c r="V4" s="478"/>
      <c r="W4" s="447"/>
      <c r="X4" s="447"/>
      <c r="Y4" s="476"/>
    </row>
    <row r="5" spans="1:25" ht="20.100000000000001" customHeight="1" x14ac:dyDescent="0.2">
      <c r="A5" s="43"/>
      <c r="B5" s="17"/>
      <c r="C5" s="149"/>
      <c r="D5" s="149"/>
      <c r="E5" s="149"/>
      <c r="F5" s="149"/>
      <c r="G5" s="145"/>
      <c r="H5" s="149"/>
      <c r="I5" s="149"/>
      <c r="J5" s="149"/>
      <c r="K5" s="149"/>
      <c r="L5" s="145"/>
      <c r="M5" s="149"/>
      <c r="N5" s="149"/>
      <c r="O5" s="149"/>
      <c r="P5" s="151"/>
      <c r="Q5" s="146"/>
      <c r="R5" s="95"/>
      <c r="S5" s="95"/>
      <c r="T5" s="95"/>
      <c r="U5" s="90"/>
      <c r="V5" s="90"/>
      <c r="W5" s="90"/>
      <c r="X5" s="90"/>
      <c r="Y5" s="90"/>
    </row>
    <row r="6" spans="1:25" ht="20.100000000000001" customHeight="1" x14ac:dyDescent="0.2">
      <c r="A6" s="43"/>
      <c r="B6" s="17"/>
      <c r="C6" s="145"/>
      <c r="D6" s="145"/>
      <c r="E6" s="145"/>
      <c r="F6" s="145"/>
      <c r="G6" s="145"/>
      <c r="H6" s="145"/>
      <c r="I6" s="145"/>
      <c r="J6" s="145"/>
      <c r="K6" s="145"/>
      <c r="L6" s="145"/>
      <c r="M6" s="145"/>
      <c r="N6" s="145"/>
      <c r="O6" s="145"/>
      <c r="P6" s="146"/>
      <c r="Q6" s="146"/>
      <c r="R6" s="90"/>
      <c r="S6" s="90"/>
      <c r="T6" s="90"/>
      <c r="U6" s="90"/>
      <c r="V6" s="90"/>
      <c r="W6" s="90"/>
      <c r="X6" s="90"/>
      <c r="Y6" s="90"/>
    </row>
    <row r="7" spans="1:25" ht="20.100000000000001" customHeight="1" x14ac:dyDescent="0.2">
      <c r="A7" s="43"/>
      <c r="B7" s="17"/>
      <c r="C7" s="145"/>
      <c r="D7" s="145"/>
      <c r="E7" s="145"/>
      <c r="F7" s="145"/>
      <c r="G7" s="145"/>
      <c r="H7" s="145"/>
      <c r="I7" s="145"/>
      <c r="J7" s="145"/>
      <c r="K7" s="145"/>
      <c r="L7" s="145"/>
      <c r="M7" s="145"/>
      <c r="N7" s="145"/>
      <c r="O7" s="145"/>
      <c r="P7" s="146"/>
      <c r="Q7" s="146"/>
      <c r="R7" s="90"/>
      <c r="S7" s="90"/>
      <c r="T7" s="90"/>
      <c r="U7" s="90"/>
      <c r="V7" s="90"/>
      <c r="W7" s="90"/>
      <c r="X7" s="90"/>
      <c r="Y7" s="90"/>
    </row>
    <row r="8" spans="1:25" ht="20.100000000000001" customHeight="1" x14ac:dyDescent="0.2">
      <c r="A8" s="43"/>
      <c r="B8" s="17"/>
      <c r="C8" s="145"/>
      <c r="D8" s="145"/>
      <c r="E8" s="145"/>
      <c r="F8" s="145"/>
      <c r="G8" s="145"/>
      <c r="H8" s="145"/>
      <c r="I8" s="145"/>
      <c r="J8" s="145"/>
      <c r="K8" s="145"/>
      <c r="L8" s="145"/>
      <c r="M8" s="145"/>
      <c r="N8" s="145"/>
      <c r="O8" s="145"/>
      <c r="P8" s="146"/>
      <c r="Q8" s="146"/>
      <c r="R8" s="90"/>
      <c r="S8" s="90"/>
      <c r="T8" s="90"/>
      <c r="U8" s="90"/>
      <c r="V8" s="2"/>
      <c r="W8" s="90"/>
      <c r="X8" s="90"/>
      <c r="Y8" s="90"/>
    </row>
    <row r="9" spans="1:25" ht="20.100000000000001" customHeight="1" thickBot="1" x14ac:dyDescent="0.25">
      <c r="A9" s="43"/>
      <c r="B9" s="17"/>
      <c r="C9" s="145"/>
      <c r="D9" s="145"/>
      <c r="E9" s="145"/>
      <c r="F9" s="145"/>
      <c r="G9" s="145"/>
      <c r="H9" s="145"/>
      <c r="I9" s="145"/>
      <c r="J9" s="145"/>
      <c r="K9" s="145"/>
      <c r="L9" s="145"/>
      <c r="M9" s="145"/>
      <c r="N9" s="145"/>
      <c r="O9" s="145"/>
      <c r="P9" s="146"/>
      <c r="Q9" s="146"/>
      <c r="R9" s="90"/>
      <c r="S9" s="90"/>
      <c r="T9" s="90"/>
      <c r="U9" s="90"/>
      <c r="V9" s="90"/>
      <c r="W9" s="90"/>
      <c r="X9" s="90"/>
      <c r="Y9" s="90"/>
    </row>
    <row r="10" spans="1:25" ht="33.75" customHeight="1" thickTop="1" thickBot="1" x14ac:dyDescent="0.25">
      <c r="A10" s="449" t="s">
        <v>124</v>
      </c>
      <c r="B10" s="450"/>
      <c r="C10" s="147">
        <f t="shared" ref="C10:P10" si="0">SUM(C5:C9)</f>
        <v>0</v>
      </c>
      <c r="D10" s="147">
        <f t="shared" si="0"/>
        <v>0</v>
      </c>
      <c r="E10" s="147">
        <f t="shared" si="0"/>
        <v>0</v>
      </c>
      <c r="F10" s="147">
        <f t="shared" si="0"/>
        <v>0</v>
      </c>
      <c r="G10" s="147">
        <f t="shared" si="0"/>
        <v>0</v>
      </c>
      <c r="H10" s="147">
        <f t="shared" si="0"/>
        <v>0</v>
      </c>
      <c r="I10" s="147">
        <f t="shared" si="0"/>
        <v>0</v>
      </c>
      <c r="J10" s="147">
        <f t="shared" si="0"/>
        <v>0</v>
      </c>
      <c r="K10" s="147">
        <f t="shared" si="0"/>
        <v>0</v>
      </c>
      <c r="L10" s="147">
        <f t="shared" si="0"/>
        <v>0</v>
      </c>
      <c r="M10" s="147">
        <f t="shared" si="0"/>
        <v>0</v>
      </c>
      <c r="N10" s="147">
        <f t="shared" si="0"/>
        <v>0</v>
      </c>
      <c r="O10" s="147">
        <f t="shared" si="0"/>
        <v>0</v>
      </c>
      <c r="P10" s="147">
        <f t="shared" si="0"/>
        <v>0</v>
      </c>
      <c r="Q10" s="148"/>
      <c r="R10" s="147">
        <f t="shared" ref="R10:Y10" si="1">SUM(R5:R9)</f>
        <v>0</v>
      </c>
      <c r="S10" s="147">
        <f t="shared" si="1"/>
        <v>0</v>
      </c>
      <c r="T10" s="147">
        <f t="shared" si="1"/>
        <v>0</v>
      </c>
      <c r="U10" s="147">
        <f t="shared" si="1"/>
        <v>0</v>
      </c>
      <c r="V10" s="147">
        <f t="shared" si="1"/>
        <v>0</v>
      </c>
      <c r="W10" s="147">
        <f t="shared" si="1"/>
        <v>0</v>
      </c>
      <c r="X10" s="147">
        <f t="shared" si="1"/>
        <v>0</v>
      </c>
      <c r="Y10" s="147">
        <f t="shared" si="1"/>
        <v>0</v>
      </c>
    </row>
    <row r="11" spans="1:25" ht="20.100000000000001" customHeight="1" thickTop="1" x14ac:dyDescent="0.2">
      <c r="A11" s="43"/>
      <c r="B11" s="159"/>
      <c r="C11" s="145"/>
      <c r="D11" s="145"/>
      <c r="E11" s="145"/>
      <c r="F11" s="149"/>
      <c r="G11" s="149"/>
      <c r="H11" s="149"/>
      <c r="I11" s="149"/>
      <c r="J11" s="149"/>
      <c r="K11" s="149"/>
      <c r="L11" s="149"/>
      <c r="M11" s="149"/>
      <c r="N11" s="149"/>
      <c r="O11" s="149"/>
      <c r="P11" s="146"/>
      <c r="Q11" s="146"/>
      <c r="R11" s="90"/>
      <c r="S11" s="90"/>
      <c r="T11" s="90"/>
      <c r="U11" s="90"/>
      <c r="V11" s="90"/>
      <c r="W11" s="90"/>
      <c r="X11" s="90"/>
      <c r="Y11" s="90"/>
    </row>
    <row r="12" spans="1:25" ht="20.100000000000001" customHeight="1" x14ac:dyDescent="0.2">
      <c r="A12" s="43"/>
      <c r="B12" s="17"/>
      <c r="C12" s="145"/>
      <c r="D12" s="145"/>
      <c r="E12" s="145"/>
      <c r="F12" s="145"/>
      <c r="G12" s="145"/>
      <c r="H12" s="145"/>
      <c r="I12" s="145"/>
      <c r="J12" s="145"/>
      <c r="K12" s="145"/>
      <c r="L12" s="145"/>
      <c r="M12" s="145"/>
      <c r="N12" s="145"/>
      <c r="O12" s="145"/>
      <c r="P12" s="146"/>
      <c r="Q12" s="146"/>
      <c r="R12" s="90"/>
      <c r="S12" s="90"/>
      <c r="T12" s="90"/>
      <c r="U12" s="90"/>
      <c r="V12" s="90"/>
      <c r="W12" s="90"/>
      <c r="X12" s="90"/>
      <c r="Y12" s="90"/>
    </row>
    <row r="13" spans="1:25" ht="20.100000000000001" customHeight="1" x14ac:dyDescent="0.2">
      <c r="A13" s="43"/>
      <c r="B13" s="17"/>
      <c r="C13" s="145"/>
      <c r="D13" s="145"/>
      <c r="E13" s="145"/>
      <c r="F13" s="145"/>
      <c r="G13" s="145"/>
      <c r="H13" s="145"/>
      <c r="I13" s="145"/>
      <c r="J13" s="145"/>
      <c r="K13" s="145"/>
      <c r="L13" s="145"/>
      <c r="M13" s="145"/>
      <c r="N13" s="145"/>
      <c r="O13" s="145"/>
      <c r="P13" s="146"/>
      <c r="Q13" s="146"/>
      <c r="R13" s="90"/>
      <c r="S13" s="90"/>
      <c r="T13" s="90"/>
      <c r="U13" s="90"/>
      <c r="V13" s="2"/>
      <c r="W13" s="90"/>
      <c r="X13" s="90"/>
      <c r="Y13" s="90"/>
    </row>
    <row r="14" spans="1:25" ht="20.100000000000001" customHeight="1" x14ac:dyDescent="0.2">
      <c r="A14" s="43"/>
      <c r="B14" s="17"/>
      <c r="C14" s="145"/>
      <c r="D14" s="145"/>
      <c r="E14" s="145"/>
      <c r="F14" s="145"/>
      <c r="G14" s="145"/>
      <c r="H14" s="145"/>
      <c r="I14" s="145"/>
      <c r="J14" s="145"/>
      <c r="K14" s="145"/>
      <c r="L14" s="145"/>
      <c r="M14" s="145"/>
      <c r="N14" s="145"/>
      <c r="O14" s="145"/>
      <c r="P14" s="146"/>
      <c r="Q14" s="146"/>
      <c r="R14" s="90"/>
      <c r="S14" s="90"/>
      <c r="T14" s="90"/>
      <c r="U14" s="90"/>
      <c r="V14" s="90"/>
      <c r="W14" s="90"/>
      <c r="X14" s="90"/>
      <c r="Y14" s="90"/>
    </row>
    <row r="15" spans="1:25" ht="20.100000000000001" customHeight="1" thickBot="1" x14ac:dyDescent="0.25">
      <c r="A15" s="43"/>
      <c r="B15" s="17"/>
      <c r="C15" s="145"/>
      <c r="D15" s="145"/>
      <c r="E15" s="145"/>
      <c r="F15" s="145"/>
      <c r="G15" s="145"/>
      <c r="H15" s="145"/>
      <c r="I15" s="145"/>
      <c r="J15" s="145"/>
      <c r="K15" s="145"/>
      <c r="L15" s="145"/>
      <c r="M15" s="145"/>
      <c r="N15" s="145"/>
      <c r="O15" s="145"/>
      <c r="P15" s="146"/>
      <c r="Q15" s="146"/>
      <c r="R15" s="90"/>
      <c r="S15" s="90"/>
      <c r="T15" s="90"/>
      <c r="U15" s="90"/>
      <c r="V15" s="90"/>
      <c r="W15" s="90"/>
      <c r="X15" s="90"/>
      <c r="Y15" s="90"/>
    </row>
    <row r="16" spans="1:25" ht="35.25" customHeight="1" thickTop="1" thickBot="1" x14ac:dyDescent="0.25">
      <c r="A16" s="449" t="s">
        <v>125</v>
      </c>
      <c r="B16" s="451"/>
      <c r="C16" s="147">
        <f>SUM(C11:C15)</f>
        <v>0</v>
      </c>
      <c r="D16" s="147">
        <f>SUM(D11:D15)</f>
        <v>0</v>
      </c>
      <c r="E16" s="147">
        <f>SUM(E11:E15)</f>
        <v>0</v>
      </c>
      <c r="F16" s="147">
        <f>SUM(F11:F15)</f>
        <v>0</v>
      </c>
      <c r="G16" s="147">
        <f>SUM(G11:G15)</f>
        <v>0</v>
      </c>
      <c r="H16" s="147">
        <v>0</v>
      </c>
      <c r="I16" s="147">
        <f t="shared" ref="I16:P16" si="2">SUM(I11:I15)</f>
        <v>0</v>
      </c>
      <c r="J16" s="147">
        <f t="shared" si="2"/>
        <v>0</v>
      </c>
      <c r="K16" s="147">
        <f t="shared" si="2"/>
        <v>0</v>
      </c>
      <c r="L16" s="147">
        <f t="shared" si="2"/>
        <v>0</v>
      </c>
      <c r="M16" s="147">
        <f t="shared" si="2"/>
        <v>0</v>
      </c>
      <c r="N16" s="147">
        <f t="shared" si="2"/>
        <v>0</v>
      </c>
      <c r="O16" s="147">
        <f t="shared" si="2"/>
        <v>0</v>
      </c>
      <c r="P16" s="147">
        <f t="shared" si="2"/>
        <v>0</v>
      </c>
      <c r="Q16" s="148"/>
      <c r="R16" s="147">
        <f t="shared" ref="R16:Y16" si="3">SUM(R11:R15)</f>
        <v>0</v>
      </c>
      <c r="S16" s="147">
        <f t="shared" si="3"/>
        <v>0</v>
      </c>
      <c r="T16" s="147">
        <f t="shared" si="3"/>
        <v>0</v>
      </c>
      <c r="U16" s="147">
        <f t="shared" si="3"/>
        <v>0</v>
      </c>
      <c r="V16" s="147">
        <f t="shared" si="3"/>
        <v>0</v>
      </c>
      <c r="W16" s="147">
        <f t="shared" si="3"/>
        <v>0</v>
      </c>
      <c r="X16" s="147">
        <f t="shared" si="3"/>
        <v>0</v>
      </c>
      <c r="Y16" s="147">
        <f t="shared" si="3"/>
        <v>0</v>
      </c>
    </row>
    <row r="17" spans="1:25" ht="20.100000000000001" customHeight="1" thickTop="1" x14ac:dyDescent="0.2">
      <c r="A17" s="43"/>
      <c r="B17" s="17"/>
      <c r="C17" s="145"/>
      <c r="D17" s="145"/>
      <c r="E17" s="145"/>
      <c r="F17" s="145"/>
      <c r="G17" s="145"/>
      <c r="H17" s="145"/>
      <c r="I17" s="145"/>
      <c r="J17" s="145"/>
      <c r="K17" s="145"/>
      <c r="L17" s="145"/>
      <c r="M17" s="145"/>
      <c r="N17" s="145"/>
      <c r="O17" s="145"/>
      <c r="P17" s="146"/>
      <c r="Q17" s="146"/>
      <c r="R17" s="90"/>
      <c r="S17" s="90"/>
      <c r="T17" s="90"/>
      <c r="U17" s="90"/>
      <c r="V17" s="90"/>
      <c r="W17" s="90"/>
      <c r="X17" s="90"/>
      <c r="Y17" s="90"/>
    </row>
    <row r="18" spans="1:25" ht="20.100000000000001" customHeight="1" x14ac:dyDescent="0.2">
      <c r="A18" s="43"/>
      <c r="B18" s="17"/>
      <c r="C18" s="145"/>
      <c r="D18" s="145"/>
      <c r="E18" s="145"/>
      <c r="F18" s="145"/>
      <c r="G18" s="145"/>
      <c r="H18" s="145"/>
      <c r="I18" s="145"/>
      <c r="J18" s="145"/>
      <c r="K18" s="145"/>
      <c r="L18" s="145"/>
      <c r="M18" s="145"/>
      <c r="N18" s="145"/>
      <c r="O18" s="145"/>
      <c r="P18" s="146"/>
      <c r="Q18" s="146"/>
      <c r="R18" s="90"/>
      <c r="S18" s="90"/>
      <c r="T18" s="90"/>
      <c r="U18" s="90"/>
      <c r="V18" s="90"/>
      <c r="W18" s="90"/>
      <c r="X18" s="90"/>
      <c r="Y18" s="90"/>
    </row>
    <row r="19" spans="1:25" ht="20.100000000000001" customHeight="1" x14ac:dyDescent="0.2">
      <c r="A19" s="43"/>
      <c r="B19" s="17"/>
      <c r="C19" s="145"/>
      <c r="D19" s="145"/>
      <c r="E19" s="145"/>
      <c r="F19" s="145"/>
      <c r="G19" s="145"/>
      <c r="H19" s="145"/>
      <c r="I19" s="145"/>
      <c r="J19" s="145"/>
      <c r="K19" s="145"/>
      <c r="L19" s="145"/>
      <c r="M19" s="145"/>
      <c r="N19" s="145"/>
      <c r="O19" s="145"/>
      <c r="P19" s="146"/>
      <c r="Q19" s="146"/>
      <c r="R19" s="90"/>
      <c r="S19" s="90"/>
      <c r="T19" s="90"/>
      <c r="U19" s="90"/>
      <c r="V19" s="90"/>
      <c r="W19" s="90"/>
      <c r="X19" s="90"/>
      <c r="Y19" s="90"/>
    </row>
    <row r="20" spans="1:25" ht="20.100000000000001" customHeight="1" x14ac:dyDescent="0.2">
      <c r="A20" s="17"/>
      <c r="B20" s="17"/>
      <c r="C20" s="145"/>
      <c r="D20" s="145"/>
      <c r="E20" s="145"/>
      <c r="F20" s="145"/>
      <c r="G20" s="145"/>
      <c r="H20" s="145"/>
      <c r="I20" s="145"/>
      <c r="J20" s="145"/>
      <c r="K20" s="145"/>
      <c r="L20" s="145"/>
      <c r="M20" s="145"/>
      <c r="N20" s="145"/>
      <c r="O20" s="145"/>
      <c r="P20" s="146"/>
      <c r="Q20" s="146"/>
      <c r="R20" s="90"/>
      <c r="S20" s="90"/>
      <c r="T20" s="90"/>
      <c r="U20" s="90"/>
      <c r="V20" s="90"/>
      <c r="W20" s="90"/>
      <c r="X20" s="90"/>
      <c r="Y20" s="90"/>
    </row>
    <row r="21" spans="1:25" ht="20.100000000000001" customHeight="1" thickBot="1" x14ac:dyDescent="0.25">
      <c r="A21" s="17"/>
      <c r="B21" s="17"/>
      <c r="C21" s="145"/>
      <c r="D21" s="145"/>
      <c r="E21" s="145"/>
      <c r="F21" s="145"/>
      <c r="G21" s="145"/>
      <c r="H21" s="145"/>
      <c r="I21" s="145"/>
      <c r="J21" s="145"/>
      <c r="K21" s="145"/>
      <c r="L21" s="145"/>
      <c r="M21" s="145"/>
      <c r="N21" s="145"/>
      <c r="O21" s="145"/>
      <c r="P21" s="146"/>
      <c r="Q21" s="146"/>
      <c r="R21" s="90"/>
      <c r="S21" s="90"/>
      <c r="T21" s="90"/>
      <c r="U21" s="90"/>
      <c r="V21" s="90"/>
      <c r="W21" s="90"/>
      <c r="X21" s="90"/>
      <c r="Y21" s="90"/>
    </row>
    <row r="22" spans="1:25" ht="33" customHeight="1" thickTop="1" thickBot="1" x14ac:dyDescent="0.25">
      <c r="A22" s="449" t="s">
        <v>126</v>
      </c>
      <c r="B22" s="451"/>
      <c r="C22" s="147">
        <f t="shared" ref="C22:P22" si="4">SUM(C17:C21)</f>
        <v>0</v>
      </c>
      <c r="D22" s="147">
        <f t="shared" si="4"/>
        <v>0</v>
      </c>
      <c r="E22" s="147">
        <f t="shared" si="4"/>
        <v>0</v>
      </c>
      <c r="F22" s="147">
        <f t="shared" si="4"/>
        <v>0</v>
      </c>
      <c r="G22" s="147">
        <f t="shared" si="4"/>
        <v>0</v>
      </c>
      <c r="H22" s="147">
        <f t="shared" si="4"/>
        <v>0</v>
      </c>
      <c r="I22" s="147">
        <f t="shared" si="4"/>
        <v>0</v>
      </c>
      <c r="J22" s="147">
        <f t="shared" si="4"/>
        <v>0</v>
      </c>
      <c r="K22" s="147">
        <f t="shared" si="4"/>
        <v>0</v>
      </c>
      <c r="L22" s="147">
        <f t="shared" si="4"/>
        <v>0</v>
      </c>
      <c r="M22" s="147">
        <f t="shared" si="4"/>
        <v>0</v>
      </c>
      <c r="N22" s="147">
        <f t="shared" si="4"/>
        <v>0</v>
      </c>
      <c r="O22" s="147">
        <f t="shared" si="4"/>
        <v>0</v>
      </c>
      <c r="P22" s="147">
        <f t="shared" si="4"/>
        <v>0</v>
      </c>
      <c r="Q22" s="148"/>
      <c r="R22" s="147">
        <f t="shared" ref="R22:Y22" si="5">SUM(R17:R21)</f>
        <v>0</v>
      </c>
      <c r="S22" s="147">
        <f t="shared" si="5"/>
        <v>0</v>
      </c>
      <c r="T22" s="147">
        <f t="shared" si="5"/>
        <v>0</v>
      </c>
      <c r="U22" s="147">
        <f t="shared" si="5"/>
        <v>0</v>
      </c>
      <c r="V22" s="147">
        <f t="shared" si="5"/>
        <v>0</v>
      </c>
      <c r="W22" s="147">
        <f t="shared" si="5"/>
        <v>0</v>
      </c>
      <c r="X22" s="147">
        <f t="shared" si="5"/>
        <v>0</v>
      </c>
      <c r="Y22" s="147">
        <f t="shared" si="5"/>
        <v>0</v>
      </c>
    </row>
    <row r="23" spans="1:25" ht="20.100000000000001" customHeight="1" thickTop="1" x14ac:dyDescent="0.2">
      <c r="A23" s="43"/>
      <c r="B23" s="17"/>
      <c r="C23" s="145"/>
      <c r="D23" s="145"/>
      <c r="E23" s="145"/>
      <c r="F23" s="145"/>
      <c r="G23" s="145"/>
      <c r="H23" s="145"/>
      <c r="I23" s="145"/>
      <c r="J23" s="145"/>
      <c r="K23" s="145"/>
      <c r="L23" s="145"/>
      <c r="M23" s="145"/>
      <c r="N23" s="145"/>
      <c r="O23" s="145"/>
      <c r="P23" s="146"/>
      <c r="Q23" s="146"/>
      <c r="R23" s="90"/>
      <c r="S23" s="90"/>
      <c r="T23" s="90"/>
      <c r="U23" s="90"/>
      <c r="V23" s="90"/>
      <c r="W23" s="90"/>
      <c r="X23" s="90"/>
      <c r="Y23" s="90"/>
    </row>
    <row r="24" spans="1:25" ht="20.100000000000001" customHeight="1" x14ac:dyDescent="0.2">
      <c r="A24" s="43"/>
      <c r="B24" s="17"/>
      <c r="C24" s="145"/>
      <c r="D24" s="145"/>
      <c r="E24" s="145"/>
      <c r="F24" s="145"/>
      <c r="G24" s="145"/>
      <c r="H24" s="145"/>
      <c r="I24" s="145"/>
      <c r="J24" s="145"/>
      <c r="K24" s="145"/>
      <c r="L24" s="145"/>
      <c r="M24" s="145"/>
      <c r="N24" s="145"/>
      <c r="O24" s="145"/>
      <c r="P24" s="146"/>
      <c r="Q24" s="146"/>
      <c r="R24" s="90"/>
      <c r="S24" s="90"/>
      <c r="T24" s="90"/>
      <c r="U24" s="90"/>
      <c r="V24" s="90"/>
      <c r="W24" s="90"/>
      <c r="X24" s="90"/>
      <c r="Y24" s="90"/>
    </row>
    <row r="25" spans="1:25" ht="20.100000000000001" customHeight="1" x14ac:dyDescent="0.2">
      <c r="A25" s="43"/>
      <c r="B25" s="17"/>
      <c r="C25" s="145"/>
      <c r="D25" s="145"/>
      <c r="E25" s="145"/>
      <c r="F25" s="145"/>
      <c r="G25" s="145"/>
      <c r="H25" s="145"/>
      <c r="I25" s="145"/>
      <c r="J25" s="145"/>
      <c r="K25" s="145"/>
      <c r="L25" s="145"/>
      <c r="M25" s="145"/>
      <c r="N25" s="145"/>
      <c r="O25" s="145"/>
      <c r="P25" s="146"/>
      <c r="Q25" s="146"/>
      <c r="R25" s="90"/>
      <c r="S25" s="90"/>
      <c r="T25" s="90"/>
      <c r="U25" s="90"/>
      <c r="V25" s="90"/>
      <c r="W25" s="90"/>
      <c r="X25" s="90"/>
      <c r="Y25" s="90"/>
    </row>
    <row r="26" spans="1:25" ht="20.100000000000001" customHeight="1" x14ac:dyDescent="0.2">
      <c r="A26" s="43"/>
      <c r="B26" s="17"/>
      <c r="C26" s="145"/>
      <c r="D26" s="145"/>
      <c r="E26" s="145"/>
      <c r="F26" s="145"/>
      <c r="G26" s="145"/>
      <c r="H26" s="145"/>
      <c r="I26" s="145"/>
      <c r="J26" s="145"/>
      <c r="K26" s="145"/>
      <c r="L26" s="145"/>
      <c r="M26" s="145"/>
      <c r="N26" s="145"/>
      <c r="O26" s="145"/>
      <c r="P26" s="146"/>
      <c r="Q26" s="146"/>
      <c r="R26" s="90"/>
      <c r="S26" s="90"/>
      <c r="T26" s="90"/>
      <c r="U26" s="90"/>
      <c r="V26" s="90"/>
      <c r="W26" s="90"/>
      <c r="X26" s="90"/>
      <c r="Y26" s="90"/>
    </row>
    <row r="27" spans="1:25" ht="20.100000000000001" customHeight="1" thickBot="1" x14ac:dyDescent="0.25">
      <c r="A27" s="17"/>
      <c r="B27" s="17"/>
      <c r="C27" s="145"/>
      <c r="D27" s="145"/>
      <c r="E27" s="145"/>
      <c r="F27" s="145"/>
      <c r="G27" s="145"/>
      <c r="H27" s="246"/>
      <c r="I27" s="145"/>
      <c r="J27" s="145"/>
      <c r="K27" s="145"/>
      <c r="L27" s="145"/>
      <c r="M27" s="145"/>
      <c r="N27" s="145"/>
      <c r="O27" s="145"/>
      <c r="P27" s="146"/>
      <c r="Q27" s="146"/>
      <c r="R27" s="90"/>
      <c r="S27" s="90"/>
      <c r="T27" s="90"/>
      <c r="U27" s="90"/>
      <c r="V27" s="90"/>
      <c r="W27" s="90"/>
      <c r="X27" s="90"/>
      <c r="Y27" s="90"/>
    </row>
    <row r="28" spans="1:25" ht="29.25" customHeight="1" thickTop="1" x14ac:dyDescent="0.2">
      <c r="A28" s="452" t="s">
        <v>127</v>
      </c>
      <c r="B28" s="453"/>
      <c r="C28" s="150">
        <f t="shared" ref="C28:P28" si="6">SUM(C23:C27)</f>
        <v>0</v>
      </c>
      <c r="D28" s="150">
        <f t="shared" si="6"/>
        <v>0</v>
      </c>
      <c r="E28" s="150">
        <f t="shared" si="6"/>
        <v>0</v>
      </c>
      <c r="F28" s="150">
        <f t="shared" si="6"/>
        <v>0</v>
      </c>
      <c r="G28" s="150">
        <f t="shared" si="6"/>
        <v>0</v>
      </c>
      <c r="H28" s="148">
        <f t="shared" si="6"/>
        <v>0</v>
      </c>
      <c r="I28" s="150">
        <f t="shared" si="6"/>
        <v>0</v>
      </c>
      <c r="J28" s="150">
        <f t="shared" si="6"/>
        <v>0</v>
      </c>
      <c r="K28" s="150">
        <f t="shared" si="6"/>
        <v>0</v>
      </c>
      <c r="L28" s="150">
        <f t="shared" si="6"/>
        <v>0</v>
      </c>
      <c r="M28" s="150">
        <f t="shared" si="6"/>
        <v>0</v>
      </c>
      <c r="N28" s="150">
        <f t="shared" si="6"/>
        <v>0</v>
      </c>
      <c r="O28" s="150">
        <f t="shared" si="6"/>
        <v>0</v>
      </c>
      <c r="P28" s="150">
        <f t="shared" si="6"/>
        <v>0</v>
      </c>
      <c r="Q28" s="148"/>
      <c r="R28" s="150">
        <f t="shared" ref="R28:Y28" si="7">SUM(R23:R27)</f>
        <v>0</v>
      </c>
      <c r="S28" s="150">
        <f t="shared" si="7"/>
        <v>0</v>
      </c>
      <c r="T28" s="150">
        <f t="shared" si="7"/>
        <v>0</v>
      </c>
      <c r="U28" s="150">
        <f t="shared" si="7"/>
        <v>0</v>
      </c>
      <c r="V28" s="150">
        <f t="shared" si="7"/>
        <v>0</v>
      </c>
      <c r="W28" s="150">
        <f t="shared" si="7"/>
        <v>0</v>
      </c>
      <c r="X28" s="150">
        <f t="shared" si="7"/>
        <v>0</v>
      </c>
      <c r="Y28" s="150">
        <f t="shared" si="7"/>
        <v>0</v>
      </c>
    </row>
    <row r="29" spans="1:25" ht="38.25" customHeight="1" x14ac:dyDescent="0.2">
      <c r="A29" s="456" t="s">
        <v>128</v>
      </c>
      <c r="B29" s="457"/>
      <c r="C29" s="34">
        <f t="shared" ref="C29:P29" si="8">+C10+C16+C22+C28</f>
        <v>0</v>
      </c>
      <c r="D29" s="34">
        <f t="shared" si="8"/>
        <v>0</v>
      </c>
      <c r="E29" s="34">
        <f t="shared" si="8"/>
        <v>0</v>
      </c>
      <c r="F29" s="34">
        <f t="shared" si="8"/>
        <v>0</v>
      </c>
      <c r="G29" s="34">
        <f t="shared" si="8"/>
        <v>0</v>
      </c>
      <c r="H29" s="34">
        <f t="shared" si="8"/>
        <v>0</v>
      </c>
      <c r="I29" s="34">
        <f t="shared" si="8"/>
        <v>0</v>
      </c>
      <c r="J29" s="34">
        <f t="shared" si="8"/>
        <v>0</v>
      </c>
      <c r="K29" s="34">
        <f t="shared" si="8"/>
        <v>0</v>
      </c>
      <c r="L29" s="34">
        <f t="shared" si="8"/>
        <v>0</v>
      </c>
      <c r="M29" s="34">
        <f t="shared" si="8"/>
        <v>0</v>
      </c>
      <c r="N29" s="34">
        <f t="shared" si="8"/>
        <v>0</v>
      </c>
      <c r="O29" s="34">
        <f t="shared" si="8"/>
        <v>0</v>
      </c>
      <c r="P29" s="34">
        <f t="shared" si="8"/>
        <v>0</v>
      </c>
      <c r="Q29" s="94"/>
      <c r="R29" s="34">
        <f>+R10+R16+R22+R28</f>
        <v>0</v>
      </c>
      <c r="S29" s="34">
        <f>+S10+S16+S22+S28</f>
        <v>0</v>
      </c>
      <c r="T29" s="34">
        <f>+T10+T16+T22+T28</f>
        <v>0</v>
      </c>
      <c r="V29" s="34">
        <f>+V10+V16+V22+V28</f>
        <v>0</v>
      </c>
      <c r="W29" s="34">
        <f>+W10+W16+W22+W28</f>
        <v>0</v>
      </c>
      <c r="X29" s="34">
        <f>+X10+X16+X22+X28</f>
        <v>0</v>
      </c>
      <c r="Y29" s="34">
        <f>+Y10+Y16+Y22+Y28</f>
        <v>0</v>
      </c>
    </row>
    <row r="30" spans="1:25" ht="6" customHeight="1" x14ac:dyDescent="0.2">
      <c r="A30" s="251"/>
      <c r="B30" s="251"/>
      <c r="C30" s="94"/>
      <c r="D30" s="94"/>
      <c r="E30" s="94"/>
      <c r="F30" s="94"/>
      <c r="G30" s="94"/>
      <c r="H30" s="94"/>
      <c r="I30" s="94"/>
      <c r="J30" s="94"/>
      <c r="K30" s="94"/>
      <c r="L30" s="94"/>
      <c r="M30" s="94"/>
      <c r="N30" s="94"/>
      <c r="O30" s="94"/>
      <c r="P30" s="94"/>
      <c r="Q30" s="94"/>
      <c r="R30" s="94"/>
      <c r="S30" s="94"/>
      <c r="T30" s="94"/>
      <c r="V30" s="94"/>
      <c r="W30" s="94"/>
      <c r="X30" s="94"/>
      <c r="Y30" s="94"/>
    </row>
    <row r="31" spans="1:25" ht="15.75" x14ac:dyDescent="0.25">
      <c r="A31" s="448" t="s">
        <v>129</v>
      </c>
      <c r="B31" s="448"/>
      <c r="C31" s="247">
        <f>+'Total Linen March 31st'!B15</f>
        <v>0</v>
      </c>
      <c r="D31" s="247">
        <f>+'Total Linen March 31st'!C15</f>
        <v>0</v>
      </c>
      <c r="E31" s="247">
        <f>+'Total Linen March 31st'!D15</f>
        <v>0</v>
      </c>
      <c r="F31" s="247">
        <f>+'Total Linen March 31st'!E15</f>
        <v>0</v>
      </c>
      <c r="G31" s="247">
        <f>+'Total Linen March 31st'!F15</f>
        <v>0</v>
      </c>
      <c r="H31" s="247">
        <f>+'Total Linen March 31st'!G15</f>
        <v>0</v>
      </c>
      <c r="I31" s="247">
        <f>+'Total Linen March 31st'!H15</f>
        <v>0</v>
      </c>
      <c r="J31" s="247">
        <f>+'Total Linen March 31st'!I15</f>
        <v>0</v>
      </c>
      <c r="K31" s="247">
        <f>+'Total Linen March 31st'!J15</f>
        <v>0</v>
      </c>
      <c r="L31" s="247">
        <f>+'Total Linen March 31st'!K15</f>
        <v>0</v>
      </c>
      <c r="M31" s="247">
        <f>+'Total Linen March 31st'!L15</f>
        <v>0</v>
      </c>
      <c r="N31" s="247">
        <f>+'Total Linen March 31st'!M15</f>
        <v>0</v>
      </c>
      <c r="O31" s="247">
        <f>+'Total Linen March 31st'!N15</f>
        <v>0</v>
      </c>
      <c r="P31" s="247">
        <f>+'Total Linen March 31st'!O15</f>
        <v>0</v>
      </c>
      <c r="Q31" s="247">
        <f>+'Total Linen March 31st'!P15</f>
        <v>0</v>
      </c>
      <c r="R31" s="247">
        <f>+'Total Linen March 31st'!Q15</f>
        <v>0</v>
      </c>
      <c r="S31" s="247">
        <f>+'Total Linen March 31st'!R15</f>
        <v>0</v>
      </c>
      <c r="T31" s="247">
        <f>+'Total Linen March 31st'!S15</f>
        <v>0</v>
      </c>
      <c r="U31" s="247">
        <f>+'Total Linen March 31st'!T15</f>
        <v>0</v>
      </c>
      <c r="V31" s="247">
        <f>+'Total Linen March 31st'!U15</f>
        <v>0</v>
      </c>
      <c r="W31" s="247">
        <f>+'Total Linen March 31st'!V15</f>
        <v>0</v>
      </c>
      <c r="X31" s="247">
        <f>+'Total Linen March 31st'!W15</f>
        <v>0</v>
      </c>
      <c r="Y31" s="247">
        <f>+'Total Linen March 31st'!X15</f>
        <v>0</v>
      </c>
    </row>
    <row r="32" spans="1:25" ht="6.75" customHeight="1" x14ac:dyDescent="0.25">
      <c r="A32" s="249"/>
      <c r="B32" s="249"/>
      <c r="C32" s="250"/>
      <c r="D32" s="250"/>
      <c r="E32" s="250"/>
      <c r="F32" s="250"/>
      <c r="G32" s="250"/>
      <c r="H32" s="250"/>
      <c r="I32" s="250"/>
      <c r="J32" s="250"/>
      <c r="K32" s="250"/>
      <c r="L32" s="250"/>
      <c r="M32" s="250"/>
      <c r="N32" s="250"/>
      <c r="O32" s="250"/>
      <c r="P32" s="250"/>
      <c r="Q32" s="250"/>
      <c r="R32" s="250"/>
      <c r="S32" s="250"/>
      <c r="T32" s="250"/>
      <c r="U32" s="250"/>
      <c r="V32" s="250"/>
      <c r="W32" s="250"/>
      <c r="X32" s="250"/>
      <c r="Y32" s="250"/>
    </row>
    <row r="33" spans="1:25" ht="19.5" customHeight="1" x14ac:dyDescent="0.2">
      <c r="A33" s="444" t="s">
        <v>130</v>
      </c>
      <c r="B33" s="444"/>
      <c r="C33" s="252">
        <f>+C29*C31</f>
        <v>0</v>
      </c>
      <c r="D33" s="252">
        <f t="shared" ref="D33:Y33" si="9">+D29*D31</f>
        <v>0</v>
      </c>
      <c r="E33" s="252">
        <f t="shared" si="9"/>
        <v>0</v>
      </c>
      <c r="F33" s="252">
        <f t="shared" si="9"/>
        <v>0</v>
      </c>
      <c r="G33" s="252">
        <f t="shared" si="9"/>
        <v>0</v>
      </c>
      <c r="H33" s="252">
        <f t="shared" si="9"/>
        <v>0</v>
      </c>
      <c r="I33" s="252">
        <f t="shared" si="9"/>
        <v>0</v>
      </c>
      <c r="J33" s="252">
        <f t="shared" si="9"/>
        <v>0</v>
      </c>
      <c r="K33" s="252">
        <f t="shared" si="9"/>
        <v>0</v>
      </c>
      <c r="L33" s="252">
        <f t="shared" si="9"/>
        <v>0</v>
      </c>
      <c r="M33" s="252">
        <f t="shared" si="9"/>
        <v>0</v>
      </c>
      <c r="N33" s="252">
        <f t="shared" si="9"/>
        <v>0</v>
      </c>
      <c r="O33" s="252">
        <f t="shared" si="9"/>
        <v>0</v>
      </c>
      <c r="P33" s="252">
        <f t="shared" si="9"/>
        <v>0</v>
      </c>
      <c r="Q33" s="252">
        <f t="shared" si="9"/>
        <v>0</v>
      </c>
      <c r="R33" s="252">
        <f t="shared" si="9"/>
        <v>0</v>
      </c>
      <c r="S33" s="252">
        <f t="shared" si="9"/>
        <v>0</v>
      </c>
      <c r="T33" s="252">
        <f t="shared" si="9"/>
        <v>0</v>
      </c>
      <c r="U33" s="252">
        <f t="shared" si="9"/>
        <v>0</v>
      </c>
      <c r="V33" s="252">
        <f t="shared" si="9"/>
        <v>0</v>
      </c>
      <c r="W33" s="252">
        <f t="shared" si="9"/>
        <v>0</v>
      </c>
      <c r="X33" s="252">
        <f t="shared" si="9"/>
        <v>0</v>
      </c>
      <c r="Y33" s="252">
        <f t="shared" si="9"/>
        <v>0</v>
      </c>
    </row>
    <row r="34" spans="1:25" ht="12.75" customHeight="1" x14ac:dyDescent="0.2">
      <c r="A34" s="248"/>
      <c r="B34" s="248"/>
      <c r="C34" s="248"/>
      <c r="D34" s="248"/>
      <c r="E34" s="248"/>
      <c r="F34" s="248"/>
      <c r="G34" s="248"/>
      <c r="H34" s="248"/>
      <c r="I34" s="248"/>
      <c r="J34" s="248"/>
      <c r="K34" s="248"/>
      <c r="L34" s="248"/>
      <c r="M34" s="248"/>
      <c r="N34" s="248"/>
      <c r="O34" s="248"/>
      <c r="P34" s="248"/>
      <c r="Q34" s="153"/>
    </row>
    <row r="35" spans="1:25" x14ac:dyDescent="0.2">
      <c r="A35" s="161" t="s">
        <v>131</v>
      </c>
      <c r="B35" s="161"/>
      <c r="C35" s="161"/>
      <c r="D35" s="161"/>
      <c r="E35" s="445">
        <f>SUM(C33:Y33)</f>
        <v>0</v>
      </c>
      <c r="F35" s="445"/>
      <c r="G35" s="445"/>
      <c r="H35" s="445"/>
      <c r="I35" s="161"/>
      <c r="J35" s="161"/>
      <c r="K35" s="161"/>
      <c r="L35" s="161"/>
      <c r="M35" s="161"/>
      <c r="N35" s="161"/>
      <c r="O35" s="161"/>
      <c r="P35" s="161"/>
      <c r="Q35" s="166"/>
    </row>
    <row r="36" spans="1:25" x14ac:dyDescent="0.2">
      <c r="E36" s="445"/>
      <c r="F36" s="445"/>
      <c r="G36" s="445"/>
      <c r="H36" s="445"/>
    </row>
    <row r="37" spans="1:25" x14ac:dyDescent="0.2">
      <c r="E37" s="445"/>
      <c r="F37" s="445"/>
      <c r="G37" s="445"/>
      <c r="H37" s="445"/>
    </row>
  </sheetData>
  <mergeCells count="30">
    <mergeCell ref="X3:X4"/>
    <mergeCell ref="C2:F2"/>
    <mergeCell ref="H2:L2"/>
    <mergeCell ref="M2:P2"/>
    <mergeCell ref="R2:T2"/>
    <mergeCell ref="V2:Y2"/>
    <mergeCell ref="T3:T4"/>
    <mergeCell ref="Y3:Y4"/>
    <mergeCell ref="R3:R4"/>
    <mergeCell ref="S3:S4"/>
    <mergeCell ref="V3:V4"/>
    <mergeCell ref="J3:J4"/>
    <mergeCell ref="K3:K4"/>
    <mergeCell ref="H3:H4"/>
    <mergeCell ref="N3:N4"/>
    <mergeCell ref="M3:M4"/>
    <mergeCell ref="O3:O4"/>
    <mergeCell ref="P3:P4"/>
    <mergeCell ref="A33:B33"/>
    <mergeCell ref="E35:H37"/>
    <mergeCell ref="W3:W4"/>
    <mergeCell ref="A31:B31"/>
    <mergeCell ref="A10:B10"/>
    <mergeCell ref="A16:B16"/>
    <mergeCell ref="A22:B22"/>
    <mergeCell ref="A28:B28"/>
    <mergeCell ref="B3:B4"/>
    <mergeCell ref="A29:B29"/>
    <mergeCell ref="A3:A4"/>
    <mergeCell ref="I3:I4"/>
  </mergeCells>
  <dataValidations count="1">
    <dataValidation allowBlank="1" showInputMessage="1" showErrorMessage="1" sqref="A5" xr:uid="{03A46B8D-DF27-4BDD-B624-5BC6427352DA}"/>
  </dataValidations>
  <pageMargins left="0.45" right="0.45" top="0.75" bottom="0.75" header="0.3" footer="0.3"/>
  <pageSetup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H28"/>
  <sheetViews>
    <sheetView zoomScale="70" zoomScaleNormal="70" workbookViewId="0">
      <selection activeCell="AJ14" sqref="AJ14"/>
    </sheetView>
  </sheetViews>
  <sheetFormatPr defaultRowHeight="12.75" x14ac:dyDescent="0.2"/>
  <cols>
    <col min="1" max="1" width="23" style="3" customWidth="1"/>
    <col min="2" max="15" width="9.42578125" customWidth="1"/>
    <col min="16" max="18" width="9.42578125" hidden="1" customWidth="1"/>
    <col min="19" max="22" width="9.42578125" customWidth="1"/>
    <col min="23" max="23" width="1.140625" customWidth="1"/>
    <col min="31" max="31" width="10.5703125" customWidth="1"/>
    <col min="32" max="32" width="10.28515625" customWidth="1"/>
    <col min="33" max="33" width="9.7109375" customWidth="1"/>
  </cols>
  <sheetData>
    <row r="1" spans="1:34" ht="57" customHeight="1" x14ac:dyDescent="0.2">
      <c r="J1" s="485" t="s">
        <v>132</v>
      </c>
      <c r="K1" s="485"/>
      <c r="L1" s="485"/>
      <c r="M1" s="485"/>
      <c r="N1" s="485"/>
      <c r="O1" s="485"/>
      <c r="P1" s="485"/>
      <c r="Q1" s="485"/>
      <c r="R1" s="485"/>
      <c r="S1" s="485"/>
      <c r="T1" s="485"/>
      <c r="U1" s="485"/>
      <c r="V1" s="485"/>
      <c r="W1" s="485"/>
      <c r="X1" s="485"/>
      <c r="Y1" s="485"/>
      <c r="Z1" s="485"/>
      <c r="AA1" s="485"/>
      <c r="AB1" s="485"/>
      <c r="AC1" s="485"/>
      <c r="AD1" s="485"/>
      <c r="AE1" s="485"/>
      <c r="AF1" s="485"/>
      <c r="AG1" s="485"/>
      <c r="AH1" s="485"/>
    </row>
    <row r="2" spans="1:34" ht="27" customHeight="1" thickBot="1" x14ac:dyDescent="0.4">
      <c r="E2" s="161"/>
      <c r="L2" s="255"/>
      <c r="M2" s="255"/>
      <c r="N2" s="484" t="s">
        <v>133</v>
      </c>
      <c r="O2" s="484"/>
      <c r="P2" s="484"/>
      <c r="Q2" s="484"/>
      <c r="R2" s="484"/>
      <c r="S2" s="484"/>
      <c r="T2" s="484"/>
      <c r="U2" s="484"/>
      <c r="V2" s="484"/>
      <c r="X2" s="161" t="s">
        <v>134</v>
      </c>
      <c r="AE2" s="483" t="s">
        <v>135</v>
      </c>
      <c r="AF2" s="483"/>
      <c r="AG2" s="483"/>
      <c r="AH2" s="483"/>
    </row>
    <row r="3" spans="1:34" ht="16.5" thickTop="1" thickBot="1" x14ac:dyDescent="0.3">
      <c r="A3" s="27"/>
      <c r="B3" s="6"/>
      <c r="C3" s="7"/>
      <c r="D3" s="8" t="s">
        <v>103</v>
      </c>
      <c r="E3" s="7"/>
      <c r="F3" s="532" t="s">
        <v>79</v>
      </c>
      <c r="G3" s="533"/>
      <c r="H3" s="533"/>
      <c r="I3" s="533"/>
      <c r="J3" s="534"/>
      <c r="K3" s="535" t="s">
        <v>80</v>
      </c>
      <c r="L3" s="536"/>
      <c r="M3" s="536"/>
      <c r="N3" s="536"/>
      <c r="O3" s="537"/>
      <c r="P3" s="506" t="s">
        <v>104</v>
      </c>
      <c r="Q3" s="507"/>
      <c r="R3" s="507"/>
      <c r="S3" s="508" t="s">
        <v>105</v>
      </c>
      <c r="T3" s="509"/>
      <c r="U3" s="509"/>
      <c r="V3" s="510"/>
      <c r="X3" s="521" t="s">
        <v>136</v>
      </c>
      <c r="Y3" s="522"/>
      <c r="Z3" s="522"/>
      <c r="AA3" s="522"/>
      <c r="AB3" s="522"/>
      <c r="AC3" s="522"/>
      <c r="AD3" s="522"/>
      <c r="AE3" s="522"/>
      <c r="AF3" s="522"/>
      <c r="AG3" s="522"/>
      <c r="AH3" s="523"/>
    </row>
    <row r="4" spans="1:34" s="1" customFormat="1" ht="22.5" customHeight="1" thickTop="1" x14ac:dyDescent="0.2">
      <c r="A4" s="30"/>
      <c r="B4" s="528" t="s">
        <v>137</v>
      </c>
      <c r="C4" s="530" t="s">
        <v>138</v>
      </c>
      <c r="D4" s="530" t="s">
        <v>139</v>
      </c>
      <c r="E4" s="542" t="s">
        <v>140</v>
      </c>
      <c r="F4" s="538" t="s">
        <v>141</v>
      </c>
      <c r="G4" s="538" t="s">
        <v>110</v>
      </c>
      <c r="H4" s="539" t="s">
        <v>111</v>
      </c>
      <c r="I4" s="498" t="s">
        <v>112</v>
      </c>
      <c r="J4" s="500" t="s">
        <v>113</v>
      </c>
      <c r="K4" s="540" t="s">
        <v>142</v>
      </c>
      <c r="L4" s="540" t="s">
        <v>110</v>
      </c>
      <c r="M4" s="530" t="s">
        <v>111</v>
      </c>
      <c r="N4" s="498" t="s">
        <v>112</v>
      </c>
      <c r="O4" s="500" t="s">
        <v>113</v>
      </c>
      <c r="P4" s="511" t="s">
        <v>110</v>
      </c>
      <c r="Q4" s="498" t="s">
        <v>115</v>
      </c>
      <c r="R4" s="513" t="s">
        <v>116</v>
      </c>
      <c r="S4" s="504" t="s">
        <v>117</v>
      </c>
      <c r="T4" s="515" t="s">
        <v>118</v>
      </c>
      <c r="U4" s="515" t="s">
        <v>119</v>
      </c>
      <c r="V4" s="517" t="s">
        <v>120</v>
      </c>
      <c r="W4" s="167"/>
      <c r="X4" s="526" t="s">
        <v>143</v>
      </c>
      <c r="Y4" s="502" t="s">
        <v>144</v>
      </c>
      <c r="Z4" s="502" t="s">
        <v>145</v>
      </c>
      <c r="AA4" s="502" t="s">
        <v>146</v>
      </c>
      <c r="AB4" s="502" t="s">
        <v>147</v>
      </c>
      <c r="AC4" s="502" t="s">
        <v>148</v>
      </c>
      <c r="AD4" s="502" t="s">
        <v>149</v>
      </c>
      <c r="AE4" s="502" t="s">
        <v>150</v>
      </c>
      <c r="AF4" s="519" t="s">
        <v>151</v>
      </c>
      <c r="AG4" s="502" t="s">
        <v>152</v>
      </c>
      <c r="AH4" s="524"/>
    </row>
    <row r="5" spans="1:34" s="1" customFormat="1" ht="29.25" customHeight="1" thickBot="1" x14ac:dyDescent="0.25">
      <c r="A5" s="30"/>
      <c r="B5" s="529"/>
      <c r="C5" s="531"/>
      <c r="D5" s="531"/>
      <c r="E5" s="543"/>
      <c r="F5" s="529"/>
      <c r="G5" s="529"/>
      <c r="H5" s="531"/>
      <c r="I5" s="499"/>
      <c r="J5" s="501"/>
      <c r="K5" s="541"/>
      <c r="L5" s="541"/>
      <c r="M5" s="531"/>
      <c r="N5" s="499"/>
      <c r="O5" s="501"/>
      <c r="P5" s="512"/>
      <c r="Q5" s="499"/>
      <c r="R5" s="514"/>
      <c r="S5" s="505"/>
      <c r="T5" s="516"/>
      <c r="U5" s="516"/>
      <c r="V5" s="518"/>
      <c r="W5" s="167"/>
      <c r="X5" s="527"/>
      <c r="Y5" s="503"/>
      <c r="Z5" s="503"/>
      <c r="AA5" s="503"/>
      <c r="AB5" s="503"/>
      <c r="AC5" s="503"/>
      <c r="AD5" s="503"/>
      <c r="AE5" s="503"/>
      <c r="AF5" s="520"/>
      <c r="AG5" s="503"/>
      <c r="AH5" s="525"/>
    </row>
    <row r="6" spans="1:34" ht="48" customHeight="1" thickBot="1" x14ac:dyDescent="0.25">
      <c r="A6" s="354" t="s">
        <v>153</v>
      </c>
      <c r="B6" s="260"/>
      <c r="C6" s="261"/>
      <c r="D6" s="261"/>
      <c r="E6" s="261"/>
      <c r="F6" s="260"/>
      <c r="G6" s="262"/>
      <c r="H6" s="261"/>
      <c r="I6" s="261"/>
      <c r="J6" s="263"/>
      <c r="K6" s="264"/>
      <c r="L6" s="261"/>
      <c r="M6" s="261"/>
      <c r="N6" s="261"/>
      <c r="O6" s="263"/>
      <c r="P6" s="260"/>
      <c r="Q6" s="262"/>
      <c r="R6" s="263"/>
      <c r="S6" s="260"/>
      <c r="T6" s="265"/>
      <c r="U6" s="265"/>
      <c r="V6" s="266"/>
      <c r="W6" s="338"/>
      <c r="X6" s="339"/>
      <c r="Y6" s="265"/>
      <c r="Z6" s="265"/>
      <c r="AA6" s="265"/>
      <c r="AB6" s="265"/>
      <c r="AC6" s="265"/>
      <c r="AD6" s="265"/>
      <c r="AE6" s="265"/>
      <c r="AF6" s="265"/>
      <c r="AG6" s="340"/>
      <c r="AH6" s="266"/>
    </row>
    <row r="7" spans="1:34" ht="48" customHeight="1" thickBot="1" x14ac:dyDescent="0.25">
      <c r="A7" s="354" t="s">
        <v>154</v>
      </c>
      <c r="B7" s="271"/>
      <c r="C7" s="272"/>
      <c r="D7" s="272"/>
      <c r="E7" s="272"/>
      <c r="F7" s="271"/>
      <c r="G7" s="273"/>
      <c r="H7" s="272"/>
      <c r="I7" s="272"/>
      <c r="J7" s="274"/>
      <c r="K7" s="275"/>
      <c r="L7" s="276"/>
      <c r="M7" s="276"/>
      <c r="N7" s="272"/>
      <c r="O7" s="274"/>
      <c r="P7" s="271"/>
      <c r="Q7" s="273"/>
      <c r="R7" s="274"/>
      <c r="S7" s="271"/>
      <c r="T7" s="277"/>
      <c r="U7" s="277"/>
      <c r="V7" s="278"/>
      <c r="W7" s="341"/>
      <c r="X7" s="267"/>
      <c r="Y7" s="268"/>
      <c r="Z7" s="268"/>
      <c r="AA7" s="268"/>
      <c r="AB7" s="268"/>
      <c r="AC7" s="268"/>
      <c r="AD7" s="268"/>
      <c r="AE7" s="268"/>
      <c r="AF7" s="268"/>
      <c r="AG7" s="269"/>
      <c r="AH7" s="270"/>
    </row>
    <row r="8" spans="1:34" ht="48" customHeight="1" thickBot="1" x14ac:dyDescent="0.25">
      <c r="A8" s="354" t="s">
        <v>155</v>
      </c>
      <c r="B8" s="271"/>
      <c r="C8" s="272"/>
      <c r="D8" s="272"/>
      <c r="E8" s="272"/>
      <c r="F8" s="271"/>
      <c r="G8" s="273"/>
      <c r="H8" s="272"/>
      <c r="I8" s="272"/>
      <c r="J8" s="274"/>
      <c r="K8" s="275"/>
      <c r="L8" s="276"/>
      <c r="M8" s="276"/>
      <c r="N8" s="272"/>
      <c r="O8" s="274"/>
      <c r="P8" s="271"/>
      <c r="Q8" s="273"/>
      <c r="R8" s="274"/>
      <c r="S8" s="271"/>
      <c r="T8" s="277"/>
      <c r="U8" s="277"/>
      <c r="V8" s="278"/>
      <c r="W8" s="341"/>
      <c r="X8" s="267"/>
      <c r="Y8" s="268"/>
      <c r="Z8" s="268"/>
      <c r="AA8" s="268"/>
      <c r="AB8" s="268"/>
      <c r="AC8" s="268"/>
      <c r="AD8" s="268"/>
      <c r="AE8" s="268"/>
      <c r="AF8" s="268"/>
      <c r="AG8" s="269"/>
      <c r="AH8" s="270"/>
    </row>
    <row r="9" spans="1:34" ht="48" customHeight="1" thickBot="1" x14ac:dyDescent="0.25">
      <c r="A9" s="354" t="s">
        <v>156</v>
      </c>
      <c r="B9" s="271"/>
      <c r="C9" s="272"/>
      <c r="D9" s="272"/>
      <c r="E9" s="272"/>
      <c r="F9" s="271"/>
      <c r="G9" s="273"/>
      <c r="H9" s="272"/>
      <c r="I9" s="272"/>
      <c r="J9" s="274"/>
      <c r="K9" s="275"/>
      <c r="L9" s="276"/>
      <c r="M9" s="276"/>
      <c r="N9" s="272"/>
      <c r="O9" s="274"/>
      <c r="P9" s="271"/>
      <c r="Q9" s="273"/>
      <c r="R9" s="274"/>
      <c r="S9" s="271"/>
      <c r="T9" s="277"/>
      <c r="U9" s="277"/>
      <c r="V9" s="278"/>
      <c r="W9" s="341"/>
      <c r="X9" s="267"/>
      <c r="Y9" s="268"/>
      <c r="Z9" s="268"/>
      <c r="AA9" s="268"/>
      <c r="AB9" s="268"/>
      <c r="AC9" s="268"/>
      <c r="AD9" s="268"/>
      <c r="AE9" s="268"/>
      <c r="AF9" s="268"/>
      <c r="AG9" s="269"/>
      <c r="AH9" s="270"/>
    </row>
    <row r="10" spans="1:34" ht="48" customHeight="1" thickBot="1" x14ac:dyDescent="0.25">
      <c r="A10" s="354" t="s">
        <v>157</v>
      </c>
      <c r="B10" s="279"/>
      <c r="C10" s="276"/>
      <c r="D10" s="276"/>
      <c r="E10" s="276"/>
      <c r="F10" s="279"/>
      <c r="G10" s="280"/>
      <c r="H10" s="276"/>
      <c r="I10" s="276"/>
      <c r="J10" s="281"/>
      <c r="K10" s="282"/>
      <c r="L10" s="276"/>
      <c r="M10" s="276"/>
      <c r="N10" s="276"/>
      <c r="O10" s="281"/>
      <c r="P10" s="279"/>
      <c r="Q10" s="280"/>
      <c r="R10" s="281"/>
      <c r="S10" s="279"/>
      <c r="T10" s="268"/>
      <c r="U10" s="268"/>
      <c r="V10" s="270"/>
      <c r="W10" s="341"/>
      <c r="X10" s="267"/>
      <c r="Y10" s="268"/>
      <c r="Z10" s="268"/>
      <c r="AA10" s="268"/>
      <c r="AB10" s="268"/>
      <c r="AC10" s="268"/>
      <c r="AD10" s="268"/>
      <c r="AE10" s="268"/>
      <c r="AF10" s="268"/>
      <c r="AG10" s="269"/>
      <c r="AH10" s="270"/>
    </row>
    <row r="11" spans="1:34" ht="48" customHeight="1" thickBot="1" x14ac:dyDescent="0.25">
      <c r="A11" s="354" t="s">
        <v>158</v>
      </c>
      <c r="B11" s="279"/>
      <c r="C11" s="276"/>
      <c r="D11" s="276"/>
      <c r="E11" s="276"/>
      <c r="F11" s="279"/>
      <c r="G11" s="280"/>
      <c r="H11" s="276"/>
      <c r="I11" s="276"/>
      <c r="J11" s="281"/>
      <c r="K11" s="282"/>
      <c r="L11" s="276"/>
      <c r="M11" s="276"/>
      <c r="N11" s="276"/>
      <c r="O11" s="281"/>
      <c r="P11" s="279"/>
      <c r="Q11" s="280"/>
      <c r="R11" s="281"/>
      <c r="S11" s="279"/>
      <c r="T11" s="268"/>
      <c r="U11" s="268"/>
      <c r="V11" s="270"/>
      <c r="W11" s="341"/>
      <c r="X11" s="267"/>
      <c r="Y11" s="268"/>
      <c r="Z11" s="268"/>
      <c r="AA11" s="268"/>
      <c r="AB11" s="268"/>
      <c r="AC11" s="268"/>
      <c r="AD11" s="268"/>
      <c r="AE11" s="268"/>
      <c r="AF11" s="268"/>
      <c r="AG11" s="269"/>
      <c r="AH11" s="270"/>
    </row>
    <row r="12" spans="1:34" ht="48" customHeight="1" thickBot="1" x14ac:dyDescent="0.25">
      <c r="A12" s="354" t="s">
        <v>159</v>
      </c>
      <c r="B12" s="279"/>
      <c r="C12" s="276"/>
      <c r="D12" s="276"/>
      <c r="E12" s="276"/>
      <c r="F12" s="279"/>
      <c r="G12" s="280"/>
      <c r="H12" s="276"/>
      <c r="I12" s="276"/>
      <c r="J12" s="281"/>
      <c r="K12" s="282"/>
      <c r="L12" s="276"/>
      <c r="M12" s="276"/>
      <c r="N12" s="276"/>
      <c r="O12" s="281"/>
      <c r="P12" s="279"/>
      <c r="Q12" s="280"/>
      <c r="R12" s="281"/>
      <c r="S12" s="279"/>
      <c r="T12" s="268"/>
      <c r="U12" s="268"/>
      <c r="V12" s="270"/>
      <c r="W12" s="341"/>
      <c r="X12" s="267"/>
      <c r="Y12" s="268"/>
      <c r="Z12" s="268"/>
      <c r="AA12" s="268"/>
      <c r="AB12" s="268"/>
      <c r="AC12" s="268"/>
      <c r="AD12" s="268"/>
      <c r="AE12" s="268"/>
      <c r="AF12" s="268"/>
      <c r="AG12" s="269"/>
      <c r="AH12" s="270"/>
    </row>
    <row r="13" spans="1:34" ht="48" customHeight="1" thickBot="1" x14ac:dyDescent="0.25">
      <c r="A13" s="354" t="s">
        <v>160</v>
      </c>
      <c r="B13" s="283"/>
      <c r="C13" s="284"/>
      <c r="D13" s="284"/>
      <c r="E13" s="284"/>
      <c r="F13" s="283"/>
      <c r="G13" s="285"/>
      <c r="H13" s="284"/>
      <c r="I13" s="284"/>
      <c r="J13" s="286"/>
      <c r="K13" s="287"/>
      <c r="L13" s="276"/>
      <c r="M13" s="276"/>
      <c r="N13" s="284"/>
      <c r="O13" s="286"/>
      <c r="P13" s="283"/>
      <c r="Q13" s="285"/>
      <c r="R13" s="286"/>
      <c r="S13" s="283"/>
      <c r="T13" s="288"/>
      <c r="U13" s="288"/>
      <c r="V13" s="289"/>
      <c r="W13" s="341"/>
      <c r="X13" s="267"/>
      <c r="Y13" s="268"/>
      <c r="Z13" s="268"/>
      <c r="AA13" s="268"/>
      <c r="AB13" s="268"/>
      <c r="AC13" s="268"/>
      <c r="AD13" s="268"/>
      <c r="AE13" s="268"/>
      <c r="AF13" s="268"/>
      <c r="AG13" s="269"/>
      <c r="AH13" s="270"/>
    </row>
    <row r="14" spans="1:34" ht="48" customHeight="1" thickBot="1" x14ac:dyDescent="0.25">
      <c r="A14" s="354" t="s">
        <v>161</v>
      </c>
      <c r="B14" s="283"/>
      <c r="C14" s="284"/>
      <c r="D14" s="284"/>
      <c r="E14" s="284"/>
      <c r="F14" s="283"/>
      <c r="G14" s="285"/>
      <c r="H14" s="284"/>
      <c r="I14" s="284"/>
      <c r="J14" s="286"/>
      <c r="K14" s="287"/>
      <c r="L14" s="276"/>
      <c r="M14" s="276"/>
      <c r="N14" s="284"/>
      <c r="O14" s="286"/>
      <c r="P14" s="283"/>
      <c r="Q14" s="285"/>
      <c r="R14" s="286"/>
      <c r="S14" s="283"/>
      <c r="T14" s="288"/>
      <c r="U14" s="288"/>
      <c r="V14" s="289"/>
      <c r="W14" s="341"/>
      <c r="X14" s="267"/>
      <c r="Y14" s="268"/>
      <c r="Z14" s="268"/>
      <c r="AA14" s="268"/>
      <c r="AB14" s="268"/>
      <c r="AC14" s="268"/>
      <c r="AD14" s="268"/>
      <c r="AE14" s="268"/>
      <c r="AF14" s="268"/>
      <c r="AG14" s="269"/>
      <c r="AH14" s="270"/>
    </row>
    <row r="15" spans="1:34" ht="48" customHeight="1" thickBot="1" x14ac:dyDescent="0.25">
      <c r="A15" s="256"/>
      <c r="B15" s="290"/>
      <c r="C15" s="291"/>
      <c r="D15" s="291"/>
      <c r="E15" s="291"/>
      <c r="F15" s="290"/>
      <c r="G15" s="292"/>
      <c r="H15" s="291"/>
      <c r="I15" s="291"/>
      <c r="J15" s="293"/>
      <c r="K15" s="294"/>
      <c r="L15" s="291"/>
      <c r="M15" s="291"/>
      <c r="N15" s="291"/>
      <c r="O15" s="293"/>
      <c r="P15" s="290"/>
      <c r="Q15" s="292"/>
      <c r="R15" s="293"/>
      <c r="S15" s="290"/>
      <c r="T15" s="295"/>
      <c r="U15" s="295"/>
      <c r="V15" s="296"/>
      <c r="W15" s="297"/>
      <c r="X15" s="298"/>
      <c r="Y15" s="295"/>
      <c r="Z15" s="295"/>
      <c r="AA15" s="295"/>
      <c r="AB15" s="295"/>
      <c r="AC15" s="295"/>
      <c r="AD15" s="295"/>
      <c r="AE15" s="295"/>
      <c r="AF15" s="295"/>
      <c r="AG15" s="299"/>
      <c r="AH15" s="296"/>
    </row>
    <row r="16" spans="1:34" ht="30" customHeight="1" thickTop="1" thickBot="1" x14ac:dyDescent="0.25">
      <c r="A16" s="342" t="s">
        <v>162</v>
      </c>
      <c r="B16" s="315">
        <f>SUM(B6:B15)</f>
        <v>0</v>
      </c>
      <c r="C16" s="316">
        <f t="shared" ref="C16:R16" si="0">SUM(C6:C15)</f>
        <v>0</v>
      </c>
      <c r="D16" s="316">
        <f t="shared" si="0"/>
        <v>0</v>
      </c>
      <c r="E16" s="316">
        <f t="shared" si="0"/>
        <v>0</v>
      </c>
      <c r="F16" s="343">
        <f>SUM(F6:F15)</f>
        <v>0</v>
      </c>
      <c r="G16" s="316">
        <f>SUM(G6:G15)+F16*'Hotel Set up'!L20</f>
        <v>0</v>
      </c>
      <c r="H16" s="316">
        <f>SUM(H6:H15)+F16*'Hotel Set up'!L20</f>
        <v>0</v>
      </c>
      <c r="I16" s="316">
        <f t="shared" si="0"/>
        <v>0</v>
      </c>
      <c r="J16" s="316">
        <f t="shared" si="0"/>
        <v>0</v>
      </c>
      <c r="K16" s="343">
        <f>SUM(K6:K15)</f>
        <v>0</v>
      </c>
      <c r="L16" s="316">
        <f>SUM(L6:L15)+K16*'Hotel Set up'!M20</f>
        <v>0</v>
      </c>
      <c r="M16" s="316">
        <f>SUM(M6:M15)+K16*'Hotel Set up'!M21</f>
        <v>0</v>
      </c>
      <c r="N16" s="316">
        <f t="shared" si="0"/>
        <v>0</v>
      </c>
      <c r="O16" s="316">
        <f t="shared" si="0"/>
        <v>0</v>
      </c>
      <c r="P16" s="316">
        <f t="shared" si="0"/>
        <v>0</v>
      </c>
      <c r="Q16" s="316">
        <f t="shared" si="0"/>
        <v>0</v>
      </c>
      <c r="R16" s="316">
        <f t="shared" si="0"/>
        <v>0</v>
      </c>
      <c r="S16" s="316">
        <f>SUM(S6:S15)+F16*'Hotel Set up'!L22</f>
        <v>0</v>
      </c>
      <c r="T16" s="316">
        <f>SUM(T6:T15)+F16*'Hotel Set up'!L23</f>
        <v>0</v>
      </c>
      <c r="U16" s="316">
        <f>SUM(U6:U15)+K16*'Hotel Set up'!M22</f>
        <v>0</v>
      </c>
      <c r="V16" s="316">
        <f>SUM(V6:V15)+K16*'Hotel Set up'!M23</f>
        <v>0</v>
      </c>
      <c r="W16" s="161"/>
      <c r="X16" s="315">
        <f>SUM(X6:X15)</f>
        <v>0</v>
      </c>
      <c r="Y16" s="316">
        <f t="shared" ref="Y16" si="1">SUM(Y6:Y15)</f>
        <v>0</v>
      </c>
      <c r="Z16" s="316">
        <f t="shared" ref="Z16" si="2">SUM(Z6:Z15)</f>
        <v>0</v>
      </c>
      <c r="AA16" s="316">
        <f t="shared" ref="AA16" si="3">SUM(AA6:AA15)</f>
        <v>0</v>
      </c>
      <c r="AB16" s="316">
        <f t="shared" ref="AB16" si="4">SUM(AB6:AB15)</f>
        <v>0</v>
      </c>
      <c r="AC16" s="316">
        <f t="shared" ref="AC16" si="5">SUM(AC6:AC15)</f>
        <v>0</v>
      </c>
      <c r="AD16" s="316">
        <f t="shared" ref="AD16" si="6">SUM(AD6:AD15)</f>
        <v>0</v>
      </c>
      <c r="AE16" s="316">
        <f t="shared" ref="AE16" si="7">SUM(AE6:AE15)</f>
        <v>0</v>
      </c>
      <c r="AF16" s="316">
        <f t="shared" ref="AF16" si="8">SUM(AF6:AF15)</f>
        <v>0</v>
      </c>
      <c r="AG16" s="316">
        <f t="shared" ref="AG16" si="9">SUM(AG6:AG15)</f>
        <v>0</v>
      </c>
      <c r="AH16" s="317">
        <f t="shared" ref="AH16" si="10">SUM(AH6:AH15)</f>
        <v>0</v>
      </c>
    </row>
    <row r="17" spans="1:34" ht="30" customHeight="1" thickBot="1" x14ac:dyDescent="0.25">
      <c r="A17" s="344"/>
      <c r="B17" s="25"/>
      <c r="C17" s="25"/>
      <c r="D17" s="25"/>
      <c r="E17" s="25"/>
      <c r="F17" s="495" t="s">
        <v>163</v>
      </c>
      <c r="G17" s="495"/>
      <c r="H17" s="495"/>
      <c r="I17" s="495"/>
      <c r="J17" s="495"/>
      <c r="K17" s="495"/>
      <c r="L17" s="345"/>
      <c r="M17" s="345"/>
      <c r="N17" s="345"/>
      <c r="O17" s="345"/>
      <c r="P17" s="345"/>
      <c r="Q17" s="345"/>
      <c r="R17" s="345"/>
      <c r="S17" s="345"/>
      <c r="T17" s="497" t="s">
        <v>164</v>
      </c>
      <c r="U17" s="497"/>
      <c r="V17" s="497"/>
      <c r="X17" s="315">
        <f>+'Hotel Set up'!N8*'Hotel Set up'!D18</f>
        <v>0</v>
      </c>
      <c r="Y17" s="316">
        <f>+'Hotel Set up'!D18*'Hotel Set up'!M8</f>
        <v>0</v>
      </c>
      <c r="Z17" s="316">
        <f>+'Hotel Set up'!N9*'Hotel Set up'!D19*2</f>
        <v>0</v>
      </c>
      <c r="AA17" s="316">
        <f>(+'Hotel Set up'!M9*'Hotel Set up'!D19*2)+'Hotel Set up'!J19</f>
        <v>15</v>
      </c>
      <c r="AB17" s="318">
        <f>+'Hotel Set up'!D18</f>
        <v>0</v>
      </c>
      <c r="AC17" s="316">
        <f>+'Hotel Set up'!D19*2</f>
        <v>0</v>
      </c>
      <c r="AD17" s="318">
        <f>+'Hotel Set up'!D19</f>
        <v>0</v>
      </c>
      <c r="AE17" s="316">
        <v>0</v>
      </c>
      <c r="AF17" s="316">
        <v>0</v>
      </c>
      <c r="AG17" s="316">
        <v>0</v>
      </c>
      <c r="AH17" s="317"/>
    </row>
    <row r="18" spans="1:34" ht="6" customHeight="1" thickBot="1" x14ac:dyDescent="0.25">
      <c r="A18" s="344"/>
      <c r="B18" s="25"/>
      <c r="C18" s="25"/>
      <c r="D18" s="25"/>
      <c r="E18" s="25"/>
      <c r="F18" s="496"/>
      <c r="G18" s="496"/>
      <c r="H18" s="496"/>
      <c r="I18" s="496"/>
      <c r="J18" s="496"/>
      <c r="K18" s="496"/>
      <c r="L18" s="346"/>
      <c r="M18" s="346"/>
      <c r="N18" s="346"/>
      <c r="O18" s="346"/>
      <c r="P18" s="346"/>
      <c r="Q18" s="346"/>
      <c r="R18" s="346"/>
      <c r="S18" s="345"/>
      <c r="T18" s="347"/>
      <c r="U18" s="347"/>
      <c r="V18" s="347"/>
      <c r="W18" s="347"/>
      <c r="X18" s="319"/>
      <c r="Y18" s="320"/>
      <c r="Z18" s="320"/>
      <c r="AA18" s="320"/>
      <c r="AB18" s="320"/>
      <c r="AC18" s="320"/>
      <c r="AD18" s="320"/>
      <c r="AE18" s="320"/>
      <c r="AF18" s="320"/>
      <c r="AG18" s="320"/>
      <c r="AH18" s="321"/>
    </row>
    <row r="19" spans="1:34" ht="30" customHeight="1" thickTop="1" thickBot="1" x14ac:dyDescent="0.25">
      <c r="A19" s="348"/>
      <c r="B19" s="25"/>
      <c r="C19" s="25"/>
      <c r="D19" s="25"/>
      <c r="E19" s="25"/>
      <c r="F19" s="496"/>
      <c r="G19" s="496"/>
      <c r="H19" s="496"/>
      <c r="I19" s="496"/>
      <c r="J19" s="496"/>
      <c r="K19" s="496"/>
      <c r="L19" s="25"/>
      <c r="M19" s="25"/>
      <c r="N19" s="25"/>
      <c r="O19" s="25"/>
      <c r="P19" s="25"/>
      <c r="Q19" s="25"/>
      <c r="R19" s="25"/>
      <c r="S19" s="25"/>
      <c r="T19" s="493" t="s">
        <v>165</v>
      </c>
      <c r="U19" s="493"/>
      <c r="V19" s="493"/>
      <c r="X19" s="315">
        <f>+X16+X17</f>
        <v>0</v>
      </c>
      <c r="Y19" s="316">
        <f t="shared" ref="Y19:AH19" si="11">+Y16+Y17</f>
        <v>0</v>
      </c>
      <c r="Z19" s="316">
        <f t="shared" si="11"/>
        <v>0</v>
      </c>
      <c r="AA19" s="316">
        <f t="shared" si="11"/>
        <v>15</v>
      </c>
      <c r="AB19" s="316">
        <f t="shared" si="11"/>
        <v>0</v>
      </c>
      <c r="AC19" s="316">
        <f t="shared" si="11"/>
        <v>0</v>
      </c>
      <c r="AD19" s="316">
        <f t="shared" si="11"/>
        <v>0</v>
      </c>
      <c r="AE19" s="316">
        <f t="shared" si="11"/>
        <v>0</v>
      </c>
      <c r="AF19" s="316">
        <f t="shared" si="11"/>
        <v>0</v>
      </c>
      <c r="AG19" s="316">
        <f t="shared" si="11"/>
        <v>0</v>
      </c>
      <c r="AH19" s="317">
        <f t="shared" si="11"/>
        <v>0</v>
      </c>
    </row>
    <row r="20" spans="1:34" ht="30" customHeight="1" thickBot="1" x14ac:dyDescent="0.25">
      <c r="A20" s="486" t="s">
        <v>166</v>
      </c>
      <c r="B20" s="487"/>
      <c r="C20" s="487"/>
      <c r="D20" s="487"/>
      <c r="E20" s="487"/>
      <c r="F20" s="488"/>
      <c r="G20" s="25"/>
      <c r="H20" s="330" t="s">
        <v>167</v>
      </c>
      <c r="I20" s="322"/>
      <c r="J20" s="322"/>
      <c r="K20" s="322"/>
      <c r="L20" s="322"/>
      <c r="M20" s="322"/>
      <c r="N20" s="322"/>
      <c r="O20" s="322"/>
      <c r="P20" s="322"/>
      <c r="Q20" s="322"/>
      <c r="R20" s="322"/>
      <c r="S20" s="323"/>
      <c r="T20" s="492" t="s">
        <v>168</v>
      </c>
      <c r="U20" s="492"/>
      <c r="V20" s="492"/>
      <c r="W20" s="314"/>
      <c r="X20" s="426">
        <f>+'Hotel Set up'!M8*'Hotel Set up'!F10*'Hotel Set up'!D18</f>
        <v>0</v>
      </c>
      <c r="Y20" s="427">
        <f>+'Hotel Set up'!M8*'Hotel Set up'!D18*'Hotel Set up'!F10</f>
        <v>0</v>
      </c>
      <c r="Z20" s="427">
        <f>+'Hotel Set up'!N9*'Hotel Set up'!D19*2*'Hotel Set up'!F10</f>
        <v>0</v>
      </c>
      <c r="AA20" s="427">
        <f>+'Hotel Set up'!M9*'Hotel Set up'!D19*2*'Hotel Set up'!F10</f>
        <v>0</v>
      </c>
      <c r="AB20" s="427">
        <f>+'Hotel Set up'!D18*'Hotel Set up'!F10</f>
        <v>0</v>
      </c>
      <c r="AC20" s="427">
        <f>+'Hotel Set up'!D19*2*'Hotel Set up'!F10</f>
        <v>0</v>
      </c>
      <c r="AD20" s="427">
        <v>0</v>
      </c>
      <c r="AE20" s="427">
        <f>+'Hotel Set up'!F23+2</f>
        <v>3</v>
      </c>
      <c r="AF20" s="427">
        <f>+'Hotel Set up'!F23+2</f>
        <v>3</v>
      </c>
      <c r="AG20" s="428">
        <f>+'Hotel Set up'!F23*'Hotel Set up'!F10</f>
        <v>1.1000000000000001</v>
      </c>
      <c r="AH20" s="429">
        <v>0</v>
      </c>
    </row>
    <row r="21" spans="1:34" ht="30" customHeight="1" thickBot="1" x14ac:dyDescent="0.25">
      <c r="A21" s="489"/>
      <c r="B21" s="490"/>
      <c r="C21" s="490"/>
      <c r="D21" s="490"/>
      <c r="E21" s="490"/>
      <c r="F21" s="491"/>
      <c r="G21" s="25"/>
      <c r="H21" s="324" t="s">
        <v>169</v>
      </c>
      <c r="I21" s="325"/>
      <c r="J21" s="325"/>
      <c r="K21" s="325"/>
      <c r="L21" s="325"/>
      <c r="M21" s="325"/>
      <c r="N21" s="325"/>
      <c r="O21" s="325"/>
      <c r="P21" s="325"/>
      <c r="Q21" s="325"/>
      <c r="R21" s="325"/>
      <c r="S21" s="326"/>
      <c r="T21" s="494" t="s">
        <v>170</v>
      </c>
      <c r="U21" s="493"/>
      <c r="V21" s="493"/>
      <c r="X21" s="334">
        <f t="shared" ref="X21:AH21" si="12">+X16-X20</f>
        <v>0</v>
      </c>
      <c r="Y21" s="335">
        <f t="shared" si="12"/>
        <v>0</v>
      </c>
      <c r="Z21" s="335">
        <f t="shared" si="12"/>
        <v>0</v>
      </c>
      <c r="AA21" s="335">
        <f t="shared" si="12"/>
        <v>0</v>
      </c>
      <c r="AB21" s="335">
        <f t="shared" si="12"/>
        <v>0</v>
      </c>
      <c r="AC21" s="335">
        <f t="shared" si="12"/>
        <v>0</v>
      </c>
      <c r="AD21" s="335">
        <f t="shared" si="12"/>
        <v>0</v>
      </c>
      <c r="AE21" s="335">
        <f t="shared" si="12"/>
        <v>-3</v>
      </c>
      <c r="AF21" s="335">
        <f t="shared" si="12"/>
        <v>-3</v>
      </c>
      <c r="AG21" s="336">
        <f t="shared" si="12"/>
        <v>-1.1000000000000001</v>
      </c>
      <c r="AH21" s="337">
        <f t="shared" si="12"/>
        <v>0</v>
      </c>
    </row>
    <row r="22" spans="1:34" ht="30" customHeight="1" x14ac:dyDescent="0.25">
      <c r="A22" s="307"/>
      <c r="B22" s="96"/>
      <c r="C22" s="96"/>
      <c r="D22" s="96"/>
      <c r="E22" s="96"/>
      <c r="F22" s="308"/>
      <c r="G22" s="31"/>
      <c r="H22" s="324" t="s">
        <v>171</v>
      </c>
      <c r="I22" s="325"/>
      <c r="J22" s="325"/>
      <c r="K22" s="325"/>
      <c r="L22" s="325"/>
      <c r="M22" s="325"/>
      <c r="N22" s="325"/>
      <c r="O22" s="325"/>
      <c r="P22" s="325"/>
      <c r="Q22" s="325"/>
      <c r="R22" s="325"/>
      <c r="S22" s="326"/>
      <c r="T22" s="346"/>
      <c r="U22" s="346"/>
      <c r="V22" s="346"/>
      <c r="W22" s="346"/>
      <c r="X22" s="346"/>
      <c r="Y22" s="346"/>
      <c r="Z22" s="346"/>
      <c r="AA22" s="346"/>
      <c r="AB22" s="346"/>
      <c r="AC22" s="346"/>
      <c r="AD22" s="346"/>
      <c r="AE22" s="346"/>
      <c r="AF22" s="346"/>
      <c r="AG22" s="346"/>
      <c r="AH22" s="349"/>
    </row>
    <row r="23" spans="1:34" ht="30" customHeight="1" x14ac:dyDescent="0.25">
      <c r="A23" s="309" t="s">
        <v>172</v>
      </c>
      <c r="B23" s="96"/>
      <c r="C23" s="96"/>
      <c r="D23" s="96"/>
      <c r="E23" s="96"/>
      <c r="F23" s="308"/>
      <c r="G23" s="31"/>
      <c r="H23" s="324" t="s">
        <v>173</v>
      </c>
      <c r="I23" s="325"/>
      <c r="J23" s="325"/>
      <c r="K23" s="325"/>
      <c r="L23" s="325"/>
      <c r="M23" s="325"/>
      <c r="N23" s="325"/>
      <c r="O23" s="325"/>
      <c r="P23" s="325"/>
      <c r="Q23" s="325"/>
      <c r="R23" s="325"/>
      <c r="S23" s="326"/>
      <c r="T23" s="346"/>
      <c r="U23" s="346"/>
      <c r="V23" s="346"/>
      <c r="W23" s="346"/>
      <c r="X23" s="346"/>
      <c r="Y23" s="346"/>
      <c r="Z23" s="346"/>
      <c r="AA23" s="346"/>
      <c r="AB23" s="346"/>
      <c r="AC23" s="346"/>
      <c r="AD23" s="346"/>
      <c r="AE23" s="346"/>
      <c r="AF23" s="346"/>
      <c r="AG23" s="346"/>
      <c r="AH23" s="349"/>
    </row>
    <row r="24" spans="1:34" ht="30" customHeight="1" x14ac:dyDescent="0.2">
      <c r="A24" s="307"/>
      <c r="F24" s="310"/>
      <c r="G24" s="25"/>
      <c r="H24" s="324" t="s">
        <v>174</v>
      </c>
      <c r="I24" s="325"/>
      <c r="J24" s="325"/>
      <c r="K24" s="325"/>
      <c r="L24" s="325"/>
      <c r="M24" s="325"/>
      <c r="N24" s="325"/>
      <c r="O24" s="325"/>
      <c r="P24" s="325"/>
      <c r="Q24" s="325"/>
      <c r="R24" s="325"/>
      <c r="S24" s="326"/>
      <c r="T24" s="346"/>
      <c r="U24" s="346"/>
      <c r="V24" s="346"/>
      <c r="W24" s="346"/>
      <c r="X24" s="346"/>
      <c r="Y24" s="346"/>
      <c r="Z24" s="346"/>
      <c r="AA24" s="346"/>
      <c r="AB24" s="346"/>
      <c r="AC24" s="346"/>
      <c r="AD24" s="346"/>
      <c r="AE24" s="346"/>
      <c r="AF24" s="346"/>
      <c r="AG24" s="346"/>
      <c r="AH24" s="349"/>
    </row>
    <row r="25" spans="1:34" ht="30" customHeight="1" thickBot="1" x14ac:dyDescent="0.3">
      <c r="A25" s="311" t="s">
        <v>175</v>
      </c>
      <c r="B25" s="312"/>
      <c r="C25" s="312"/>
      <c r="D25" s="312"/>
      <c r="E25" s="312"/>
      <c r="F25" s="313"/>
      <c r="G25" s="350"/>
      <c r="H25" s="327" t="s">
        <v>176</v>
      </c>
      <c r="I25" s="328"/>
      <c r="J25" s="328"/>
      <c r="K25" s="328"/>
      <c r="L25" s="328"/>
      <c r="M25" s="328"/>
      <c r="N25" s="328"/>
      <c r="O25" s="328"/>
      <c r="P25" s="328"/>
      <c r="Q25" s="328"/>
      <c r="R25" s="328"/>
      <c r="S25" s="329"/>
      <c r="T25" s="351"/>
      <c r="U25" s="351"/>
      <c r="V25" s="351"/>
      <c r="W25" s="351"/>
      <c r="X25" s="351"/>
      <c r="Y25" s="351"/>
      <c r="Z25" s="351"/>
      <c r="AA25" s="351"/>
      <c r="AB25" s="351"/>
      <c r="AC25" s="351"/>
      <c r="AD25" s="351"/>
      <c r="AE25" s="351"/>
      <c r="AF25" s="351"/>
      <c r="AG25" s="351"/>
      <c r="AH25" s="352"/>
    </row>
    <row r="26" spans="1:34" ht="20.100000000000001" customHeight="1" x14ac:dyDescent="0.2">
      <c r="A26"/>
      <c r="T26" s="257"/>
      <c r="U26" s="257"/>
    </row>
    <row r="27" spans="1:34" ht="20.100000000000001" customHeight="1" x14ac:dyDescent="0.2">
      <c r="A27"/>
    </row>
    <row r="28" spans="1:34" ht="20.100000000000001" customHeight="1" x14ac:dyDescent="0.2"/>
  </sheetData>
  <sheetProtection algorithmName="SHA-512" hashValue="DaQzBYW9TIOzkKHTWCFyzV2kODQbuN9G2WVK/rsHkEArvowfUby2pUDt/CCQKLJHOm3ZsOLxKZYxwYPnRjPiUQ==" saltValue="/ebrBszzEFGtRuxtHYW6zw==" spinCount="100000" sheet="1" objects="1" scenarios="1"/>
  <protectedRanges>
    <protectedRange algorithmName="SHA-512" hashValue="Q0/rPl6wcpudqZpk4SQ7k5F9DDQEx4x9g4ygS4jGg6K2kdfO2239JgY182G4Eouyf8mdXT31G9jgJMQAZIswqg==" saltValue="vFxbxrKmwaH61RDN8czxrQ==" spinCount="100000" sqref="A6:A15" name="Count Locations"/>
    <protectedRange algorithmName="SHA-512" hashValue="lXD5EvDPnvCOdbSLNsLkfPiuKIhXBjwuCpvbCSOPJ4/w/eD6PcZnTPQBo4TasxkaI3AvokNAubh21jMaZytPkQ==" saltValue="+BoHbm7rUGINjJsEE/GvWA==" spinCount="100000" sqref="B6:AH15" name="DataEntry"/>
  </protectedRanges>
  <customSheetViews>
    <customSheetView guid="{9EDB9842-A750-4033-9229-3D8286219058}">
      <selection activeCell="A3" sqref="A3"/>
      <pageMargins left="0" right="0" top="0" bottom="0" header="0" footer="0"/>
      <printOptions horizontalCentered="1"/>
      <pageSetup orientation="landscape" horizontalDpi="300" verticalDpi="300" r:id="rId1"/>
      <headerFooter alignWithMargins="0"/>
    </customSheetView>
  </customSheetViews>
  <mergeCells count="46">
    <mergeCell ref="B4:B5"/>
    <mergeCell ref="C4:C5"/>
    <mergeCell ref="D4:D5"/>
    <mergeCell ref="F3:J3"/>
    <mergeCell ref="K3:O3"/>
    <mergeCell ref="F4:F5"/>
    <mergeCell ref="H4:H5"/>
    <mergeCell ref="G4:G5"/>
    <mergeCell ref="L4:L5"/>
    <mergeCell ref="E4:E5"/>
    <mergeCell ref="K4:K5"/>
    <mergeCell ref="M4:M5"/>
    <mergeCell ref="AG4:AG5"/>
    <mergeCell ref="AC4:AC5"/>
    <mergeCell ref="AE4:AE5"/>
    <mergeCell ref="AF4:AF5"/>
    <mergeCell ref="X3:AH3"/>
    <mergeCell ref="AH4:AH5"/>
    <mergeCell ref="X4:X5"/>
    <mergeCell ref="Z4:Z5"/>
    <mergeCell ref="AA4:AA5"/>
    <mergeCell ref="AB4:AB5"/>
    <mergeCell ref="P3:R3"/>
    <mergeCell ref="S3:V3"/>
    <mergeCell ref="P4:P5"/>
    <mergeCell ref="R4:R5"/>
    <mergeCell ref="Q4:Q5"/>
    <mergeCell ref="T4:T5"/>
    <mergeCell ref="U4:U5"/>
    <mergeCell ref="V4:V5"/>
    <mergeCell ref="AE2:AH2"/>
    <mergeCell ref="N2:V2"/>
    <mergeCell ref="J1:AH1"/>
    <mergeCell ref="A20:F21"/>
    <mergeCell ref="T20:V20"/>
    <mergeCell ref="T19:V19"/>
    <mergeCell ref="T21:V21"/>
    <mergeCell ref="F17:K19"/>
    <mergeCell ref="T17:V17"/>
    <mergeCell ref="I4:I5"/>
    <mergeCell ref="J4:J5"/>
    <mergeCell ref="AD4:AD5"/>
    <mergeCell ref="N4:N5"/>
    <mergeCell ref="O4:O5"/>
    <mergeCell ref="Y4:Y5"/>
    <mergeCell ref="S4:S5"/>
  </mergeCells>
  <phoneticPr fontId="2" type="noConversion"/>
  <printOptions horizontalCentered="1"/>
  <pageMargins left="0" right="0.5" top="0.27" bottom="0.75" header="0.42" footer="0.5"/>
  <pageSetup paperSize="5" scale="59" orientation="landscape" horizontalDpi="300" verticalDpi="300" r:id="rId2"/>
  <headerFooter alignWithMargins="0"/>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9"/>
  <sheetViews>
    <sheetView zoomScale="120" zoomScaleNormal="120" workbookViewId="0">
      <pane xSplit="1" ySplit="6" topLeftCell="B7" activePane="bottomRight" state="frozen"/>
      <selection pane="topRight" activeCell="B1" sqref="B1"/>
      <selection pane="bottomLeft" activeCell="A7" sqref="A7"/>
      <selection pane="bottomRight" activeCell="Z10" sqref="Z10"/>
    </sheetView>
  </sheetViews>
  <sheetFormatPr defaultRowHeight="12.75" x14ac:dyDescent="0.2"/>
  <cols>
    <col min="1" max="1" width="24.140625" style="3" customWidth="1"/>
    <col min="2" max="5" width="6.7109375" customWidth="1"/>
    <col min="6" max="6" width="0.7109375" customWidth="1"/>
    <col min="7" max="10" width="6.7109375" customWidth="1"/>
    <col min="11" max="11" width="0.7109375" customWidth="1"/>
    <col min="12" max="15" width="6.7109375" customWidth="1"/>
    <col min="16" max="16" width="0.42578125" customWidth="1"/>
    <col min="17" max="19" width="8.7109375" hidden="1" customWidth="1"/>
    <col min="20" max="20" width="0.7109375" hidden="1" customWidth="1"/>
    <col min="21" max="24" width="6.7109375" customWidth="1"/>
  </cols>
  <sheetData>
    <row r="1" spans="1:24" ht="12.75" customHeight="1" x14ac:dyDescent="0.2">
      <c r="A1" s="544" t="str">
        <f>+'Hotel Set up'!B2</f>
        <v>Enter Property Name and other Details in the Hotel Setup Tab</v>
      </c>
      <c r="B1" s="544"/>
      <c r="C1" s="544"/>
      <c r="D1" s="544"/>
      <c r="E1" s="544"/>
      <c r="F1" s="544"/>
      <c r="G1" s="544"/>
      <c r="H1" s="544"/>
      <c r="I1" s="544"/>
      <c r="J1" s="544"/>
      <c r="K1" s="544"/>
      <c r="L1" s="544"/>
      <c r="M1" s="544"/>
      <c r="N1" s="544"/>
      <c r="O1" s="544"/>
      <c r="P1" s="544"/>
      <c r="Q1" s="544"/>
      <c r="R1" s="544"/>
      <c r="S1" s="544"/>
      <c r="T1" s="544"/>
      <c r="U1" s="544"/>
      <c r="V1" s="544"/>
      <c r="W1" s="544"/>
      <c r="X1" s="544"/>
    </row>
    <row r="2" spans="1:24" ht="12.75" customHeight="1" x14ac:dyDescent="0.2">
      <c r="A2" s="544"/>
      <c r="B2" s="544"/>
      <c r="C2" s="544"/>
      <c r="D2" s="544"/>
      <c r="E2" s="544"/>
      <c r="F2" s="544"/>
      <c r="G2" s="544"/>
      <c r="H2" s="544"/>
      <c r="I2" s="544"/>
      <c r="J2" s="544"/>
      <c r="K2" s="544"/>
      <c r="L2" s="544"/>
      <c r="M2" s="544"/>
      <c r="N2" s="544"/>
      <c r="O2" s="544"/>
      <c r="P2" s="544"/>
      <c r="Q2" s="544"/>
      <c r="R2" s="544"/>
      <c r="S2" s="544"/>
      <c r="T2" s="544"/>
      <c r="U2" s="544"/>
      <c r="V2" s="544"/>
      <c r="W2" s="544"/>
      <c r="X2" s="544"/>
    </row>
    <row r="3" spans="1:24" ht="27" customHeight="1" thickBot="1" x14ac:dyDescent="0.4">
      <c r="B3" s="572" t="s">
        <v>177</v>
      </c>
      <c r="C3" s="572"/>
      <c r="D3" s="572"/>
      <c r="E3" s="572"/>
      <c r="F3" s="572"/>
      <c r="G3" s="572"/>
      <c r="H3" s="572"/>
      <c r="I3" s="572"/>
      <c r="J3" s="572"/>
      <c r="K3" s="572"/>
      <c r="L3" s="572"/>
      <c r="M3" s="572"/>
      <c r="N3" s="572"/>
      <c r="O3" s="572"/>
      <c r="P3" s="572"/>
      <c r="Q3" s="572"/>
      <c r="R3" s="572"/>
      <c r="S3" s="572"/>
      <c r="T3" s="572"/>
      <c r="U3" s="572"/>
      <c r="V3" s="572"/>
      <c r="W3" s="572"/>
      <c r="X3" s="572"/>
    </row>
    <row r="4" spans="1:24" ht="13.5" customHeight="1" thickBot="1" x14ac:dyDescent="0.25">
      <c r="B4" s="565" t="s">
        <v>103</v>
      </c>
      <c r="C4" s="566"/>
      <c r="D4" s="566"/>
      <c r="E4" s="566"/>
      <c r="F4" s="25"/>
      <c r="G4" s="560" t="s">
        <v>79</v>
      </c>
      <c r="H4" s="561"/>
      <c r="I4" s="561"/>
      <c r="J4" s="562"/>
      <c r="K4" s="25"/>
      <c r="L4" s="583" t="s">
        <v>80</v>
      </c>
      <c r="M4" s="584"/>
      <c r="N4" s="584"/>
      <c r="O4" s="585"/>
      <c r="P4" s="25"/>
      <c r="Q4" s="581" t="s">
        <v>104</v>
      </c>
      <c r="R4" s="582"/>
      <c r="S4" s="582"/>
      <c r="T4" s="25"/>
      <c r="U4" s="557" t="s">
        <v>178</v>
      </c>
      <c r="V4" s="558"/>
      <c r="W4" s="558"/>
      <c r="X4" s="559"/>
    </row>
    <row r="5" spans="1:24" s="1" customFormat="1" ht="10.5" customHeight="1" x14ac:dyDescent="0.2">
      <c r="A5" s="213"/>
      <c r="B5" s="586" t="s">
        <v>137</v>
      </c>
      <c r="C5" s="553" t="s">
        <v>138</v>
      </c>
      <c r="D5" s="553" t="s">
        <v>179</v>
      </c>
      <c r="E5" s="553" t="s">
        <v>140</v>
      </c>
      <c r="F5" s="29"/>
      <c r="G5" s="555" t="s">
        <v>180</v>
      </c>
      <c r="H5" s="555" t="s">
        <v>115</v>
      </c>
      <c r="I5" s="545" t="s">
        <v>181</v>
      </c>
      <c r="J5" s="547" t="s">
        <v>113</v>
      </c>
      <c r="K5" s="28"/>
      <c r="L5" s="549" t="s">
        <v>114</v>
      </c>
      <c r="M5" s="551" t="s">
        <v>111</v>
      </c>
      <c r="N5" s="551" t="s">
        <v>181</v>
      </c>
      <c r="O5" s="575" t="s">
        <v>113</v>
      </c>
      <c r="P5" s="28"/>
      <c r="Q5" s="579" t="s">
        <v>182</v>
      </c>
      <c r="R5" s="563" t="s">
        <v>114</v>
      </c>
      <c r="S5" s="563" t="s">
        <v>115</v>
      </c>
      <c r="T5" s="28"/>
      <c r="U5" s="569" t="s">
        <v>183</v>
      </c>
      <c r="V5" s="567" t="s">
        <v>184</v>
      </c>
      <c r="W5" s="567" t="s">
        <v>185</v>
      </c>
      <c r="X5" s="577" t="s">
        <v>186</v>
      </c>
    </row>
    <row r="6" spans="1:24" s="1" customFormat="1" ht="25.5" customHeight="1" thickBot="1" x14ac:dyDescent="0.25">
      <c r="A6" s="213"/>
      <c r="B6" s="587"/>
      <c r="C6" s="554"/>
      <c r="D6" s="554"/>
      <c r="E6" s="554"/>
      <c r="F6" s="29"/>
      <c r="G6" s="556"/>
      <c r="H6" s="556"/>
      <c r="I6" s="546"/>
      <c r="J6" s="548"/>
      <c r="K6" s="28"/>
      <c r="L6" s="550"/>
      <c r="M6" s="552"/>
      <c r="N6" s="552"/>
      <c r="O6" s="576"/>
      <c r="P6" s="28"/>
      <c r="Q6" s="580"/>
      <c r="R6" s="564"/>
      <c r="S6" s="564"/>
      <c r="T6" s="28"/>
      <c r="U6" s="570"/>
      <c r="V6" s="568"/>
      <c r="W6" s="568"/>
      <c r="X6" s="578"/>
    </row>
    <row r="7" spans="1:24" ht="24" customHeight="1" thickBot="1" x14ac:dyDescent="0.25">
      <c r="A7" s="403" t="s">
        <v>187</v>
      </c>
      <c r="B7" s="356">
        <f>+('Hotel Set up'!J16*'Hotel Set up'!D18)+('Hotel Set up'!K16*'Hotel Set up'!D19)</f>
        <v>0</v>
      </c>
      <c r="C7" s="357">
        <f>+'Hotel Set up'!J14*'Hotel Set up'!D18+'Hotel Set up'!K14*'Hotel Set up'!D19</f>
        <v>0</v>
      </c>
      <c r="D7" s="357">
        <f>+'Hotel Set up'!J15*'Hotel Set up'!D18+'Hotel Set up'!K15*'Hotel Set up'!D19</f>
        <v>0</v>
      </c>
      <c r="E7" s="357">
        <f>'Hotel Set up'!D21</f>
        <v>0</v>
      </c>
      <c r="F7" s="358"/>
      <c r="G7" s="357">
        <f>'Hotel Set up'!D18*'Hotel Set up'!J8</f>
        <v>0</v>
      </c>
      <c r="H7" s="357">
        <f>+'Hotel Set up'!J8*'Hotel Set up'!D18</f>
        <v>0</v>
      </c>
      <c r="I7" s="357">
        <f>'Hotel Set up'!D18</f>
        <v>0</v>
      </c>
      <c r="J7" s="357">
        <f>'Hotel Set up'!D18</f>
        <v>0</v>
      </c>
      <c r="K7" s="358"/>
      <c r="L7" s="357">
        <f>+('Hotel Set up'!D19*2)+'Hotel Set up'!J19</f>
        <v>15</v>
      </c>
      <c r="M7" s="357">
        <f>('Hotel Set up'!D19*2)+'Hotel Set up'!J19</f>
        <v>15</v>
      </c>
      <c r="N7" s="357">
        <f>('Hotel Set up'!D19*2)+'Hotel Set up'!J19</f>
        <v>15</v>
      </c>
      <c r="O7" s="359">
        <f>'Hotel Set up'!D19*2</f>
        <v>0</v>
      </c>
      <c r="P7" s="358"/>
      <c r="Q7" s="360">
        <f>+'Hotel Set up'!J19</f>
        <v>15</v>
      </c>
      <c r="R7" s="360">
        <f>+'Hotel Set up'!J19</f>
        <v>15</v>
      </c>
      <c r="S7" s="361">
        <f>+'Hotel Set up'!J19</f>
        <v>15</v>
      </c>
      <c r="T7" s="358"/>
      <c r="U7" s="363">
        <f>+'Hotel Set up'!N8*'Hotel Set up'!D18</f>
        <v>0</v>
      </c>
      <c r="V7" s="363">
        <f>+'Hotel Set up'!M8*'Hotel Set up'!D18</f>
        <v>0</v>
      </c>
      <c r="W7" s="364">
        <f>+('Hotel Set up'!$N$8*'Hotel Set up'!$D$18)+('Hotel Set up'!$N$9*'Hotel Set up'!$D$19)</f>
        <v>0</v>
      </c>
      <c r="X7" s="365">
        <f>+('Hotel Set up'!$M$8*'Hotel Set up'!$D$18)+('Hotel Set up'!$M$9*'Hotel Set up'!$D$19)+'Hotel Set up'!J19</f>
        <v>15</v>
      </c>
    </row>
    <row r="8" spans="1:24" ht="24" customHeight="1" x14ac:dyDescent="0.2">
      <c r="A8" s="403" t="s">
        <v>188</v>
      </c>
      <c r="B8" s="204"/>
      <c r="C8" s="204"/>
      <c r="D8" s="204"/>
      <c r="E8" s="204"/>
      <c r="F8" s="35"/>
      <c r="G8" s="204"/>
      <c r="H8" s="204"/>
      <c r="I8" s="204"/>
      <c r="J8" s="204"/>
      <c r="K8" s="35"/>
      <c r="L8" s="204"/>
      <c r="M8" s="204"/>
      <c r="N8" s="204"/>
      <c r="O8" s="204"/>
      <c r="P8" s="35"/>
      <c r="Q8" s="205"/>
      <c r="R8" s="205"/>
      <c r="S8" s="205"/>
      <c r="T8" s="35"/>
      <c r="U8" s="205"/>
      <c r="V8" s="205"/>
      <c r="W8" s="205"/>
      <c r="X8" s="205"/>
    </row>
    <row r="9" spans="1:24" ht="4.5" customHeight="1" thickBot="1" x14ac:dyDescent="0.25">
      <c r="A9" s="404"/>
      <c r="B9" s="11"/>
      <c r="C9" s="11"/>
      <c r="D9" s="11"/>
      <c r="E9" s="11"/>
      <c r="F9" s="25"/>
      <c r="G9" s="11"/>
      <c r="H9" s="11"/>
      <c r="I9" s="11"/>
      <c r="J9" s="11"/>
      <c r="K9" s="25"/>
      <c r="L9" s="11"/>
      <c r="M9" s="11"/>
      <c r="N9" s="11"/>
      <c r="O9" s="11"/>
      <c r="P9" s="25"/>
      <c r="Q9" s="11"/>
      <c r="R9" s="11"/>
      <c r="S9" s="11"/>
      <c r="T9" s="25"/>
      <c r="U9" s="11"/>
      <c r="V9" s="11"/>
      <c r="W9" s="11"/>
      <c r="X9" s="11"/>
    </row>
    <row r="10" spans="1:24" ht="24" customHeight="1" thickTop="1" thickBot="1" x14ac:dyDescent="0.25">
      <c r="A10" s="403" t="s">
        <v>189</v>
      </c>
      <c r="B10" s="369">
        <f>SUM(B7:B8)</f>
        <v>0</v>
      </c>
      <c r="C10" s="369">
        <f>SUM(C7:C8)</f>
        <v>0</v>
      </c>
      <c r="D10" s="369">
        <f>SUM(D7:D8)</f>
        <v>0</v>
      </c>
      <c r="E10" s="369">
        <f>SUM(E7:E8)</f>
        <v>0</v>
      </c>
      <c r="F10" s="370"/>
      <c r="G10" s="369">
        <f>SUM(G7:G8)</f>
        <v>0</v>
      </c>
      <c r="H10" s="369">
        <f>SUM(H7:H8)</f>
        <v>0</v>
      </c>
      <c r="I10" s="369">
        <f>SUM(I7:I8)</f>
        <v>0</v>
      </c>
      <c r="J10" s="369">
        <f>SUM(J7:J8)</f>
        <v>0</v>
      </c>
      <c r="K10" s="370"/>
      <c r="L10" s="369">
        <f>SUM(L7:L8)</f>
        <v>15</v>
      </c>
      <c r="M10" s="369">
        <f>SUM(M7:M8)</f>
        <v>15</v>
      </c>
      <c r="N10" s="369">
        <f>SUM(N7:N8)</f>
        <v>15</v>
      </c>
      <c r="O10" s="369">
        <f>SUM(O7:O8)</f>
        <v>0</v>
      </c>
      <c r="P10" s="370"/>
      <c r="Q10" s="369">
        <f>SUM(Q7:Q8)</f>
        <v>15</v>
      </c>
      <c r="R10" s="369">
        <f>SUM(R7:R8)</f>
        <v>15</v>
      </c>
      <c r="S10" s="369">
        <f>SUM(S7:S8)</f>
        <v>15</v>
      </c>
      <c r="T10" s="370"/>
      <c r="U10" s="369">
        <f>SUM(U7:U8)</f>
        <v>0</v>
      </c>
      <c r="V10" s="369">
        <f>SUM(V7:V8)</f>
        <v>0</v>
      </c>
      <c r="W10" s="369">
        <f>SUM(W7:W8)</f>
        <v>0</v>
      </c>
      <c r="X10" s="369">
        <f>SUM(X7:X8)</f>
        <v>15</v>
      </c>
    </row>
    <row r="11" spans="1:24" ht="3.75" customHeight="1" thickTop="1" x14ac:dyDescent="0.2">
      <c r="A11" s="405" t="s">
        <v>61</v>
      </c>
      <c r="B11" s="10"/>
      <c r="C11" s="10"/>
      <c r="D11" s="10"/>
      <c r="E11" s="10"/>
      <c r="F11" s="26"/>
      <c r="G11" s="10"/>
      <c r="H11" s="10"/>
      <c r="I11" s="10"/>
      <c r="J11" s="10"/>
      <c r="K11" s="26"/>
      <c r="L11" s="10"/>
      <c r="M11" s="10"/>
      <c r="N11" s="10"/>
      <c r="O11" s="87"/>
      <c r="P11" s="26"/>
      <c r="Q11" s="88"/>
      <c r="R11" s="88"/>
      <c r="S11" s="10"/>
      <c r="T11" s="26"/>
      <c r="U11" s="10"/>
      <c r="V11" s="10"/>
      <c r="W11" s="10"/>
      <c r="X11" s="10"/>
    </row>
    <row r="12" spans="1:24" ht="24" customHeight="1" x14ac:dyDescent="0.2">
      <c r="A12" s="403" t="s">
        <v>190</v>
      </c>
      <c r="B12" s="377">
        <f>+B7*2.5</f>
        <v>0</v>
      </c>
      <c r="C12" s="377">
        <f>+C7*2.5</f>
        <v>0</v>
      </c>
      <c r="D12" s="377">
        <f>+D7*2.5</f>
        <v>0</v>
      </c>
      <c r="E12" s="377">
        <f>+E7*2.5</f>
        <v>0</v>
      </c>
      <c r="F12" s="378"/>
      <c r="G12" s="377">
        <f>+G7*2.5</f>
        <v>0</v>
      </c>
      <c r="H12" s="377">
        <f>+H7*2.5</f>
        <v>0</v>
      </c>
      <c r="I12" s="379">
        <f>+I7*2.5</f>
        <v>0</v>
      </c>
      <c r="J12" s="379">
        <f>+J7*2.5</f>
        <v>0</v>
      </c>
      <c r="K12" s="378"/>
      <c r="L12" s="377">
        <f>+(('Hotel Set up'!D19*2)*'Hotel Set up'!F9)+'Hotel Set up'!J19</f>
        <v>15</v>
      </c>
      <c r="M12" s="377">
        <f>+('Hotel Set up'!$D$19*2*'Hotel Set up'!$F$9)+'Hotel Set up'!$J$19</f>
        <v>15</v>
      </c>
      <c r="N12" s="377">
        <f>+N7*2.5</f>
        <v>37.5</v>
      </c>
      <c r="O12" s="379">
        <f>+O7*2.5</f>
        <v>0</v>
      </c>
      <c r="P12" s="378"/>
      <c r="Q12" s="377">
        <f>+Q7*2.5</f>
        <v>37.5</v>
      </c>
      <c r="R12" s="377">
        <f>+R7*2.5</f>
        <v>37.5</v>
      </c>
      <c r="S12" s="379">
        <f>+S7*2.5</f>
        <v>37.5</v>
      </c>
      <c r="T12" s="378"/>
      <c r="U12" s="377">
        <f>+U7*2.5</f>
        <v>0</v>
      </c>
      <c r="V12" s="377">
        <f>+V7*2.5</f>
        <v>0</v>
      </c>
      <c r="W12" s="377">
        <f>+W7*2.5</f>
        <v>0</v>
      </c>
      <c r="X12" s="377">
        <f>+X7*2.5</f>
        <v>37.5</v>
      </c>
    </row>
    <row r="13" spans="1:24" ht="24" customHeight="1" x14ac:dyDescent="0.2">
      <c r="A13" s="406" t="s">
        <v>191</v>
      </c>
      <c r="B13" s="208">
        <f>B10-B12</f>
        <v>0</v>
      </c>
      <c r="C13" s="208">
        <f>C10-C12</f>
        <v>0</v>
      </c>
      <c r="D13" s="208">
        <f>D10-D12</f>
        <v>0</v>
      </c>
      <c r="E13" s="208">
        <f>E10-E12</f>
        <v>0</v>
      </c>
      <c r="F13" s="209"/>
      <c r="G13" s="208">
        <f>G10-G12</f>
        <v>0</v>
      </c>
      <c r="H13" s="208">
        <f>H10-H12</f>
        <v>0</v>
      </c>
      <c r="I13" s="210">
        <f>I10-I12</f>
        <v>0</v>
      </c>
      <c r="J13" s="210">
        <f>J10-J12</f>
        <v>0</v>
      </c>
      <c r="K13" s="209"/>
      <c r="L13" s="208">
        <f t="shared" ref="L13:W13" si="0">L10-L12</f>
        <v>0</v>
      </c>
      <c r="M13" s="208">
        <f t="shared" si="0"/>
        <v>0</v>
      </c>
      <c r="N13" s="210">
        <f t="shared" si="0"/>
        <v>-22.5</v>
      </c>
      <c r="O13" s="210">
        <f t="shared" si="0"/>
        <v>0</v>
      </c>
      <c r="P13" s="209"/>
      <c r="Q13" s="208">
        <f>Q10-Q12</f>
        <v>-22.5</v>
      </c>
      <c r="R13" s="208">
        <f>R10-R12</f>
        <v>-22.5</v>
      </c>
      <c r="S13" s="210">
        <f>S10-S12</f>
        <v>-22.5</v>
      </c>
      <c r="T13" s="209"/>
      <c r="U13" s="208">
        <f t="shared" ref="U13:V13" si="1">U10-U12</f>
        <v>0</v>
      </c>
      <c r="V13" s="208">
        <f t="shared" si="1"/>
        <v>0</v>
      </c>
      <c r="W13" s="208">
        <f t="shared" si="0"/>
        <v>0</v>
      </c>
      <c r="X13" s="208">
        <f>X10-X12</f>
        <v>-22.5</v>
      </c>
    </row>
    <row r="14" spans="1:24" ht="5.25" customHeight="1" x14ac:dyDescent="0.2">
      <c r="A14" s="407"/>
      <c r="B14" s="382"/>
      <c r="C14" s="382"/>
      <c r="D14" s="382"/>
      <c r="E14" s="382"/>
      <c r="F14" s="382"/>
      <c r="G14" s="382"/>
      <c r="H14" s="382"/>
      <c r="I14" s="382"/>
      <c r="J14" s="382"/>
      <c r="K14" s="382"/>
      <c r="L14" s="382"/>
      <c r="M14" s="382"/>
      <c r="N14" s="382"/>
      <c r="O14" s="382"/>
      <c r="P14" s="382"/>
      <c r="Q14" s="382"/>
      <c r="R14" s="382"/>
      <c r="S14" s="382"/>
      <c r="T14" s="382"/>
      <c r="U14" s="382"/>
      <c r="V14" s="382"/>
      <c r="W14" s="382"/>
      <c r="X14" s="382"/>
    </row>
    <row r="15" spans="1:24" ht="24" customHeight="1" thickBot="1" x14ac:dyDescent="0.25">
      <c r="A15" s="403" t="s">
        <v>129</v>
      </c>
      <c r="B15" s="380">
        <f t="shared" ref="B15:X15" si="2">IFERROR(+B29,0)</f>
        <v>0</v>
      </c>
      <c r="C15" s="380">
        <f t="shared" si="2"/>
        <v>0</v>
      </c>
      <c r="D15" s="380">
        <f t="shared" si="2"/>
        <v>0</v>
      </c>
      <c r="E15" s="380">
        <f t="shared" si="2"/>
        <v>0</v>
      </c>
      <c r="F15" s="380">
        <f t="shared" si="2"/>
        <v>0</v>
      </c>
      <c r="G15" s="380">
        <f t="shared" si="2"/>
        <v>0</v>
      </c>
      <c r="H15" s="380">
        <f t="shared" si="2"/>
        <v>0</v>
      </c>
      <c r="I15" s="380">
        <f t="shared" si="2"/>
        <v>0</v>
      </c>
      <c r="J15" s="380">
        <f t="shared" si="2"/>
        <v>0</v>
      </c>
      <c r="K15" s="380">
        <f t="shared" si="2"/>
        <v>0</v>
      </c>
      <c r="L15" s="380">
        <f t="shared" si="2"/>
        <v>0</v>
      </c>
      <c r="M15" s="380">
        <f t="shared" si="2"/>
        <v>0</v>
      </c>
      <c r="N15" s="380">
        <f t="shared" si="2"/>
        <v>0</v>
      </c>
      <c r="O15" s="380">
        <f t="shared" si="2"/>
        <v>0</v>
      </c>
      <c r="P15" s="380"/>
      <c r="Q15" s="380">
        <f t="shared" si="2"/>
        <v>0</v>
      </c>
      <c r="R15" s="380">
        <f t="shared" ref="R15" si="3">IFERROR(+R29,0)</f>
        <v>0</v>
      </c>
      <c r="S15" s="380">
        <f t="shared" si="2"/>
        <v>0</v>
      </c>
      <c r="T15" s="380">
        <f t="shared" si="2"/>
        <v>0</v>
      </c>
      <c r="U15" s="380">
        <f t="shared" si="2"/>
        <v>0</v>
      </c>
      <c r="V15" s="380">
        <f t="shared" si="2"/>
        <v>0</v>
      </c>
      <c r="W15" s="380">
        <f t="shared" si="2"/>
        <v>0</v>
      </c>
      <c r="X15" s="380">
        <f t="shared" si="2"/>
        <v>0</v>
      </c>
    </row>
    <row r="16" spans="1:24" ht="24" customHeight="1" thickBot="1" x14ac:dyDescent="0.25">
      <c r="A16" s="406" t="s">
        <v>192</v>
      </c>
      <c r="B16" s="214">
        <f>B15*B13</f>
        <v>0</v>
      </c>
      <c r="C16" s="214">
        <f>C15*C13</f>
        <v>0</v>
      </c>
      <c r="D16" s="214">
        <f>D15*D13</f>
        <v>0</v>
      </c>
      <c r="E16" s="214">
        <f>E15*E13</f>
        <v>0</v>
      </c>
      <c r="F16" s="215"/>
      <c r="G16" s="214">
        <f>G15*G13</f>
        <v>0</v>
      </c>
      <c r="H16" s="214">
        <f>H15*H13</f>
        <v>0</v>
      </c>
      <c r="I16" s="214">
        <f>I15*I13</f>
        <v>0</v>
      </c>
      <c r="J16" s="214">
        <f>J15*J13</f>
        <v>0</v>
      </c>
      <c r="K16" s="215"/>
      <c r="L16" s="214">
        <f t="shared" ref="L16:O16" si="4">L15*L13</f>
        <v>0</v>
      </c>
      <c r="M16" s="214">
        <f t="shared" si="4"/>
        <v>0</v>
      </c>
      <c r="N16" s="214">
        <f t="shared" si="4"/>
        <v>0</v>
      </c>
      <c r="O16" s="214">
        <f t="shared" si="4"/>
        <v>0</v>
      </c>
      <c r="P16" s="215"/>
      <c r="Q16" s="214">
        <f>Q15*Q13</f>
        <v>0</v>
      </c>
      <c r="R16" s="214">
        <f>R15*R13</f>
        <v>0</v>
      </c>
      <c r="S16" s="214">
        <f>S15*S13</f>
        <v>0</v>
      </c>
      <c r="T16" s="215"/>
      <c r="U16" s="214">
        <f t="shared" ref="U16:V16" si="5">U15*U13</f>
        <v>0</v>
      </c>
      <c r="V16" s="214">
        <f t="shared" si="5"/>
        <v>0</v>
      </c>
      <c r="W16" s="214">
        <f>W15*W13</f>
        <v>0</v>
      </c>
      <c r="X16" s="214">
        <f>X15*X13</f>
        <v>0</v>
      </c>
    </row>
    <row r="17" spans="1:25" ht="4.5" customHeight="1" x14ac:dyDescent="0.2">
      <c r="A17" s="407" t="s">
        <v>61</v>
      </c>
      <c r="B17" s="259"/>
      <c r="C17" s="259"/>
      <c r="D17" s="259"/>
      <c r="E17" s="259"/>
      <c r="F17" s="259"/>
      <c r="G17" s="259"/>
      <c r="H17" s="259"/>
      <c r="I17" s="259"/>
      <c r="J17" s="259"/>
      <c r="K17" s="259"/>
      <c r="L17" s="259"/>
      <c r="M17" s="259"/>
      <c r="N17" s="259"/>
      <c r="O17" s="259"/>
      <c r="P17" s="259"/>
      <c r="Q17" s="259"/>
      <c r="R17" s="259"/>
      <c r="S17" s="259"/>
      <c r="T17" s="259"/>
      <c r="U17" s="259"/>
      <c r="V17" s="259"/>
      <c r="W17" s="259"/>
      <c r="X17" s="259"/>
    </row>
    <row r="18" spans="1:25" ht="24" customHeight="1" x14ac:dyDescent="0.2">
      <c r="A18" s="403" t="s">
        <v>193</v>
      </c>
      <c r="B18" s="383"/>
      <c r="C18" s="383"/>
      <c r="D18" s="383"/>
      <c r="E18" s="383"/>
      <c r="F18" s="259"/>
      <c r="G18" s="383"/>
      <c r="H18" s="383"/>
      <c r="I18" s="383"/>
      <c r="J18" s="383"/>
      <c r="K18" s="259"/>
      <c r="L18" s="383"/>
      <c r="M18" s="383"/>
      <c r="N18" s="383"/>
      <c r="O18" s="383"/>
      <c r="P18" s="259"/>
      <c r="Q18" s="383"/>
      <c r="R18" s="383"/>
      <c r="S18" s="383"/>
      <c r="T18" s="259"/>
      <c r="U18" s="383"/>
      <c r="V18" s="383"/>
      <c r="W18" s="383"/>
      <c r="X18" s="383"/>
    </row>
    <row r="19" spans="1:25" ht="24" customHeight="1" x14ac:dyDescent="0.2">
      <c r="A19" s="408" t="s">
        <v>194</v>
      </c>
      <c r="B19" s="372">
        <f>+'Purchase Log'!C10</f>
        <v>0</v>
      </c>
      <c r="C19" s="372">
        <f>+'Purchase Log'!D10</f>
        <v>0</v>
      </c>
      <c r="D19" s="372">
        <f>+'Purchase Log'!E10</f>
        <v>0</v>
      </c>
      <c r="E19" s="372">
        <f>+'Purchase Log'!F10</f>
        <v>0</v>
      </c>
      <c r="F19" s="358"/>
      <c r="G19" s="372">
        <f>+'Purchase Log'!H10</f>
        <v>0</v>
      </c>
      <c r="H19" s="372">
        <f>+'Purchase Log'!I10</f>
        <v>0</v>
      </c>
      <c r="I19" s="372">
        <f>+'Purchase Log'!J10</f>
        <v>0</v>
      </c>
      <c r="J19" s="372">
        <f>+'Purchase Log'!K10</f>
        <v>0</v>
      </c>
      <c r="K19" s="358"/>
      <c r="L19" s="372">
        <f>+'Purchase Log'!M10</f>
        <v>0</v>
      </c>
      <c r="M19" s="372">
        <f>+'Purchase Log'!N10</f>
        <v>0</v>
      </c>
      <c r="N19" s="372">
        <f>+'Purchase Log'!O10</f>
        <v>0</v>
      </c>
      <c r="O19" s="372">
        <f>+'Purchase Log'!P10</f>
        <v>0</v>
      </c>
      <c r="P19" s="358"/>
      <c r="Q19" s="372">
        <f>+'Purchase Log'!R10</f>
        <v>0</v>
      </c>
      <c r="R19" s="372">
        <f>+'Purchase Log'!S10</f>
        <v>0</v>
      </c>
      <c r="S19" s="372">
        <f>+'Purchase Log'!S10</f>
        <v>0</v>
      </c>
      <c r="T19" s="259"/>
      <c r="U19" s="372">
        <f>+'Purchase Log'!U10</f>
        <v>0</v>
      </c>
      <c r="V19" s="372">
        <f>+'Purchase Log'!V10</f>
        <v>0</v>
      </c>
      <c r="W19" s="372">
        <f>+'Purchase Log'!X10</f>
        <v>0</v>
      </c>
      <c r="X19" s="372">
        <f>+'Purchase Log'!Y10</f>
        <v>0</v>
      </c>
    </row>
    <row r="20" spans="1:25" ht="24" customHeight="1" x14ac:dyDescent="0.2">
      <c r="A20" s="403" t="s">
        <v>195</v>
      </c>
      <c r="B20" s="253">
        <f>B10</f>
        <v>0</v>
      </c>
      <c r="C20" s="253">
        <f>C10</f>
        <v>0</v>
      </c>
      <c r="D20" s="253">
        <f>D10</f>
        <v>0</v>
      </c>
      <c r="E20" s="253">
        <f>E10</f>
        <v>0</v>
      </c>
      <c r="F20" s="259"/>
      <c r="G20" s="253">
        <f>G10</f>
        <v>0</v>
      </c>
      <c r="H20" s="253">
        <f>H10</f>
        <v>0</v>
      </c>
      <c r="I20" s="253">
        <f>I10</f>
        <v>0</v>
      </c>
      <c r="J20" s="253">
        <f>J10</f>
        <v>0</v>
      </c>
      <c r="K20" s="259"/>
      <c r="L20" s="253">
        <f t="shared" ref="L20:O20" si="6">L10</f>
        <v>15</v>
      </c>
      <c r="M20" s="253">
        <f t="shared" si="6"/>
        <v>15</v>
      </c>
      <c r="N20" s="253">
        <f t="shared" si="6"/>
        <v>15</v>
      </c>
      <c r="O20" s="253">
        <f t="shared" si="6"/>
        <v>0</v>
      </c>
      <c r="P20" s="259"/>
      <c r="Q20" s="253">
        <f>Q10</f>
        <v>15</v>
      </c>
      <c r="R20" s="253">
        <f>R10</f>
        <v>15</v>
      </c>
      <c r="S20" s="253">
        <f>S10</f>
        <v>15</v>
      </c>
      <c r="T20" s="259"/>
      <c r="U20" s="253">
        <f t="shared" ref="U20:V20" si="7">U10</f>
        <v>0</v>
      </c>
      <c r="V20" s="253">
        <f t="shared" si="7"/>
        <v>0</v>
      </c>
      <c r="W20" s="253">
        <f>W10</f>
        <v>0</v>
      </c>
      <c r="X20" s="253">
        <f>X10</f>
        <v>15</v>
      </c>
    </row>
    <row r="21" spans="1:25" ht="24" customHeight="1" x14ac:dyDescent="0.2">
      <c r="A21" s="403" t="s">
        <v>196</v>
      </c>
      <c r="B21" s="373">
        <f>B18+B19-B20</f>
        <v>0</v>
      </c>
      <c r="C21" s="373">
        <f>C18+C19-C20</f>
        <v>0</v>
      </c>
      <c r="D21" s="373">
        <f>D18+D19-D20</f>
        <v>0</v>
      </c>
      <c r="E21" s="373">
        <f>E18+E19-E20</f>
        <v>0</v>
      </c>
      <c r="F21" s="374"/>
      <c r="G21" s="373">
        <f>G18+G19-G20</f>
        <v>0</v>
      </c>
      <c r="H21" s="373">
        <f>H18+H19-H20</f>
        <v>0</v>
      </c>
      <c r="I21" s="373">
        <f>I18+I19-I20</f>
        <v>0</v>
      </c>
      <c r="J21" s="373">
        <f>J18+J19-J20</f>
        <v>0</v>
      </c>
      <c r="K21" s="374"/>
      <c r="L21" s="373">
        <f t="shared" ref="L21:O21" si="8">L18+L19-L20</f>
        <v>-15</v>
      </c>
      <c r="M21" s="373">
        <f t="shared" si="8"/>
        <v>-15</v>
      </c>
      <c r="N21" s="373">
        <f t="shared" si="8"/>
        <v>-15</v>
      </c>
      <c r="O21" s="373">
        <f t="shared" si="8"/>
        <v>0</v>
      </c>
      <c r="P21" s="374"/>
      <c r="Q21" s="373">
        <f>Q18+Q19-Q20</f>
        <v>-15</v>
      </c>
      <c r="R21" s="373">
        <f>R18+R19-R20</f>
        <v>-15</v>
      </c>
      <c r="S21" s="373">
        <f>S18+S19-S20</f>
        <v>-15</v>
      </c>
      <c r="T21" s="374"/>
      <c r="U21" s="373">
        <f t="shared" ref="U21:V21" si="9">U18+U19-U20</f>
        <v>0</v>
      </c>
      <c r="V21" s="373">
        <f t="shared" si="9"/>
        <v>0</v>
      </c>
      <c r="W21" s="373">
        <f>W18+W19-W20</f>
        <v>0</v>
      </c>
      <c r="X21" s="373">
        <f>X18+X19-X20</f>
        <v>-15</v>
      </c>
    </row>
    <row r="22" spans="1:25" s="89" customFormat="1" ht="24" customHeight="1" thickBot="1" x14ac:dyDescent="0.25">
      <c r="A22" s="409" t="s">
        <v>197</v>
      </c>
      <c r="B22" s="384">
        <f>+B21*B15</f>
        <v>0</v>
      </c>
      <c r="C22" s="384">
        <f>+C21*C15</f>
        <v>0</v>
      </c>
      <c r="D22" s="375">
        <f>+D21*D15</f>
        <v>0</v>
      </c>
      <c r="E22" s="375">
        <f>+E21*E15</f>
        <v>0</v>
      </c>
      <c r="F22" s="376"/>
      <c r="G22" s="375">
        <f t="shared" ref="G22:O22" si="10">+G21*G15</f>
        <v>0</v>
      </c>
      <c r="H22" s="375">
        <f t="shared" si="10"/>
        <v>0</v>
      </c>
      <c r="I22" s="375">
        <f t="shared" si="10"/>
        <v>0</v>
      </c>
      <c r="J22" s="375">
        <f t="shared" si="10"/>
        <v>0</v>
      </c>
      <c r="K22" s="375">
        <f t="shared" si="10"/>
        <v>0</v>
      </c>
      <c r="L22" s="375">
        <f t="shared" si="10"/>
        <v>0</v>
      </c>
      <c r="M22" s="375">
        <f t="shared" si="10"/>
        <v>0</v>
      </c>
      <c r="N22" s="375">
        <f t="shared" si="10"/>
        <v>0</v>
      </c>
      <c r="O22" s="375">
        <f t="shared" si="10"/>
        <v>0</v>
      </c>
      <c r="P22" s="375"/>
      <c r="Q22" s="375">
        <f t="shared" ref="Q22:X22" si="11">+Q21*Q15</f>
        <v>0</v>
      </c>
      <c r="R22" s="375">
        <f t="shared" ref="R22" si="12">+R21*R15</f>
        <v>0</v>
      </c>
      <c r="S22" s="375">
        <f t="shared" si="11"/>
        <v>0</v>
      </c>
      <c r="T22" s="375">
        <f t="shared" si="11"/>
        <v>0</v>
      </c>
      <c r="U22" s="375">
        <f t="shared" ref="U22:V22" si="13">+U21*U15</f>
        <v>0</v>
      </c>
      <c r="V22" s="375">
        <f t="shared" si="13"/>
        <v>0</v>
      </c>
      <c r="W22" s="375">
        <f t="shared" si="11"/>
        <v>0</v>
      </c>
      <c r="X22" s="375">
        <f t="shared" si="11"/>
        <v>0</v>
      </c>
      <c r="Y22" s="220"/>
    </row>
    <row r="23" spans="1:25" s="89" customFormat="1" ht="15" customHeight="1" thickBot="1" x14ac:dyDescent="0.25">
      <c r="A23" s="410" t="s">
        <v>198</v>
      </c>
      <c r="B23" s="573">
        <f>+SUMIF(B22:X22,"&gt;0")</f>
        <v>0</v>
      </c>
      <c r="C23" s="574"/>
      <c r="D23" s="385" t="s">
        <v>199</v>
      </c>
      <c r="E23" s="386"/>
      <c r="F23" s="376"/>
      <c r="G23" s="386"/>
      <c r="H23" s="387">
        <f>+COUNTIF(B22:X22,"&lt;0")</f>
        <v>0</v>
      </c>
      <c r="I23" s="388"/>
      <c r="J23" s="388"/>
      <c r="K23" s="388"/>
      <c r="L23" s="388"/>
      <c r="M23" s="386"/>
      <c r="N23" s="386"/>
      <c r="O23" s="386"/>
      <c r="P23" s="386"/>
      <c r="Q23" s="386"/>
      <c r="R23" s="386"/>
      <c r="S23" s="386"/>
      <c r="T23" s="386"/>
      <c r="U23" s="386"/>
      <c r="V23" s="386"/>
      <c r="W23" s="386"/>
      <c r="X23" s="386"/>
      <c r="Y23" s="220"/>
    </row>
    <row r="24" spans="1:25" ht="15" x14ac:dyDescent="0.2">
      <c r="A24" s="411"/>
      <c r="B24" s="206"/>
      <c r="C24" s="206"/>
      <c r="D24" s="206"/>
      <c r="E24" s="206"/>
      <c r="F24" s="206"/>
      <c r="G24" s="206"/>
      <c r="H24" s="206"/>
      <c r="I24" s="206"/>
      <c r="J24" s="206"/>
      <c r="K24" s="206"/>
      <c r="L24" s="206"/>
      <c r="M24" s="206"/>
      <c r="N24" s="206"/>
      <c r="O24" s="206"/>
      <c r="P24" s="206"/>
      <c r="Q24" s="206"/>
      <c r="R24" s="206"/>
      <c r="S24" s="206"/>
      <c r="T24" s="206"/>
      <c r="U24" s="206"/>
      <c r="V24" s="206"/>
      <c r="W24" s="206"/>
      <c r="X24" s="206"/>
    </row>
    <row r="25" spans="1:25" ht="15" x14ac:dyDescent="0.2">
      <c r="A25" s="411"/>
      <c r="B25" s="571" t="s">
        <v>200</v>
      </c>
      <c r="C25" s="571"/>
      <c r="D25" s="571"/>
      <c r="E25" s="571"/>
      <c r="F25" s="571"/>
      <c r="G25" s="571"/>
      <c r="H25" s="571"/>
      <c r="I25" s="571"/>
      <c r="J25" s="571"/>
      <c r="K25" s="571"/>
      <c r="L25" s="571"/>
      <c r="M25" s="571"/>
      <c r="N25" s="571"/>
      <c r="O25" s="571"/>
      <c r="P25" s="571"/>
      <c r="Q25" s="571"/>
      <c r="R25" s="571"/>
      <c r="S25" s="571"/>
      <c r="T25" s="571"/>
      <c r="U25" s="571"/>
      <c r="V25" s="571"/>
      <c r="W25" s="571"/>
      <c r="X25" s="571"/>
    </row>
    <row r="26" spans="1:25" ht="20.100000000000001" customHeight="1" x14ac:dyDescent="0.2">
      <c r="A26" s="411" t="s">
        <v>201</v>
      </c>
      <c r="B26" s="389">
        <v>180</v>
      </c>
      <c r="C26" s="390">
        <v>120</v>
      </c>
      <c r="D26" s="390">
        <v>60</v>
      </c>
      <c r="E26" s="390">
        <v>60</v>
      </c>
      <c r="F26" s="390"/>
      <c r="G26" s="390">
        <v>24</v>
      </c>
      <c r="H26" s="390">
        <v>24</v>
      </c>
      <c r="I26" s="390">
        <v>4</v>
      </c>
      <c r="J26" s="390">
        <v>1</v>
      </c>
      <c r="K26" s="390"/>
      <c r="L26" s="390">
        <v>24</v>
      </c>
      <c r="M26" s="390">
        <v>24</v>
      </c>
      <c r="N26" s="390">
        <v>4</v>
      </c>
      <c r="O26" s="390">
        <v>1</v>
      </c>
      <c r="P26" s="390"/>
      <c r="Q26" s="390">
        <v>24</v>
      </c>
      <c r="R26" s="390">
        <v>24</v>
      </c>
      <c r="S26" s="390">
        <v>24</v>
      </c>
      <c r="T26" s="390"/>
      <c r="U26" s="390">
        <v>72</v>
      </c>
      <c r="V26" s="390">
        <v>72</v>
      </c>
      <c r="W26" s="390">
        <v>72</v>
      </c>
      <c r="X26" s="391">
        <v>72</v>
      </c>
    </row>
    <row r="27" spans="1:25" ht="20.100000000000001" customHeight="1" x14ac:dyDescent="0.2">
      <c r="A27" s="411" t="s">
        <v>202</v>
      </c>
      <c r="B27" s="392"/>
      <c r="C27" s="393"/>
      <c r="D27" s="393"/>
      <c r="E27" s="393"/>
      <c r="F27" s="393"/>
      <c r="G27" s="393"/>
      <c r="H27" s="393"/>
      <c r="I27" s="393"/>
      <c r="J27" s="393"/>
      <c r="K27" s="393"/>
      <c r="L27" s="393"/>
      <c r="M27" s="393"/>
      <c r="N27" s="393"/>
      <c r="O27" s="393"/>
      <c r="P27" s="393"/>
      <c r="Q27" s="393"/>
      <c r="R27" s="393"/>
      <c r="S27" s="393"/>
      <c r="T27" s="393"/>
      <c r="U27" s="393"/>
      <c r="V27" s="393"/>
      <c r="W27" s="393"/>
      <c r="X27" s="394"/>
    </row>
    <row r="28" spans="1:25" ht="20.100000000000001" customHeight="1" x14ac:dyDescent="0.2">
      <c r="A28" s="411" t="s">
        <v>203</v>
      </c>
      <c r="B28" s="395">
        <f t="shared" ref="B28:E28" si="14">+B27*1.085</f>
        <v>0</v>
      </c>
      <c r="C28" s="396">
        <f t="shared" si="14"/>
        <v>0</v>
      </c>
      <c r="D28" s="396">
        <f t="shared" si="14"/>
        <v>0</v>
      </c>
      <c r="E28" s="396">
        <f t="shared" si="14"/>
        <v>0</v>
      </c>
      <c r="F28" s="397"/>
      <c r="G28" s="396">
        <f t="shared" ref="G28:J28" si="15">+G27*1.085</f>
        <v>0</v>
      </c>
      <c r="H28" s="396">
        <f t="shared" si="15"/>
        <v>0</v>
      </c>
      <c r="I28" s="396">
        <f t="shared" si="15"/>
        <v>0</v>
      </c>
      <c r="J28" s="396">
        <f t="shared" si="15"/>
        <v>0</v>
      </c>
      <c r="K28" s="397"/>
      <c r="L28" s="396">
        <f t="shared" ref="L28:O28" si="16">+L27*1.085</f>
        <v>0</v>
      </c>
      <c r="M28" s="396">
        <f t="shared" si="16"/>
        <v>0</v>
      </c>
      <c r="N28" s="396">
        <f t="shared" si="16"/>
        <v>0</v>
      </c>
      <c r="O28" s="396">
        <f t="shared" si="16"/>
        <v>0</v>
      </c>
      <c r="P28" s="397"/>
      <c r="Q28" s="396">
        <f t="shared" ref="Q28:S28" si="17">+Q27*1.085</f>
        <v>0</v>
      </c>
      <c r="R28" s="396">
        <f t="shared" ref="R28" si="18">+R27*1.085</f>
        <v>0</v>
      </c>
      <c r="S28" s="396">
        <f t="shared" si="17"/>
        <v>0</v>
      </c>
      <c r="T28" s="397"/>
      <c r="U28" s="396">
        <f t="shared" ref="U28:V28" si="19">+U27*1.085</f>
        <v>0</v>
      </c>
      <c r="V28" s="396">
        <f t="shared" si="19"/>
        <v>0</v>
      </c>
      <c r="W28" s="396">
        <f t="shared" ref="W28:X28" si="20">+W27*1.085</f>
        <v>0</v>
      </c>
      <c r="X28" s="398">
        <f t="shared" si="20"/>
        <v>0</v>
      </c>
    </row>
    <row r="29" spans="1:25" ht="20.100000000000001" customHeight="1" x14ac:dyDescent="0.2">
      <c r="A29" s="411" t="s">
        <v>129</v>
      </c>
      <c r="B29" s="399">
        <f t="shared" ref="B29" si="21">+B28/B26</f>
        <v>0</v>
      </c>
      <c r="C29" s="400">
        <f>IFERROR(+C28/C26,0)</f>
        <v>0</v>
      </c>
      <c r="D29" s="400">
        <f t="shared" ref="D29:X29" si="22">IFERROR(+D28/D26,0)</f>
        <v>0</v>
      </c>
      <c r="E29" s="400">
        <f t="shared" si="22"/>
        <v>0</v>
      </c>
      <c r="F29" s="400">
        <f t="shared" si="22"/>
        <v>0</v>
      </c>
      <c r="G29" s="400">
        <f t="shared" si="22"/>
        <v>0</v>
      </c>
      <c r="H29" s="400">
        <f t="shared" si="22"/>
        <v>0</v>
      </c>
      <c r="I29" s="400">
        <f t="shared" si="22"/>
        <v>0</v>
      </c>
      <c r="J29" s="400">
        <f t="shared" si="22"/>
        <v>0</v>
      </c>
      <c r="K29" s="400">
        <f t="shared" si="22"/>
        <v>0</v>
      </c>
      <c r="L29" s="400">
        <f t="shared" si="22"/>
        <v>0</v>
      </c>
      <c r="M29" s="400">
        <f t="shared" si="22"/>
        <v>0</v>
      </c>
      <c r="N29" s="400">
        <f t="shared" si="22"/>
        <v>0</v>
      </c>
      <c r="O29" s="400">
        <f t="shared" si="22"/>
        <v>0</v>
      </c>
      <c r="P29" s="400"/>
      <c r="Q29" s="400">
        <f t="shared" si="22"/>
        <v>0</v>
      </c>
      <c r="R29" s="400">
        <f t="shared" ref="R29" si="23">IFERROR(+R28/R26,0)</f>
        <v>0</v>
      </c>
      <c r="S29" s="400">
        <f t="shared" si="22"/>
        <v>0</v>
      </c>
      <c r="T29" s="400">
        <f t="shared" si="22"/>
        <v>0</v>
      </c>
      <c r="U29" s="400">
        <f t="shared" ref="U29:V29" si="24">IFERROR(+U28/U26,0)</f>
        <v>0</v>
      </c>
      <c r="V29" s="400">
        <f t="shared" si="24"/>
        <v>0</v>
      </c>
      <c r="W29" s="400">
        <f t="shared" si="22"/>
        <v>0</v>
      </c>
      <c r="X29" s="401">
        <f t="shared" si="22"/>
        <v>0</v>
      </c>
    </row>
  </sheetData>
  <sheetProtection algorithmName="SHA-512" hashValue="1tAb+GgqCZOK2mJ53gGMYCws7VfkSWGwhrnOAgMxByIAEl+zMW7c8r7h9mEq2bSsqL3AnMCa0wSvsak5TSck9A==" saltValue="IQ6CsBVIdZbf1XOhG+FLrw==" spinCount="100000" sheet="1" objects="1" scenarios="1"/>
  <protectedRanges>
    <protectedRange algorithmName="SHA-512" hashValue="HACo4ZT2O3Mgog1flHNqbynkp56nI960o3g5aDfXHjLzImd90uQAJVIFp8fQLsNmdBFvt34MTKmWRz48HHex3g==" saltValue="XG18ZRvKxV/KQylIY+1m4A==" spinCount="100000" sqref="B27:X27" name="CaseCost"/>
    <protectedRange algorithmName="SHA-512" hashValue="f5en1TQrOSlq/PxMlFqPEM1ZnkJITRQRseEIn9uy3M94xu4aphvH/1Lx7gP97VEEHOafDersYKLcM+AuQalR5w==" saltValue="18usariDEGHRxwyMPDRN7A==" spinCount="100000" sqref="B18:X18" name="Starting Inventory"/>
    <protectedRange algorithmName="SHA-512" hashValue="x4MBf+PRoTAgd7rppd4jLoxHSKIWmxqhLVCA8RsplD0fD7xGGV5o8Xvm1H4Ta5tDqBQYAG4+MGCsI/lcC9FyNQ==" saltValue="F90ZPJReoDgyK4FozFRepw==" spinCount="100000" sqref="A8:X8" name="Count Entry"/>
  </protectedRanges>
  <customSheetViews>
    <customSheetView guid="{9EDB9842-A750-4033-9229-3D8286219058}">
      <selection activeCell="N2" sqref="N2"/>
      <pageMargins left="0" right="0" top="0" bottom="0" header="0" footer="0"/>
      <printOptions horizontalCentered="1"/>
      <pageSetup orientation="landscape" horizontalDpi="300" verticalDpi="300" r:id="rId1"/>
      <headerFooter alignWithMargins="0"/>
    </customSheetView>
  </customSheetViews>
  <mergeCells count="28">
    <mergeCell ref="B25:X25"/>
    <mergeCell ref="B3:X3"/>
    <mergeCell ref="B23:C23"/>
    <mergeCell ref="N5:N6"/>
    <mergeCell ref="O5:O6"/>
    <mergeCell ref="W5:W6"/>
    <mergeCell ref="X5:X6"/>
    <mergeCell ref="Q5:Q6"/>
    <mergeCell ref="S5:S6"/>
    <mergeCell ref="Q4:S4"/>
    <mergeCell ref="L4:O4"/>
    <mergeCell ref="B5:B6"/>
    <mergeCell ref="A1:X2"/>
    <mergeCell ref="I5:I6"/>
    <mergeCell ref="J5:J6"/>
    <mergeCell ref="L5:L6"/>
    <mergeCell ref="M5:M6"/>
    <mergeCell ref="D5:D6"/>
    <mergeCell ref="E5:E6"/>
    <mergeCell ref="G5:G6"/>
    <mergeCell ref="H5:H6"/>
    <mergeCell ref="U4:X4"/>
    <mergeCell ref="G4:J4"/>
    <mergeCell ref="R5:R6"/>
    <mergeCell ref="B4:E4"/>
    <mergeCell ref="V5:V6"/>
    <mergeCell ref="U5:U6"/>
    <mergeCell ref="C5:C6"/>
  </mergeCells>
  <phoneticPr fontId="2" type="noConversion"/>
  <printOptions horizontalCentered="1"/>
  <pageMargins left="0.5" right="0.25" top="0.5" bottom="0.5" header="0" footer="0"/>
  <pageSetup orientation="landscape" r:id="rId2"/>
  <headerFooter alignWithMargins="0"/>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W24"/>
  <sheetViews>
    <sheetView zoomScale="120" zoomScaleNormal="120" workbookViewId="0">
      <pane xSplit="1" ySplit="6" topLeftCell="B7" activePane="bottomRight" state="frozen"/>
      <selection pane="topRight" activeCell="B1" sqref="B1"/>
      <selection pane="bottomLeft" activeCell="A7" sqref="A7"/>
      <selection pane="bottomRight" activeCell="AB7" sqref="AB7"/>
    </sheetView>
  </sheetViews>
  <sheetFormatPr defaultRowHeight="12.75" x14ac:dyDescent="0.2"/>
  <cols>
    <col min="1" max="1" width="24.7109375" style="3" customWidth="1"/>
    <col min="2" max="5" width="6.7109375" customWidth="1"/>
    <col min="6" max="6" width="0.7109375" customWidth="1"/>
    <col min="7" max="10" width="6.7109375" customWidth="1"/>
    <col min="11" max="11" width="0.7109375" customWidth="1"/>
    <col min="12" max="15" width="6.7109375" customWidth="1"/>
    <col min="16" max="18" width="6.7109375" hidden="1" customWidth="1"/>
    <col min="19" max="19" width="0.7109375" customWidth="1"/>
    <col min="20" max="23" width="6.7109375" customWidth="1"/>
  </cols>
  <sheetData>
    <row r="1" spans="1:23" ht="12.75" customHeight="1" x14ac:dyDescent="0.2">
      <c r="A1" s="544" t="str">
        <f>+'Hotel Set up'!B2</f>
        <v>Enter Property Name and other Details in the Hotel Setup Tab</v>
      </c>
      <c r="B1" s="544"/>
      <c r="C1" s="544"/>
      <c r="D1" s="544"/>
      <c r="E1" s="544"/>
      <c r="F1" s="544"/>
      <c r="G1" s="544"/>
      <c r="H1" s="544"/>
      <c r="I1" s="544"/>
      <c r="J1" s="544"/>
      <c r="K1" s="544"/>
      <c r="L1" s="544"/>
      <c r="M1" s="544"/>
      <c r="N1" s="544"/>
      <c r="O1" s="544"/>
      <c r="P1" s="544"/>
      <c r="Q1" s="544"/>
      <c r="R1" s="544"/>
      <c r="S1" s="544"/>
      <c r="T1" s="544"/>
      <c r="U1" s="544"/>
      <c r="V1" s="544"/>
      <c r="W1" s="544"/>
    </row>
    <row r="2" spans="1:23" ht="30" customHeight="1" x14ac:dyDescent="0.2">
      <c r="A2" s="544"/>
      <c r="B2" s="544"/>
      <c r="C2" s="544"/>
      <c r="D2" s="544"/>
      <c r="E2" s="544"/>
      <c r="F2" s="544"/>
      <c r="G2" s="544"/>
      <c r="H2" s="544"/>
      <c r="I2" s="544"/>
      <c r="J2" s="544"/>
      <c r="K2" s="544"/>
      <c r="L2" s="544"/>
      <c r="M2" s="544"/>
      <c r="N2" s="544"/>
      <c r="O2" s="544"/>
      <c r="P2" s="544"/>
      <c r="Q2" s="544"/>
      <c r="R2" s="544"/>
      <c r="S2" s="544"/>
      <c r="T2" s="544"/>
      <c r="U2" s="544"/>
      <c r="V2" s="544"/>
      <c r="W2" s="544"/>
    </row>
    <row r="3" spans="1:23" ht="33" customHeight="1" thickBot="1" x14ac:dyDescent="0.4">
      <c r="B3" s="572" t="s">
        <v>204</v>
      </c>
      <c r="C3" s="572"/>
      <c r="D3" s="572"/>
      <c r="E3" s="572"/>
      <c r="F3" s="572"/>
      <c r="G3" s="572"/>
      <c r="H3" s="572"/>
      <c r="I3" s="572"/>
      <c r="J3" s="572"/>
      <c r="K3" s="572"/>
      <c r="L3" s="572"/>
      <c r="M3" s="572"/>
      <c r="N3" s="572"/>
      <c r="O3" s="572"/>
      <c r="P3" s="572"/>
      <c r="Q3" s="572"/>
      <c r="R3" s="572"/>
      <c r="S3" s="572"/>
      <c r="T3" s="572"/>
      <c r="U3" s="572"/>
      <c r="V3" s="572"/>
      <c r="W3" s="572"/>
    </row>
    <row r="4" spans="1:23" ht="13.5" customHeight="1" thickBot="1" x14ac:dyDescent="0.25">
      <c r="B4" s="565" t="s">
        <v>103</v>
      </c>
      <c r="C4" s="566"/>
      <c r="D4" s="566"/>
      <c r="E4" s="566"/>
      <c r="F4" s="25"/>
      <c r="G4" s="560" t="s">
        <v>79</v>
      </c>
      <c r="H4" s="561"/>
      <c r="I4" s="561"/>
      <c r="J4" s="562"/>
      <c r="K4" s="25"/>
      <c r="L4" s="583" t="s">
        <v>80</v>
      </c>
      <c r="M4" s="584"/>
      <c r="N4" s="584"/>
      <c r="O4" s="585"/>
      <c r="P4" s="581" t="s">
        <v>104</v>
      </c>
      <c r="Q4" s="582"/>
      <c r="R4" s="582"/>
      <c r="S4" s="25"/>
      <c r="T4" s="557" t="s">
        <v>178</v>
      </c>
      <c r="U4" s="558"/>
      <c r="V4" s="558"/>
      <c r="W4" s="559"/>
    </row>
    <row r="5" spans="1:23" s="1" customFormat="1" ht="10.5" customHeight="1" x14ac:dyDescent="0.2">
      <c r="A5" s="213"/>
      <c r="B5" s="586" t="str">
        <f>+'Total Linen March 31st'!B5</f>
        <v>Wash Cloths</v>
      </c>
      <c r="C5" s="553" t="str">
        <f>+'Total Linen March 31st'!C5</f>
        <v>Hand Towels</v>
      </c>
      <c r="D5" s="553" t="str">
        <f>+'Total Linen March 31st'!D5</f>
        <v xml:space="preserve"> Bath Towels</v>
      </c>
      <c r="E5" s="553" t="str">
        <f>+'Total Linen March 31st'!E5</f>
        <v>Bath Mats</v>
      </c>
      <c r="F5" s="29"/>
      <c r="G5" s="594" t="str">
        <f>+'Total Linen March 31st'!G5</f>
        <v>Flat  Sheets</v>
      </c>
      <c r="H5" s="594" t="str">
        <f>+'Total Linen March 31st'!H5</f>
        <v>Fitted Sheets</v>
      </c>
      <c r="I5" s="594" t="str">
        <f>+'Total Linen March 31st'!I5</f>
        <v>Duvets /       Comforters</v>
      </c>
      <c r="J5" s="594" t="str">
        <f>+'Total Linen March 31st'!J5</f>
        <v>Duvet Cover / Top Spread</v>
      </c>
      <c r="K5" s="594">
        <f>+'Total Linen March 31st'!K5</f>
        <v>0</v>
      </c>
      <c r="L5" s="588" t="str">
        <f>+'Total Linen March 31st'!L5</f>
        <v>Flat Sheets</v>
      </c>
      <c r="M5" s="588" t="str">
        <f>+'Total Linen March 31st'!M5</f>
        <v>Fitted Sheet</v>
      </c>
      <c r="N5" s="588" t="str">
        <f>+'Total Linen March 31st'!N5</f>
        <v>Duvets /       Comforters</v>
      </c>
      <c r="O5" s="588" t="str">
        <f>+'Total Linen March 31st'!O5</f>
        <v>Duvet Cover / Top Spread</v>
      </c>
      <c r="P5" s="579" t="str">
        <f>+'Total Linen March 31st'!Q5</f>
        <v>Blanket / Throw</v>
      </c>
      <c r="Q5" s="579" t="str">
        <f>+'Total Linen March 31st'!R5</f>
        <v>Flat Sheets</v>
      </c>
      <c r="R5" s="579" t="str">
        <f>+'Total Linen March 31st'!S5</f>
        <v>Fitted Sheets</v>
      </c>
      <c r="S5" s="594">
        <f>+'Total Linen March 31st'!T5</f>
        <v>0</v>
      </c>
      <c r="T5" s="590" t="s">
        <v>183</v>
      </c>
      <c r="U5" s="590" t="s">
        <v>184</v>
      </c>
      <c r="V5" s="590" t="s">
        <v>185</v>
      </c>
      <c r="W5" s="592" t="s">
        <v>186</v>
      </c>
    </row>
    <row r="6" spans="1:23" s="1" customFormat="1" ht="26.25" customHeight="1" thickBot="1" x14ac:dyDescent="0.25">
      <c r="A6" s="213"/>
      <c r="B6" s="587"/>
      <c r="C6" s="554"/>
      <c r="D6" s="554"/>
      <c r="E6" s="554"/>
      <c r="F6" s="29"/>
      <c r="G6" s="595"/>
      <c r="H6" s="595"/>
      <c r="I6" s="595"/>
      <c r="J6" s="595"/>
      <c r="K6" s="595"/>
      <c r="L6" s="589"/>
      <c r="M6" s="589"/>
      <c r="N6" s="589"/>
      <c r="O6" s="589"/>
      <c r="P6" s="580"/>
      <c r="Q6" s="580"/>
      <c r="R6" s="580"/>
      <c r="S6" s="595"/>
      <c r="T6" s="591"/>
      <c r="U6" s="591"/>
      <c r="V6" s="591"/>
      <c r="W6" s="593"/>
    </row>
    <row r="7" spans="1:23" s="366" customFormat="1" ht="24" customHeight="1" thickBot="1" x14ac:dyDescent="0.25">
      <c r="A7" s="403" t="s">
        <v>187</v>
      </c>
      <c r="B7" s="356">
        <f>+'Total Linen March 31st'!B7</f>
        <v>0</v>
      </c>
      <c r="C7" s="357">
        <f>+'Total Linen March 31st'!C7</f>
        <v>0</v>
      </c>
      <c r="D7" s="357">
        <f>+'Total Linen March 31st'!D7</f>
        <v>0</v>
      </c>
      <c r="E7" s="357">
        <f>+'Total Linen March 31st'!E7</f>
        <v>0</v>
      </c>
      <c r="F7" s="358"/>
      <c r="G7" s="357">
        <f>+'Total Linen March 31st'!G7</f>
        <v>0</v>
      </c>
      <c r="H7" s="357">
        <f>+'Total Linen March 31st'!H7</f>
        <v>0</v>
      </c>
      <c r="I7" s="357">
        <f>+'Total Linen March 31st'!I7</f>
        <v>0</v>
      </c>
      <c r="J7" s="357">
        <f>+'Total Linen March 31st'!J7</f>
        <v>0</v>
      </c>
      <c r="K7" s="358"/>
      <c r="L7" s="357">
        <f>+'Total Linen March 31st'!L7</f>
        <v>15</v>
      </c>
      <c r="M7" s="357">
        <f>+'Total Linen March 31st'!M7</f>
        <v>15</v>
      </c>
      <c r="N7" s="357">
        <f>+'Total Linen March 31st'!N7</f>
        <v>15</v>
      </c>
      <c r="O7" s="359">
        <f>+'Total Linen March 31st'!O7</f>
        <v>0</v>
      </c>
      <c r="P7" s="360">
        <f>+'Total Linen March 31st'!Q7</f>
        <v>15</v>
      </c>
      <c r="Q7" s="360">
        <f>+'Total Linen March 31st'!R7</f>
        <v>15</v>
      </c>
      <c r="R7" s="361">
        <f>+'Total Linen March 31st'!S7</f>
        <v>15</v>
      </c>
      <c r="S7" s="358"/>
      <c r="T7" s="362">
        <f>+'Total Linen March 31st'!U7</f>
        <v>0</v>
      </c>
      <c r="U7" s="363">
        <f>+'Total Linen March 31st'!V7</f>
        <v>0</v>
      </c>
      <c r="V7" s="364">
        <f>+'Total Linen March 31st'!W7</f>
        <v>0</v>
      </c>
      <c r="W7" s="365">
        <f>+'Total Linen March 31st'!X7</f>
        <v>15</v>
      </c>
    </row>
    <row r="8" spans="1:23" ht="24" customHeight="1" x14ac:dyDescent="0.2">
      <c r="A8" s="403" t="str">
        <f>+'Total Linen March 31st'!A8</f>
        <v>From Storage Count</v>
      </c>
      <c r="B8" s="367"/>
      <c r="C8" s="367"/>
      <c r="D8" s="367"/>
      <c r="E8" s="367"/>
      <c r="F8" s="358"/>
      <c r="G8" s="367"/>
      <c r="H8" s="367"/>
      <c r="I8" s="367"/>
      <c r="J8" s="367"/>
      <c r="K8" s="358"/>
      <c r="L8" s="367"/>
      <c r="M8" s="367"/>
      <c r="N8" s="367"/>
      <c r="O8" s="367"/>
      <c r="P8" s="368"/>
      <c r="Q8" s="368"/>
      <c r="R8" s="368"/>
      <c r="S8" s="358"/>
      <c r="T8" s="368"/>
      <c r="U8" s="368"/>
      <c r="V8" s="368"/>
      <c r="W8" s="368"/>
    </row>
    <row r="9" spans="1:23" ht="4.5" customHeight="1" thickBot="1" x14ac:dyDescent="0.3">
      <c r="A9" s="413"/>
      <c r="B9" s="11"/>
      <c r="C9" s="11"/>
      <c r="D9" s="11"/>
      <c r="E9" s="11"/>
      <c r="F9" s="25"/>
      <c r="G9" s="11"/>
      <c r="H9" s="11"/>
      <c r="I9" s="11"/>
      <c r="J9" s="11"/>
      <c r="K9" s="25"/>
      <c r="L9" s="11"/>
      <c r="M9" s="11"/>
      <c r="N9" s="11"/>
      <c r="O9" s="11"/>
      <c r="P9" s="11"/>
      <c r="Q9" s="11"/>
      <c r="R9" s="11"/>
      <c r="S9" s="25"/>
      <c r="T9" s="11"/>
      <c r="U9" s="11"/>
      <c r="V9" s="11"/>
      <c r="W9" s="11"/>
    </row>
    <row r="10" spans="1:23" ht="24" customHeight="1" thickTop="1" thickBot="1" x14ac:dyDescent="0.25">
      <c r="A10" s="403" t="s">
        <v>189</v>
      </c>
      <c r="B10" s="369">
        <f>SUM(B7:B8)</f>
        <v>0</v>
      </c>
      <c r="C10" s="369">
        <f>SUM(C7:C8)</f>
        <v>0</v>
      </c>
      <c r="D10" s="369">
        <f>SUM(D7:D8)</f>
        <v>0</v>
      </c>
      <c r="E10" s="369">
        <f>SUM(E7:E8)</f>
        <v>0</v>
      </c>
      <c r="F10" s="370"/>
      <c r="G10" s="369">
        <f>SUM(G7:G8)</f>
        <v>0</v>
      </c>
      <c r="H10" s="369">
        <f>SUM(H7:H8)</f>
        <v>0</v>
      </c>
      <c r="I10" s="369">
        <f>SUM(I7:I8)</f>
        <v>0</v>
      </c>
      <c r="J10" s="369">
        <f>SUM(J7:J8)</f>
        <v>0</v>
      </c>
      <c r="K10" s="370"/>
      <c r="L10" s="369">
        <f t="shared" ref="L10:R10" si="0">SUM(L7:L8)</f>
        <v>15</v>
      </c>
      <c r="M10" s="369">
        <f t="shared" si="0"/>
        <v>15</v>
      </c>
      <c r="N10" s="369">
        <f t="shared" si="0"/>
        <v>15</v>
      </c>
      <c r="O10" s="369">
        <f t="shared" si="0"/>
        <v>0</v>
      </c>
      <c r="P10" s="369">
        <f t="shared" si="0"/>
        <v>15</v>
      </c>
      <c r="Q10" s="369">
        <f t="shared" si="0"/>
        <v>15</v>
      </c>
      <c r="R10" s="369">
        <f t="shared" si="0"/>
        <v>15</v>
      </c>
      <c r="S10" s="370"/>
      <c r="T10" s="369">
        <f>SUM(T7:T8)</f>
        <v>0</v>
      </c>
      <c r="U10" s="369">
        <f>SUM(U7:U8)</f>
        <v>0</v>
      </c>
      <c r="V10" s="369">
        <f>SUM(V7:V8)</f>
        <v>0</v>
      </c>
      <c r="W10" s="369">
        <f>SUM(W7:W8)</f>
        <v>15</v>
      </c>
    </row>
    <row r="11" spans="1:23" ht="6.75" customHeight="1" thickTop="1" x14ac:dyDescent="0.25">
      <c r="A11" s="414" t="s">
        <v>61</v>
      </c>
      <c r="B11" s="10"/>
      <c r="C11" s="10"/>
      <c r="D11" s="10"/>
      <c r="E11" s="10"/>
      <c r="F11" s="26"/>
      <c r="G11" s="10"/>
      <c r="H11" s="10"/>
      <c r="I11" s="10"/>
      <c r="J11" s="10"/>
      <c r="K11" s="26"/>
      <c r="L11" s="10"/>
      <c r="M11" s="10"/>
      <c r="N11" s="10"/>
      <c r="O11" s="87"/>
      <c r="P11" s="88"/>
      <c r="Q11" s="88"/>
      <c r="R11" s="10"/>
      <c r="S11" s="26"/>
      <c r="T11" s="88"/>
      <c r="U11" s="10"/>
      <c r="V11" s="10"/>
      <c r="W11" s="10"/>
    </row>
    <row r="12" spans="1:23" ht="24" customHeight="1" x14ac:dyDescent="0.2">
      <c r="A12" s="403" t="s">
        <v>190</v>
      </c>
      <c r="B12" s="377">
        <f>+B7*2.5</f>
        <v>0</v>
      </c>
      <c r="C12" s="377">
        <f>+C7*2.5</f>
        <v>0</v>
      </c>
      <c r="D12" s="377">
        <f>+D7*2.5</f>
        <v>0</v>
      </c>
      <c r="E12" s="377">
        <f>+E7*2.5</f>
        <v>0</v>
      </c>
      <c r="F12" s="378"/>
      <c r="G12" s="377">
        <f>+G7*2.5</f>
        <v>0</v>
      </c>
      <c r="H12" s="377">
        <f>+H7*2.5</f>
        <v>0</v>
      </c>
      <c r="I12" s="379">
        <f>+I7*2.5</f>
        <v>0</v>
      </c>
      <c r="J12" s="379">
        <f>+J7*2.5</f>
        <v>0</v>
      </c>
      <c r="K12" s="378"/>
      <c r="L12" s="377">
        <f>+(('Hotel Set up'!D19*2)*'Hotel Set up'!F9)+'Hotel Set up'!J19</f>
        <v>15</v>
      </c>
      <c r="M12" s="377">
        <f>+('Hotel Set up'!$D$19*2*'Hotel Set up'!$F$9)+'Hotel Set up'!$J$19</f>
        <v>15</v>
      </c>
      <c r="N12" s="379">
        <f>+N7*2.5</f>
        <v>37.5</v>
      </c>
      <c r="O12" s="379">
        <f>+O7*2.5</f>
        <v>0</v>
      </c>
      <c r="P12" s="377">
        <f>+P7*2.5</f>
        <v>37.5</v>
      </c>
      <c r="Q12" s="377">
        <f>+Q7*2.5</f>
        <v>37.5</v>
      </c>
      <c r="R12" s="379">
        <f>+R7*2.5</f>
        <v>37.5</v>
      </c>
      <c r="S12" s="378"/>
      <c r="T12" s="377">
        <f>+T7*2.5</f>
        <v>0</v>
      </c>
      <c r="U12" s="377">
        <f>+U7*2.5</f>
        <v>0</v>
      </c>
      <c r="V12" s="377">
        <f>+V7*2.5</f>
        <v>0</v>
      </c>
      <c r="W12" s="377">
        <f>+W7*2.5</f>
        <v>37.5</v>
      </c>
    </row>
    <row r="13" spans="1:23" ht="24" customHeight="1" x14ac:dyDescent="0.2">
      <c r="A13" s="406" t="s">
        <v>191</v>
      </c>
      <c r="B13" s="208">
        <f>B10-B12</f>
        <v>0</v>
      </c>
      <c r="C13" s="208">
        <f>C10-C12</f>
        <v>0</v>
      </c>
      <c r="D13" s="208">
        <f>D10-D12</f>
        <v>0</v>
      </c>
      <c r="E13" s="208">
        <f>E10-E12</f>
        <v>0</v>
      </c>
      <c r="F13" s="209"/>
      <c r="G13" s="208">
        <f>G10-G12</f>
        <v>0</v>
      </c>
      <c r="H13" s="208">
        <f>H10-H12</f>
        <v>0</v>
      </c>
      <c r="I13" s="210">
        <f>I10-I12</f>
        <v>0</v>
      </c>
      <c r="J13" s="210">
        <f>J10-J12</f>
        <v>0</v>
      </c>
      <c r="K13" s="209"/>
      <c r="L13" s="208">
        <f t="shared" ref="L13:V13" si="1">L10-L12</f>
        <v>0</v>
      </c>
      <c r="M13" s="208">
        <f t="shared" si="1"/>
        <v>0</v>
      </c>
      <c r="N13" s="210">
        <f t="shared" si="1"/>
        <v>-22.5</v>
      </c>
      <c r="O13" s="210">
        <f t="shared" si="1"/>
        <v>0</v>
      </c>
      <c r="P13" s="208">
        <f>P10-P12</f>
        <v>-22.5</v>
      </c>
      <c r="Q13" s="208">
        <f>Q10-Q12</f>
        <v>-22.5</v>
      </c>
      <c r="R13" s="210">
        <f>R10-R12</f>
        <v>-22.5</v>
      </c>
      <c r="S13" s="209"/>
      <c r="T13" s="208">
        <f t="shared" si="1"/>
        <v>0</v>
      </c>
      <c r="U13" s="208">
        <f t="shared" si="1"/>
        <v>0</v>
      </c>
      <c r="V13" s="208">
        <f t="shared" si="1"/>
        <v>0</v>
      </c>
      <c r="W13" s="208">
        <f>W10-W12</f>
        <v>-22.5</v>
      </c>
    </row>
    <row r="14" spans="1:23" ht="5.25" customHeight="1" x14ac:dyDescent="0.25">
      <c r="A14" s="415"/>
      <c r="B14" s="25"/>
      <c r="C14" s="25"/>
      <c r="D14" s="25"/>
      <c r="E14" s="25"/>
      <c r="F14" s="25"/>
      <c r="G14" s="25"/>
      <c r="H14" s="25"/>
      <c r="I14" s="25"/>
      <c r="J14" s="25"/>
      <c r="K14" s="25"/>
      <c r="L14" s="25"/>
      <c r="M14" s="25"/>
      <c r="N14" s="25"/>
      <c r="O14" s="25"/>
      <c r="P14" s="25"/>
      <c r="Q14" s="25"/>
      <c r="R14" s="25"/>
      <c r="S14" s="25"/>
      <c r="T14" s="25"/>
      <c r="U14" s="25"/>
      <c r="V14" s="25"/>
      <c r="W14" s="25"/>
    </row>
    <row r="15" spans="1:23" ht="24" customHeight="1" thickBot="1" x14ac:dyDescent="0.25">
      <c r="A15" s="403" t="s">
        <v>129</v>
      </c>
      <c r="B15" s="207">
        <f>+'Total Linen March 31st'!B15</f>
        <v>0</v>
      </c>
      <c r="C15" s="207">
        <f>+'Total Linen March 31st'!C15</f>
        <v>0</v>
      </c>
      <c r="D15" s="207">
        <f>+'Total Linen March 31st'!D15</f>
        <v>0</v>
      </c>
      <c r="E15" s="207">
        <f>+'Total Linen March 31st'!E15</f>
        <v>0</v>
      </c>
      <c r="F15" s="207">
        <f>+'Total Linen March 31st'!F15</f>
        <v>0</v>
      </c>
      <c r="G15" s="207">
        <f>+'Total Linen March 31st'!G15</f>
        <v>0</v>
      </c>
      <c r="H15" s="207">
        <f>+'Total Linen March 31st'!H15</f>
        <v>0</v>
      </c>
      <c r="I15" s="207">
        <f>+'Total Linen March 31st'!I15</f>
        <v>0</v>
      </c>
      <c r="J15" s="207">
        <f>+'Total Linen March 31st'!J15</f>
        <v>0</v>
      </c>
      <c r="K15" s="207">
        <f>+'Total Linen March 31st'!K15</f>
        <v>0</v>
      </c>
      <c r="L15" s="207">
        <f>+'Total Linen March 31st'!L15</f>
        <v>0</v>
      </c>
      <c r="M15" s="207">
        <f>+'Total Linen March 31st'!M15</f>
        <v>0</v>
      </c>
      <c r="N15" s="207">
        <f>+'Total Linen March 31st'!N15</f>
        <v>0</v>
      </c>
      <c r="O15" s="207">
        <f>+'Total Linen March 31st'!O15</f>
        <v>0</v>
      </c>
      <c r="P15" s="207">
        <f>+'Total Linen March 31st'!Q15</f>
        <v>0</v>
      </c>
      <c r="Q15" s="207">
        <f>+'Total Linen March 31st'!R15</f>
        <v>0</v>
      </c>
      <c r="R15" s="207">
        <f>+'Total Linen March 31st'!S15</f>
        <v>0</v>
      </c>
      <c r="S15" s="207">
        <f>+'Total Linen March 31st'!T15</f>
        <v>0</v>
      </c>
      <c r="T15" s="207">
        <f>+'Total Linen March 31st'!U15</f>
        <v>0</v>
      </c>
      <c r="U15" s="207">
        <f>+'Total Linen March 31st'!V15</f>
        <v>0</v>
      </c>
      <c r="V15" s="207">
        <f>+'Total Linen March 31st'!W15</f>
        <v>0</v>
      </c>
      <c r="W15" s="207">
        <f>+'Total Linen March 31st'!X15</f>
        <v>0</v>
      </c>
    </row>
    <row r="16" spans="1:23" ht="24" customHeight="1" thickBot="1" x14ac:dyDescent="0.25">
      <c r="A16" s="416" t="s">
        <v>192</v>
      </c>
      <c r="B16" s="214">
        <f>B15*B13</f>
        <v>0</v>
      </c>
      <c r="C16" s="214">
        <f>C15*C13</f>
        <v>0</v>
      </c>
      <c r="D16" s="214">
        <f>D15*D13</f>
        <v>0</v>
      </c>
      <c r="E16" s="214">
        <f>E15*E13</f>
        <v>0</v>
      </c>
      <c r="F16" s="215"/>
      <c r="G16" s="214">
        <f>G15*G13</f>
        <v>0</v>
      </c>
      <c r="H16" s="214">
        <f>H15*H13</f>
        <v>0</v>
      </c>
      <c r="I16" s="214">
        <f>I15*I13</f>
        <v>0</v>
      </c>
      <c r="J16" s="214">
        <f>J15*J13</f>
        <v>0</v>
      </c>
      <c r="K16" s="215"/>
      <c r="L16" s="214">
        <f t="shared" ref="L16:U16" si="2">L15*L13</f>
        <v>0</v>
      </c>
      <c r="M16" s="214">
        <f t="shared" si="2"/>
        <v>0</v>
      </c>
      <c r="N16" s="214">
        <f t="shared" si="2"/>
        <v>0</v>
      </c>
      <c r="O16" s="214">
        <f t="shared" si="2"/>
        <v>0</v>
      </c>
      <c r="P16" s="214">
        <f>P15*P13</f>
        <v>0</v>
      </c>
      <c r="Q16" s="214">
        <f>Q15*Q13</f>
        <v>0</v>
      </c>
      <c r="R16" s="214">
        <f>R15*R13</f>
        <v>0</v>
      </c>
      <c r="S16" s="215"/>
      <c r="T16" s="214">
        <f t="shared" si="2"/>
        <v>0</v>
      </c>
      <c r="U16" s="214">
        <f t="shared" si="2"/>
        <v>0</v>
      </c>
      <c r="V16" s="214">
        <f>V15*V13</f>
        <v>0</v>
      </c>
      <c r="W16" s="214">
        <f>W15*W13</f>
        <v>0</v>
      </c>
    </row>
    <row r="17" spans="1:23" ht="3" customHeight="1" x14ac:dyDescent="0.25">
      <c r="A17" s="415" t="s">
        <v>61</v>
      </c>
      <c r="B17" s="26"/>
      <c r="C17" s="26"/>
      <c r="D17" s="26"/>
      <c r="E17" s="26"/>
      <c r="F17" s="26"/>
      <c r="G17" s="26"/>
      <c r="H17" s="26"/>
      <c r="I17" s="26"/>
      <c r="J17" s="26"/>
      <c r="K17" s="26"/>
      <c r="L17" s="26"/>
      <c r="M17" s="26"/>
      <c r="N17" s="26"/>
      <c r="O17" s="26"/>
      <c r="P17" s="26"/>
      <c r="Q17" s="26"/>
      <c r="R17" s="26"/>
      <c r="S17" s="26"/>
      <c r="T17" s="26"/>
      <c r="U17" s="26"/>
      <c r="V17" s="26"/>
      <c r="W17" s="26"/>
    </row>
    <row r="18" spans="1:23" ht="24" customHeight="1" x14ac:dyDescent="0.2">
      <c r="A18" s="403" t="s">
        <v>193</v>
      </c>
      <c r="B18" s="253">
        <f>+'Total Linen March 31st'!B10</f>
        <v>0</v>
      </c>
      <c r="C18" s="253">
        <f>+'Total Linen March 31st'!C10</f>
        <v>0</v>
      </c>
      <c r="D18" s="253">
        <f>+'Total Linen March 31st'!D10</f>
        <v>0</v>
      </c>
      <c r="E18" s="253">
        <f>+'Total Linen March 31st'!E10</f>
        <v>0</v>
      </c>
      <c r="F18" s="253">
        <f>+'Total Linen March 31st'!F10</f>
        <v>0</v>
      </c>
      <c r="G18" s="253">
        <f>+'Total Linen March 31st'!G10</f>
        <v>0</v>
      </c>
      <c r="H18" s="253">
        <f>+'Total Linen March 31st'!H10</f>
        <v>0</v>
      </c>
      <c r="I18" s="253">
        <f>+'Total Linen March 31st'!I10</f>
        <v>0</v>
      </c>
      <c r="J18" s="253">
        <f>+'Total Linen March 31st'!J10</f>
        <v>0</v>
      </c>
      <c r="K18" s="253">
        <f>+'Total Linen March 31st'!K10</f>
        <v>0</v>
      </c>
      <c r="L18" s="253">
        <f>+'Total Linen March 31st'!L10</f>
        <v>15</v>
      </c>
      <c r="M18" s="253">
        <f>+'Total Linen March 31st'!M10</f>
        <v>15</v>
      </c>
      <c r="N18" s="253">
        <f>+'Total Linen March 31st'!N10</f>
        <v>15</v>
      </c>
      <c r="O18" s="253">
        <f>+'Total Linen March 31st'!O10</f>
        <v>0</v>
      </c>
      <c r="P18" s="253">
        <f>+'Total Linen March 31st'!Q10</f>
        <v>15</v>
      </c>
      <c r="Q18" s="253">
        <f>+'Total Linen March 31st'!R10</f>
        <v>15</v>
      </c>
      <c r="R18" s="253">
        <f>+'Total Linen March 31st'!S10</f>
        <v>15</v>
      </c>
      <c r="S18" s="253">
        <f>+'Total Linen March 31st'!T10</f>
        <v>0</v>
      </c>
      <c r="T18" s="253">
        <f>+'Total Linen March 31st'!U10</f>
        <v>0</v>
      </c>
      <c r="U18" s="253">
        <f>+'Total Linen March 31st'!V10</f>
        <v>0</v>
      </c>
      <c r="V18" s="253">
        <f>+'Total Linen March 31st'!W10</f>
        <v>0</v>
      </c>
      <c r="W18" s="253">
        <f>+'Total Linen March 31st'!X10</f>
        <v>15</v>
      </c>
    </row>
    <row r="19" spans="1:23" ht="24" customHeight="1" x14ac:dyDescent="0.2">
      <c r="A19" s="408" t="s">
        <v>194</v>
      </c>
      <c r="B19" s="372">
        <f>+'Purchase Log'!C16</f>
        <v>0</v>
      </c>
      <c r="C19" s="372">
        <f>+'Purchase Log'!D16</f>
        <v>0</v>
      </c>
      <c r="D19" s="372">
        <f>+'Purchase Log'!E16</f>
        <v>0</v>
      </c>
      <c r="E19" s="372">
        <f>+'Purchase Log'!F16</f>
        <v>0</v>
      </c>
      <c r="F19" s="372">
        <f>+'Purchase Log'!G16</f>
        <v>0</v>
      </c>
      <c r="G19" s="372">
        <f>+'Purchase Log'!H16</f>
        <v>0</v>
      </c>
      <c r="H19" s="372">
        <f>+'Purchase Log'!I16</f>
        <v>0</v>
      </c>
      <c r="I19" s="372">
        <f>+'Purchase Log'!J16</f>
        <v>0</v>
      </c>
      <c r="J19" s="372">
        <f>+'Purchase Log'!K16</f>
        <v>0</v>
      </c>
      <c r="K19" s="372">
        <f>+'Purchase Log'!L16</f>
        <v>0</v>
      </c>
      <c r="L19" s="372">
        <f>+'Purchase Log'!M16</f>
        <v>0</v>
      </c>
      <c r="M19" s="372">
        <f>+'Purchase Log'!N16</f>
        <v>0</v>
      </c>
      <c r="N19" s="372">
        <f>+'Purchase Log'!O16</f>
        <v>0</v>
      </c>
      <c r="O19" s="372">
        <f>+'Purchase Log'!P16</f>
        <v>0</v>
      </c>
      <c r="P19" s="372">
        <f>+'Purchase Log'!R16</f>
        <v>0</v>
      </c>
      <c r="Q19" s="372">
        <f>+'Purchase Log'!S16</f>
        <v>0</v>
      </c>
      <c r="R19" s="372">
        <f>+'Purchase Log'!S16</f>
        <v>0</v>
      </c>
      <c r="S19" s="372">
        <f>+'Purchase Log'!U16</f>
        <v>0</v>
      </c>
      <c r="T19" s="372">
        <f>+'Purchase Log'!V16</f>
        <v>0</v>
      </c>
      <c r="U19" s="372">
        <f>+'Purchase Log'!W16</f>
        <v>0</v>
      </c>
      <c r="V19" s="372">
        <f>+'Purchase Log'!X16</f>
        <v>0</v>
      </c>
      <c r="W19" s="372">
        <f>+'Purchase Log'!Y16</f>
        <v>0</v>
      </c>
    </row>
    <row r="20" spans="1:23" ht="24" customHeight="1" x14ac:dyDescent="0.2">
      <c r="A20" s="403" t="s">
        <v>195</v>
      </c>
      <c r="B20" s="253">
        <f>B10</f>
        <v>0</v>
      </c>
      <c r="C20" s="253">
        <f>C10</f>
        <v>0</v>
      </c>
      <c r="D20" s="253">
        <f>D10</f>
        <v>0</v>
      </c>
      <c r="E20" s="253">
        <f>E10</f>
        <v>0</v>
      </c>
      <c r="F20" s="259"/>
      <c r="G20" s="253">
        <f>G10</f>
        <v>0</v>
      </c>
      <c r="H20" s="253">
        <f>H10</f>
        <v>0</v>
      </c>
      <c r="I20" s="253">
        <f>I10</f>
        <v>0</v>
      </c>
      <c r="J20" s="253">
        <f>J10</f>
        <v>0</v>
      </c>
      <c r="K20" s="259"/>
      <c r="L20" s="253">
        <f t="shared" ref="L20:U20" si="3">L10</f>
        <v>15</v>
      </c>
      <c r="M20" s="253">
        <f t="shared" si="3"/>
        <v>15</v>
      </c>
      <c r="N20" s="253">
        <f t="shared" si="3"/>
        <v>15</v>
      </c>
      <c r="O20" s="253">
        <f t="shared" si="3"/>
        <v>0</v>
      </c>
      <c r="P20" s="253">
        <f>P10</f>
        <v>15</v>
      </c>
      <c r="Q20" s="253">
        <f>Q10</f>
        <v>15</v>
      </c>
      <c r="R20" s="253">
        <f>R10</f>
        <v>15</v>
      </c>
      <c r="S20" s="259"/>
      <c r="T20" s="253">
        <f t="shared" si="3"/>
        <v>0</v>
      </c>
      <c r="U20" s="253">
        <f t="shared" si="3"/>
        <v>0</v>
      </c>
      <c r="V20" s="253">
        <f>V10</f>
        <v>0</v>
      </c>
      <c r="W20" s="253">
        <f>W10</f>
        <v>15</v>
      </c>
    </row>
    <row r="21" spans="1:23" ht="24" customHeight="1" x14ac:dyDescent="0.2">
      <c r="A21" s="403" t="s">
        <v>196</v>
      </c>
      <c r="B21" s="373">
        <f>B18+B19-B20</f>
        <v>0</v>
      </c>
      <c r="C21" s="373">
        <f>C18+C19-C20</f>
        <v>0</v>
      </c>
      <c r="D21" s="373">
        <f>D18+D19-D20</f>
        <v>0</v>
      </c>
      <c r="E21" s="373">
        <f>E18+E19-E20</f>
        <v>0</v>
      </c>
      <c r="F21" s="374"/>
      <c r="G21" s="373">
        <f>G18+G19-G20</f>
        <v>0</v>
      </c>
      <c r="H21" s="373">
        <f>H18+H19-H20</f>
        <v>0</v>
      </c>
      <c r="I21" s="373">
        <f>I18+I19-I20</f>
        <v>0</v>
      </c>
      <c r="J21" s="373">
        <f>J18+J19-J20</f>
        <v>0</v>
      </c>
      <c r="K21" s="374"/>
      <c r="L21" s="373">
        <f t="shared" ref="L21:U21" si="4">L18+L19-L20</f>
        <v>0</v>
      </c>
      <c r="M21" s="373">
        <f t="shared" si="4"/>
        <v>0</v>
      </c>
      <c r="N21" s="373">
        <f t="shared" si="4"/>
        <v>0</v>
      </c>
      <c r="O21" s="373">
        <f t="shared" si="4"/>
        <v>0</v>
      </c>
      <c r="P21" s="373">
        <f>P18+P19-P20</f>
        <v>0</v>
      </c>
      <c r="Q21" s="373">
        <f>Q18+Q19-Q20</f>
        <v>0</v>
      </c>
      <c r="R21" s="373">
        <f>R18+R19-R20</f>
        <v>0</v>
      </c>
      <c r="S21" s="374"/>
      <c r="T21" s="373">
        <f t="shared" si="4"/>
        <v>0</v>
      </c>
      <c r="U21" s="373">
        <f t="shared" si="4"/>
        <v>0</v>
      </c>
      <c r="V21" s="373">
        <f>V18+V19-V20</f>
        <v>0</v>
      </c>
      <c r="W21" s="373">
        <f>W18+W19-W20</f>
        <v>0</v>
      </c>
    </row>
    <row r="22" spans="1:23" s="89" customFormat="1" ht="24" customHeight="1" thickBot="1" x14ac:dyDescent="0.25">
      <c r="A22" s="409" t="s">
        <v>197</v>
      </c>
      <c r="B22" s="375">
        <f>+B21*B15</f>
        <v>0</v>
      </c>
      <c r="C22" s="375">
        <f>+C21*C15</f>
        <v>0</v>
      </c>
      <c r="D22" s="375">
        <f>+D21*D15</f>
        <v>0</v>
      </c>
      <c r="E22" s="375">
        <f>+E21*E15</f>
        <v>0</v>
      </c>
      <c r="F22" s="376"/>
      <c r="G22" s="375">
        <f t="shared" ref="G22:W22" si="5">+G21*G15</f>
        <v>0</v>
      </c>
      <c r="H22" s="375">
        <f t="shared" si="5"/>
        <v>0</v>
      </c>
      <c r="I22" s="375">
        <f t="shared" si="5"/>
        <v>0</v>
      </c>
      <c r="J22" s="375">
        <f t="shared" si="5"/>
        <v>0</v>
      </c>
      <c r="K22" s="375">
        <f t="shared" si="5"/>
        <v>0</v>
      </c>
      <c r="L22" s="375">
        <f t="shared" si="5"/>
        <v>0</v>
      </c>
      <c r="M22" s="375">
        <f t="shared" si="5"/>
        <v>0</v>
      </c>
      <c r="N22" s="375">
        <f t="shared" si="5"/>
        <v>0</v>
      </c>
      <c r="O22" s="375">
        <f t="shared" si="5"/>
        <v>0</v>
      </c>
      <c r="P22" s="375">
        <f t="shared" si="5"/>
        <v>0</v>
      </c>
      <c r="Q22" s="375">
        <f t="shared" ref="Q22" si="6">+Q21*Q15</f>
        <v>0</v>
      </c>
      <c r="R22" s="375">
        <f t="shared" si="5"/>
        <v>0</v>
      </c>
      <c r="S22" s="375">
        <f t="shared" si="5"/>
        <v>0</v>
      </c>
      <c r="T22" s="375">
        <f t="shared" si="5"/>
        <v>0</v>
      </c>
      <c r="U22" s="375">
        <f t="shared" si="5"/>
        <v>0</v>
      </c>
      <c r="V22" s="375">
        <f t="shared" si="5"/>
        <v>0</v>
      </c>
      <c r="W22" s="375">
        <f t="shared" si="5"/>
        <v>0</v>
      </c>
    </row>
    <row r="23" spans="1:23" ht="24" customHeight="1" thickBot="1" x14ac:dyDescent="0.3">
      <c r="A23" s="412" t="s">
        <v>198</v>
      </c>
      <c r="B23" s="596">
        <f>+SUMIF(B22:W22,"&gt;0")</f>
        <v>0</v>
      </c>
      <c r="C23" s="597"/>
      <c r="D23" s="217" t="s">
        <v>205</v>
      </c>
      <c r="E23" s="216"/>
      <c r="F23" s="152"/>
      <c r="G23" s="216"/>
      <c r="H23" s="219">
        <f>+COUNTIF(B22:W22,"&lt;0")</f>
        <v>0</v>
      </c>
      <c r="I23" s="218"/>
      <c r="J23" s="218"/>
      <c r="K23" s="218"/>
      <c r="L23" s="218"/>
      <c r="M23" s="216"/>
      <c r="N23" s="216"/>
      <c r="O23" s="216"/>
      <c r="P23" s="216"/>
      <c r="Q23" s="216"/>
      <c r="R23" s="216"/>
      <c r="S23" s="216"/>
      <c r="T23" s="216"/>
      <c r="U23" s="216"/>
      <c r="V23" s="216"/>
      <c r="W23" s="216"/>
    </row>
    <row r="24" spans="1:23" x14ac:dyDescent="0.2">
      <c r="A24" s="371"/>
    </row>
  </sheetData>
  <sheetProtection algorithmName="SHA-512" hashValue="e88kN0HweVDkoU9rwYJUVlTf/W+jjzZ7uaCyt/DrE7CgcUO9elED6M9mofAU0GGdO3thOeW39kjyvpNrfkVIHw==" saltValue="lhhxSc+cF2Yi+lCDjpk4Sw==" spinCount="100000" sheet="1" objects="1" scenarios="1"/>
  <protectedRanges>
    <protectedRange algorithmName="SHA-512" hashValue="FZlfkKjWGEvnXzTL0G8PBPDtc0h0ddVsiTgCxDUMB7ZrcRE66won5ahBgZ1pzN4QZYFiaInzm3XWqzSRkdphKQ==" saltValue="vNNYkPlVvebzHHGenmx4KQ==" spinCount="100000" sqref="B8:W8" name="CountEntry"/>
  </protectedRanges>
  <mergeCells count="29">
    <mergeCell ref="B23:C23"/>
    <mergeCell ref="H5:H6"/>
    <mergeCell ref="B5:B6"/>
    <mergeCell ref="C5:C6"/>
    <mergeCell ref="I5:I6"/>
    <mergeCell ref="J5:J6"/>
    <mergeCell ref="L5:L6"/>
    <mergeCell ref="M5:M6"/>
    <mergeCell ref="D5:D6"/>
    <mergeCell ref="E5:E6"/>
    <mergeCell ref="G5:G6"/>
    <mergeCell ref="K5:K6"/>
    <mergeCell ref="A1:W2"/>
    <mergeCell ref="G4:J4"/>
    <mergeCell ref="L4:O4"/>
    <mergeCell ref="P4:R4"/>
    <mergeCell ref="T4:W4"/>
    <mergeCell ref="B3:W3"/>
    <mergeCell ref="B4:E4"/>
    <mergeCell ref="N5:N6"/>
    <mergeCell ref="V5:V6"/>
    <mergeCell ref="W5:W6"/>
    <mergeCell ref="O5:O6"/>
    <mergeCell ref="P5:P6"/>
    <mergeCell ref="R5:R6"/>
    <mergeCell ref="T5:T6"/>
    <mergeCell ref="U5:U6"/>
    <mergeCell ref="Q5:Q6"/>
    <mergeCell ref="S5:S6"/>
  </mergeCells>
  <pageMargins left="0.7" right="0.7" top="0.5" bottom="0.5" header="0.3" footer="0.3"/>
  <pageSetup scale="93"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23"/>
  <sheetViews>
    <sheetView topLeftCell="A3" zoomScale="120" zoomScaleNormal="120" workbookViewId="0">
      <selection activeCell="AA8" sqref="AA8"/>
    </sheetView>
  </sheetViews>
  <sheetFormatPr defaultRowHeight="12.75" x14ac:dyDescent="0.2"/>
  <cols>
    <col min="1" max="1" width="22.85546875" style="3" customWidth="1"/>
    <col min="2" max="5" width="6.7109375" customWidth="1"/>
    <col min="6" max="6" width="0.7109375" customWidth="1"/>
    <col min="7" max="10" width="6.7109375" customWidth="1"/>
    <col min="11" max="11" width="0.7109375" customWidth="1"/>
    <col min="12" max="15" width="6.7109375" customWidth="1"/>
    <col min="16" max="16" width="0.7109375" customWidth="1"/>
    <col min="17" max="19" width="6.7109375" hidden="1" customWidth="1"/>
    <col min="20" max="20" width="0.7109375" customWidth="1"/>
    <col min="21" max="24" width="6.7109375" customWidth="1"/>
  </cols>
  <sheetData>
    <row r="1" spans="1:24" ht="12.75" customHeight="1" x14ac:dyDescent="0.2">
      <c r="A1" s="544" t="str">
        <f>+'Hotel Set up'!B2</f>
        <v>Enter Property Name and other Details in the Hotel Setup Tab</v>
      </c>
      <c r="B1" s="544"/>
      <c r="C1" s="544"/>
      <c r="D1" s="544"/>
      <c r="E1" s="544"/>
      <c r="F1" s="544"/>
      <c r="G1" s="544"/>
      <c r="H1" s="544"/>
      <c r="I1" s="544"/>
      <c r="J1" s="544"/>
      <c r="K1" s="544"/>
      <c r="L1" s="544"/>
      <c r="M1" s="544"/>
      <c r="N1" s="544"/>
      <c r="O1" s="544"/>
      <c r="P1" s="544"/>
      <c r="Q1" s="544"/>
      <c r="R1" s="544"/>
      <c r="S1" s="544"/>
      <c r="T1" s="544"/>
      <c r="U1" s="544"/>
      <c r="V1" s="544"/>
      <c r="W1" s="544"/>
      <c r="X1" s="544"/>
    </row>
    <row r="2" spans="1:24" ht="18.75" customHeight="1" x14ac:dyDescent="0.2">
      <c r="A2" s="544"/>
      <c r="B2" s="544"/>
      <c r="C2" s="544"/>
      <c r="D2" s="544"/>
      <c r="E2" s="544"/>
      <c r="F2" s="544"/>
      <c r="G2" s="544"/>
      <c r="H2" s="544"/>
      <c r="I2" s="544"/>
      <c r="J2" s="544"/>
      <c r="K2" s="544"/>
      <c r="L2" s="544"/>
      <c r="M2" s="544"/>
      <c r="N2" s="544"/>
      <c r="O2" s="544"/>
      <c r="P2" s="544"/>
      <c r="Q2" s="544"/>
      <c r="R2" s="544"/>
      <c r="S2" s="544"/>
      <c r="T2" s="544"/>
      <c r="U2" s="544"/>
      <c r="V2" s="544"/>
      <c r="W2" s="544"/>
      <c r="X2" s="544"/>
    </row>
    <row r="3" spans="1:24" ht="36" customHeight="1" thickBot="1" x14ac:dyDescent="0.4">
      <c r="B3" s="572" t="s">
        <v>206</v>
      </c>
      <c r="C3" s="572"/>
      <c r="D3" s="572"/>
      <c r="E3" s="572"/>
      <c r="F3" s="572"/>
      <c r="G3" s="572"/>
      <c r="H3" s="572"/>
      <c r="I3" s="572"/>
      <c r="J3" s="572"/>
      <c r="K3" s="572"/>
      <c r="L3" s="572"/>
      <c r="M3" s="572"/>
      <c r="N3" s="572"/>
      <c r="O3" s="572"/>
      <c r="P3" s="572"/>
      <c r="Q3" s="572"/>
      <c r="R3" s="572"/>
      <c r="S3" s="572"/>
      <c r="T3" s="572"/>
      <c r="U3" s="572"/>
      <c r="V3" s="572"/>
      <c r="W3" s="572"/>
      <c r="X3" s="572"/>
    </row>
    <row r="4" spans="1:24" ht="13.5" customHeight="1" thickBot="1" x14ac:dyDescent="0.25">
      <c r="B4" s="565" t="s">
        <v>103</v>
      </c>
      <c r="C4" s="566"/>
      <c r="D4" s="566"/>
      <c r="E4" s="566"/>
      <c r="F4" s="25"/>
      <c r="G4" s="560" t="s">
        <v>79</v>
      </c>
      <c r="H4" s="561"/>
      <c r="I4" s="561"/>
      <c r="J4" s="562"/>
      <c r="K4" s="25"/>
      <c r="L4" s="583" t="s">
        <v>80</v>
      </c>
      <c r="M4" s="584"/>
      <c r="N4" s="584"/>
      <c r="O4" s="585"/>
      <c r="P4" s="25"/>
      <c r="Q4" s="581" t="s">
        <v>104</v>
      </c>
      <c r="R4" s="582"/>
      <c r="S4" s="582"/>
      <c r="T4" s="25"/>
      <c r="U4" s="557" t="s">
        <v>178</v>
      </c>
      <c r="V4" s="558"/>
      <c r="W4" s="558"/>
      <c r="X4" s="559"/>
    </row>
    <row r="5" spans="1:24" s="1" customFormat="1" ht="10.5" customHeight="1" x14ac:dyDescent="0.2">
      <c r="A5" s="213"/>
      <c r="B5" s="549" t="str">
        <f>+'Total Linen March 31st'!B5</f>
        <v>Wash Cloths</v>
      </c>
      <c r="C5" s="551" t="str">
        <f>+'Total Linen March 31st'!C5</f>
        <v>Hand Towels</v>
      </c>
      <c r="D5" s="551" t="str">
        <f>+'Total Linen March 31st'!D5</f>
        <v xml:space="preserve"> Bath Towels</v>
      </c>
      <c r="E5" s="551" t="str">
        <f>+'Total Linen March 31st'!E5</f>
        <v>Bath Mats</v>
      </c>
      <c r="F5" s="29">
        <f>+'Total Linen March 31st'!F5</f>
        <v>0</v>
      </c>
      <c r="G5" s="592" t="str">
        <f>+'Total Linen March 31st'!G5</f>
        <v>Flat  Sheets</v>
      </c>
      <c r="H5" s="600" t="str">
        <f>+'Total Linen March 31st'!H5</f>
        <v>Fitted Sheets</v>
      </c>
      <c r="I5" s="600" t="str">
        <f>+'Total Linen March 31st'!I5</f>
        <v>Duvets /       Comforters</v>
      </c>
      <c r="J5" s="602" t="str">
        <f>+'Total Linen March 31st'!J5</f>
        <v>Duvet Cover / Top Spread</v>
      </c>
      <c r="K5" s="28">
        <f>+'Total Linen March 31st'!K5</f>
        <v>0</v>
      </c>
      <c r="L5" s="549" t="str">
        <f>+'Total Linen March 31st'!L5</f>
        <v>Flat Sheets</v>
      </c>
      <c r="M5" s="551" t="str">
        <f>+'Total Linen March 31st'!M5</f>
        <v>Fitted Sheet</v>
      </c>
      <c r="N5" s="551" t="str">
        <f>+'Total Linen March 31st'!N5</f>
        <v>Duvets /       Comforters</v>
      </c>
      <c r="O5" s="575" t="str">
        <f>+'Total Linen March 31st'!O5</f>
        <v>Duvet Cover / Top Spread</v>
      </c>
      <c r="P5" s="28">
        <f>+'Total Linen March 31st'!P5</f>
        <v>0</v>
      </c>
      <c r="Q5" s="608" t="str">
        <f>+'Total Linen March 31st'!Q5</f>
        <v>Blanket / Throw</v>
      </c>
      <c r="R5" s="598" t="str">
        <f>+'Total Linen March 31st'!R5</f>
        <v>Flat Sheets</v>
      </c>
      <c r="S5" s="598" t="str">
        <f>+'Total Linen March 31st'!S5</f>
        <v>Fitted Sheets</v>
      </c>
      <c r="T5" s="28">
        <f>+'Total Linen March 31st'!T5</f>
        <v>0</v>
      </c>
      <c r="U5" s="594" t="s">
        <v>183</v>
      </c>
      <c r="V5" s="604" t="s">
        <v>184</v>
      </c>
      <c r="W5" s="604" t="s">
        <v>185</v>
      </c>
      <c r="X5" s="606" t="s">
        <v>186</v>
      </c>
    </row>
    <row r="6" spans="1:24" s="1" customFormat="1" ht="28.5" customHeight="1" thickBot="1" x14ac:dyDescent="0.25">
      <c r="A6" s="213"/>
      <c r="B6" s="550"/>
      <c r="C6" s="552"/>
      <c r="D6" s="552"/>
      <c r="E6" s="552"/>
      <c r="F6" s="29"/>
      <c r="G6" s="593"/>
      <c r="H6" s="601"/>
      <c r="I6" s="601"/>
      <c r="J6" s="603"/>
      <c r="K6" s="28"/>
      <c r="L6" s="550"/>
      <c r="M6" s="552"/>
      <c r="N6" s="552"/>
      <c r="O6" s="576"/>
      <c r="P6" s="28"/>
      <c r="Q6" s="609"/>
      <c r="R6" s="599"/>
      <c r="S6" s="599"/>
      <c r="T6" s="28"/>
      <c r="U6" s="595"/>
      <c r="V6" s="605"/>
      <c r="W6" s="605"/>
      <c r="X6" s="607"/>
    </row>
    <row r="7" spans="1:24" ht="24" customHeight="1" thickBot="1" x14ac:dyDescent="0.25">
      <c r="A7" s="403" t="s">
        <v>187</v>
      </c>
      <c r="B7" s="357">
        <f>+'Total Linen March 31st'!B7</f>
        <v>0</v>
      </c>
      <c r="C7" s="357">
        <f>+'Total Linen March 31st'!C7</f>
        <v>0</v>
      </c>
      <c r="D7" s="357">
        <f>+'Total Linen March 31st'!D7</f>
        <v>0</v>
      </c>
      <c r="E7" s="357">
        <f>+'Total Linen March 31st'!E7</f>
        <v>0</v>
      </c>
      <c r="F7" s="358"/>
      <c r="G7" s="357">
        <f>+'Total Linen March 31st'!G7</f>
        <v>0</v>
      </c>
      <c r="H7" s="357">
        <f>+'Total Linen March 31st'!H7</f>
        <v>0</v>
      </c>
      <c r="I7" s="357">
        <f>+'Total Linen March 31st'!I7</f>
        <v>0</v>
      </c>
      <c r="J7" s="357">
        <f>+'Total Linen March 31st'!J7</f>
        <v>0</v>
      </c>
      <c r="K7" s="358"/>
      <c r="L7" s="357">
        <f>+'Total Linen March 31st'!L7</f>
        <v>15</v>
      </c>
      <c r="M7" s="357">
        <f>+'Total Linen March 31st'!M7</f>
        <v>15</v>
      </c>
      <c r="N7" s="357">
        <f>+'Total Linen March 31st'!N7</f>
        <v>15</v>
      </c>
      <c r="O7" s="359">
        <f>+'Total Linen March 31st'!O7</f>
        <v>0</v>
      </c>
      <c r="P7" s="358"/>
      <c r="Q7" s="360">
        <f>+'Total Linen March 31st'!Q7</f>
        <v>15</v>
      </c>
      <c r="R7" s="360">
        <f>+'Total Linen March 31st'!R7</f>
        <v>15</v>
      </c>
      <c r="S7" s="361">
        <f>+'Total Linen March 31st'!S7</f>
        <v>15</v>
      </c>
      <c r="T7" s="358"/>
      <c r="U7" s="362">
        <f>+'Total Linen March 31st'!U7</f>
        <v>0</v>
      </c>
      <c r="V7" s="363">
        <f>+'Total Linen March 31st'!V7</f>
        <v>0</v>
      </c>
      <c r="W7" s="364">
        <f>+'Total Linen March 31st'!W7</f>
        <v>0</v>
      </c>
      <c r="X7" s="365">
        <f>+'Total Linen March 31st'!X7</f>
        <v>15</v>
      </c>
    </row>
    <row r="8" spans="1:24" ht="24" customHeight="1" x14ac:dyDescent="0.2">
      <c r="A8" s="403" t="str">
        <f>+'Total Linen March 31st'!A8</f>
        <v>From Storage Count</v>
      </c>
      <c r="B8" s="367"/>
      <c r="C8" s="367"/>
      <c r="D8" s="367"/>
      <c r="E8" s="367"/>
      <c r="F8" s="358"/>
      <c r="G8" s="367"/>
      <c r="H8" s="367"/>
      <c r="I8" s="367"/>
      <c r="J8" s="367"/>
      <c r="K8" s="358"/>
      <c r="L8" s="367"/>
      <c r="M8" s="367"/>
      <c r="N8" s="367"/>
      <c r="O8" s="367"/>
      <c r="P8" s="358"/>
      <c r="Q8" s="368"/>
      <c r="R8" s="368"/>
      <c r="S8" s="368"/>
      <c r="T8" s="358"/>
      <c r="U8" s="368"/>
      <c r="V8" s="368"/>
      <c r="W8" s="368"/>
      <c r="X8" s="368"/>
    </row>
    <row r="9" spans="1:24" ht="4.5" customHeight="1" thickBot="1" x14ac:dyDescent="0.25">
      <c r="A9" s="404"/>
      <c r="B9" s="381"/>
      <c r="C9" s="381"/>
      <c r="D9" s="381"/>
      <c r="E9" s="381"/>
      <c r="F9" s="382"/>
      <c r="G9" s="381"/>
      <c r="H9" s="381"/>
      <c r="I9" s="381"/>
      <c r="J9" s="381"/>
      <c r="K9" s="382"/>
      <c r="L9" s="381"/>
      <c r="M9" s="381"/>
      <c r="N9" s="381"/>
      <c r="O9" s="381"/>
      <c r="P9" s="382"/>
      <c r="Q9" s="381"/>
      <c r="R9" s="381"/>
      <c r="S9" s="381"/>
      <c r="T9" s="382"/>
      <c r="U9" s="381"/>
      <c r="V9" s="381"/>
      <c r="W9" s="381"/>
      <c r="X9" s="381"/>
    </row>
    <row r="10" spans="1:24" ht="24" customHeight="1" thickTop="1" thickBot="1" x14ac:dyDescent="0.25">
      <c r="A10" s="403" t="s">
        <v>189</v>
      </c>
      <c r="B10" s="369">
        <f>SUM(B7:B8)</f>
        <v>0</v>
      </c>
      <c r="C10" s="369">
        <f>SUM(C7:C8)</f>
        <v>0</v>
      </c>
      <c r="D10" s="369">
        <f>SUM(D7:D8)</f>
        <v>0</v>
      </c>
      <c r="E10" s="369">
        <f>SUM(E7:E8)</f>
        <v>0</v>
      </c>
      <c r="F10" s="370"/>
      <c r="G10" s="369">
        <f>SUM(G7:G8)</f>
        <v>0</v>
      </c>
      <c r="H10" s="369">
        <f>SUM(H7:H8)</f>
        <v>0</v>
      </c>
      <c r="I10" s="369">
        <f>SUM(I7:I8)</f>
        <v>0</v>
      </c>
      <c r="J10" s="369">
        <f>SUM(J7:J8)</f>
        <v>0</v>
      </c>
      <c r="K10" s="370"/>
      <c r="L10" s="369">
        <f>SUM(L7:L8)</f>
        <v>15</v>
      </c>
      <c r="M10" s="369">
        <f>SUM(M7:M8)</f>
        <v>15</v>
      </c>
      <c r="N10" s="369">
        <f>SUM(N7:N8)</f>
        <v>15</v>
      </c>
      <c r="O10" s="369">
        <f>SUM(O7:O8)</f>
        <v>0</v>
      </c>
      <c r="P10" s="370"/>
      <c r="Q10" s="369">
        <f>SUM(Q7:Q8)</f>
        <v>15</v>
      </c>
      <c r="R10" s="369">
        <f>SUM(R7:R8)</f>
        <v>15</v>
      </c>
      <c r="S10" s="369">
        <f>SUM(S7:S8)</f>
        <v>15</v>
      </c>
      <c r="T10" s="370"/>
      <c r="U10" s="369">
        <f>SUM(U7:U8)</f>
        <v>0</v>
      </c>
      <c r="V10" s="369">
        <f>SUM(V7:V8)</f>
        <v>0</v>
      </c>
      <c r="W10" s="369">
        <f>SUM(W7:W8)</f>
        <v>0</v>
      </c>
      <c r="X10" s="369">
        <f>SUM(X7:X8)</f>
        <v>15</v>
      </c>
    </row>
    <row r="11" spans="1:24" ht="6.75" customHeight="1" thickTop="1" x14ac:dyDescent="0.2">
      <c r="A11" s="405" t="s">
        <v>61</v>
      </c>
      <c r="B11" s="254"/>
      <c r="C11" s="254"/>
      <c r="D11" s="254"/>
      <c r="E11" s="254"/>
      <c r="F11" s="259"/>
      <c r="G11" s="254"/>
      <c r="H11" s="254"/>
      <c r="I11" s="254"/>
      <c r="J11" s="254"/>
      <c r="K11" s="259"/>
      <c r="L11" s="254"/>
      <c r="M11" s="254"/>
      <c r="N11" s="254"/>
      <c r="O11" s="417"/>
      <c r="P11" s="259"/>
      <c r="Q11" s="418"/>
      <c r="R11" s="418"/>
      <c r="S11" s="254"/>
      <c r="T11" s="259"/>
      <c r="U11" s="418"/>
      <c r="V11" s="254"/>
      <c r="W11" s="254"/>
      <c r="X11" s="254"/>
    </row>
    <row r="12" spans="1:24" ht="24" customHeight="1" x14ac:dyDescent="0.2">
      <c r="A12" s="403" t="s">
        <v>190</v>
      </c>
      <c r="B12" s="377">
        <f>+B7*2.5</f>
        <v>0</v>
      </c>
      <c r="C12" s="377">
        <f>+C7*2.5</f>
        <v>0</v>
      </c>
      <c r="D12" s="377">
        <f>+D7*2.5</f>
        <v>0</v>
      </c>
      <c r="E12" s="377">
        <f>+E7*2.5</f>
        <v>0</v>
      </c>
      <c r="F12" s="378"/>
      <c r="G12" s="377">
        <f>+G7*2.5</f>
        <v>0</v>
      </c>
      <c r="H12" s="377">
        <f>+H7*2.5</f>
        <v>0</v>
      </c>
      <c r="I12" s="379">
        <f>+I7*2.5</f>
        <v>0</v>
      </c>
      <c r="J12" s="379">
        <f>+J7*2.5</f>
        <v>0</v>
      </c>
      <c r="K12" s="378"/>
      <c r="L12" s="377">
        <f>+(('Hotel Set up'!D19*2)*'Hotel Set up'!F9)+'Hotel Set up'!J19</f>
        <v>15</v>
      </c>
      <c r="M12" s="377">
        <f>+('Hotel Set up'!$D$19*2*'Hotel Set up'!$F$9)+'Hotel Set up'!$J$19</f>
        <v>15</v>
      </c>
      <c r="N12" s="379">
        <f>+N7*2.5</f>
        <v>37.5</v>
      </c>
      <c r="O12" s="379">
        <f>+O7*2.5</f>
        <v>0</v>
      </c>
      <c r="P12" s="378"/>
      <c r="Q12" s="377">
        <f>+Q7*2.5</f>
        <v>37.5</v>
      </c>
      <c r="R12" s="377">
        <f>+R7*2.5</f>
        <v>37.5</v>
      </c>
      <c r="S12" s="379">
        <f>+S7*2.5</f>
        <v>37.5</v>
      </c>
      <c r="T12" s="378"/>
      <c r="U12" s="377">
        <f>+U7*2.5</f>
        <v>0</v>
      </c>
      <c r="V12" s="377">
        <f>+V7*2.5</f>
        <v>0</v>
      </c>
      <c r="W12" s="377">
        <f>+W7*2.5</f>
        <v>0</v>
      </c>
      <c r="X12" s="377">
        <f>+X7*2.5</f>
        <v>37.5</v>
      </c>
    </row>
    <row r="13" spans="1:24" ht="24" customHeight="1" x14ac:dyDescent="0.2">
      <c r="A13" s="406" t="s">
        <v>191</v>
      </c>
      <c r="B13" s="208">
        <f>B10-B12</f>
        <v>0</v>
      </c>
      <c r="C13" s="208">
        <f>C10-C12</f>
        <v>0</v>
      </c>
      <c r="D13" s="208">
        <f>D10-D12</f>
        <v>0</v>
      </c>
      <c r="E13" s="208">
        <f>E10-E12</f>
        <v>0</v>
      </c>
      <c r="F13" s="209"/>
      <c r="G13" s="208">
        <f>G10-G12</f>
        <v>0</v>
      </c>
      <c r="H13" s="208">
        <f>H10-H12</f>
        <v>0</v>
      </c>
      <c r="I13" s="210">
        <f>I10-I12</f>
        <v>0</v>
      </c>
      <c r="J13" s="210">
        <f>J10-J12</f>
        <v>0</v>
      </c>
      <c r="K13" s="209"/>
      <c r="L13" s="208">
        <f t="shared" ref="L13:W13" si="0">L10-L12</f>
        <v>0</v>
      </c>
      <c r="M13" s="208">
        <f t="shared" si="0"/>
        <v>0</v>
      </c>
      <c r="N13" s="210">
        <f t="shared" si="0"/>
        <v>-22.5</v>
      </c>
      <c r="O13" s="210">
        <f t="shared" si="0"/>
        <v>0</v>
      </c>
      <c r="P13" s="209"/>
      <c r="Q13" s="208">
        <f>Q10-Q12</f>
        <v>-22.5</v>
      </c>
      <c r="R13" s="208">
        <f>R10-R12</f>
        <v>-22.5</v>
      </c>
      <c r="S13" s="210">
        <f>S10-S12</f>
        <v>-22.5</v>
      </c>
      <c r="T13" s="209"/>
      <c r="U13" s="208">
        <f t="shared" si="0"/>
        <v>0</v>
      </c>
      <c r="V13" s="208">
        <f t="shared" si="0"/>
        <v>0</v>
      </c>
      <c r="W13" s="208">
        <f t="shared" si="0"/>
        <v>0</v>
      </c>
      <c r="X13" s="208">
        <f>X10-X12</f>
        <v>-22.5</v>
      </c>
    </row>
    <row r="14" spans="1:24" ht="5.25" customHeight="1" x14ac:dyDescent="0.2">
      <c r="A14" s="411"/>
      <c r="B14" s="382"/>
      <c r="C14" s="382"/>
      <c r="D14" s="382"/>
      <c r="E14" s="382"/>
      <c r="F14" s="382"/>
      <c r="G14" s="382"/>
      <c r="H14" s="382"/>
      <c r="I14" s="382"/>
      <c r="J14" s="382"/>
      <c r="K14" s="382"/>
      <c r="L14" s="382"/>
      <c r="M14" s="382"/>
      <c r="N14" s="382"/>
      <c r="O14" s="382"/>
      <c r="P14" s="382"/>
      <c r="Q14" s="382"/>
      <c r="R14" s="382"/>
      <c r="S14" s="382"/>
      <c r="T14" s="382"/>
      <c r="U14" s="382"/>
      <c r="V14" s="382"/>
      <c r="W14" s="382"/>
      <c r="X14" s="382"/>
    </row>
    <row r="15" spans="1:24" ht="24" customHeight="1" thickBot="1" x14ac:dyDescent="0.25">
      <c r="A15" s="403" t="s">
        <v>129</v>
      </c>
      <c r="B15" s="380">
        <f>+'Total Linen June 30th'!B15</f>
        <v>0</v>
      </c>
      <c r="C15" s="380">
        <f>+'Total Linen June 30th'!C15</f>
        <v>0</v>
      </c>
      <c r="D15" s="380">
        <f>+'Total Linen June 30th'!D15</f>
        <v>0</v>
      </c>
      <c r="E15" s="380">
        <f>+'Total Linen June 30th'!E15</f>
        <v>0</v>
      </c>
      <c r="F15" s="380">
        <f>+'Total Linen June 30th'!F15</f>
        <v>0</v>
      </c>
      <c r="G15" s="380">
        <f>+'Total Linen June 30th'!G15</f>
        <v>0</v>
      </c>
      <c r="H15" s="380">
        <f>+'Total Linen June 30th'!H15</f>
        <v>0</v>
      </c>
      <c r="I15" s="380">
        <f>+'Total Linen June 30th'!I15</f>
        <v>0</v>
      </c>
      <c r="J15" s="380">
        <f>+'Total Linen June 30th'!J15</f>
        <v>0</v>
      </c>
      <c r="K15" s="380">
        <f>+'Total Linen June 30th'!K15</f>
        <v>0</v>
      </c>
      <c r="L15" s="380">
        <f>+'Total Linen June 30th'!L15</f>
        <v>0</v>
      </c>
      <c r="M15" s="380">
        <f>+'Total Linen June 30th'!M15</f>
        <v>0</v>
      </c>
      <c r="N15" s="380">
        <f>+'Total Linen June 30th'!N15</f>
        <v>0</v>
      </c>
      <c r="O15" s="380">
        <f>+'Total Linen June 30th'!O15</f>
        <v>0</v>
      </c>
      <c r="P15" s="380" t="e">
        <f>+'Total Linen June 30th'!#REF!</f>
        <v>#REF!</v>
      </c>
      <c r="Q15" s="380">
        <f>+'Total Linen June 30th'!P15</f>
        <v>0</v>
      </c>
      <c r="R15" s="380">
        <f>+'Total Linen June 30th'!Q15</f>
        <v>0</v>
      </c>
      <c r="S15" s="380">
        <f>+'Total Linen June 30th'!R15</f>
        <v>0</v>
      </c>
      <c r="T15" s="380">
        <f>+'Total Linen June 30th'!S15</f>
        <v>0</v>
      </c>
      <c r="U15" s="380">
        <f>+'Total Linen June 30th'!T15</f>
        <v>0</v>
      </c>
      <c r="V15" s="380">
        <f>+'Total Linen June 30th'!U15</f>
        <v>0</v>
      </c>
      <c r="W15" s="380">
        <f>+'Total Linen June 30th'!V15</f>
        <v>0</v>
      </c>
      <c r="X15" s="380">
        <f>+'Total Linen June 30th'!W15</f>
        <v>0</v>
      </c>
    </row>
    <row r="16" spans="1:24" ht="24" customHeight="1" thickBot="1" x14ac:dyDescent="0.25">
      <c r="A16" s="406" t="s">
        <v>192</v>
      </c>
      <c r="B16" s="214">
        <f>B15*B13</f>
        <v>0</v>
      </c>
      <c r="C16" s="214">
        <f>C15*C13</f>
        <v>0</v>
      </c>
      <c r="D16" s="214">
        <f>D15*D13</f>
        <v>0</v>
      </c>
      <c r="E16" s="214">
        <f>E15*E13</f>
        <v>0</v>
      </c>
      <c r="F16" s="215"/>
      <c r="G16" s="214">
        <f>G15*G13</f>
        <v>0</v>
      </c>
      <c r="H16" s="214">
        <f>H15*H13</f>
        <v>0</v>
      </c>
      <c r="I16" s="214">
        <f>I15*I13</f>
        <v>0</v>
      </c>
      <c r="J16" s="214">
        <f>J15*J13</f>
        <v>0</v>
      </c>
      <c r="K16" s="215"/>
      <c r="L16" s="214">
        <f t="shared" ref="L16:V16" si="1">L15*L13</f>
        <v>0</v>
      </c>
      <c r="M16" s="214">
        <f t="shared" si="1"/>
        <v>0</v>
      </c>
      <c r="N16" s="214">
        <f t="shared" si="1"/>
        <v>0</v>
      </c>
      <c r="O16" s="214">
        <f t="shared" si="1"/>
        <v>0</v>
      </c>
      <c r="P16" s="215"/>
      <c r="Q16" s="214">
        <f>Q15*Q13</f>
        <v>0</v>
      </c>
      <c r="R16" s="214">
        <f>R15*R13</f>
        <v>0</v>
      </c>
      <c r="S16" s="214">
        <f>S15*S13</f>
        <v>0</v>
      </c>
      <c r="T16" s="215"/>
      <c r="U16" s="214">
        <f t="shared" si="1"/>
        <v>0</v>
      </c>
      <c r="V16" s="214">
        <f t="shared" si="1"/>
        <v>0</v>
      </c>
      <c r="W16" s="214">
        <f>W15*W13</f>
        <v>0</v>
      </c>
      <c r="X16" s="214">
        <f>X15*X13</f>
        <v>0</v>
      </c>
    </row>
    <row r="17" spans="1:24" ht="6.75" customHeight="1" x14ac:dyDescent="0.2">
      <c r="A17" s="411" t="s">
        <v>61</v>
      </c>
      <c r="B17" s="259"/>
      <c r="C17" s="259"/>
      <c r="D17" s="259"/>
      <c r="E17" s="259"/>
      <c r="F17" s="259"/>
      <c r="G17" s="259"/>
      <c r="H17" s="259"/>
      <c r="I17" s="259"/>
      <c r="J17" s="259"/>
      <c r="K17" s="259"/>
      <c r="L17" s="259"/>
      <c r="M17" s="259"/>
      <c r="N17" s="259"/>
      <c r="O17" s="259"/>
      <c r="P17" s="259"/>
      <c r="Q17" s="259"/>
      <c r="R17" s="259"/>
      <c r="S17" s="259"/>
      <c r="T17" s="259"/>
      <c r="U17" s="259"/>
      <c r="V17" s="259"/>
      <c r="W17" s="259"/>
      <c r="X17" s="259"/>
    </row>
    <row r="18" spans="1:24" ht="24" customHeight="1" x14ac:dyDescent="0.2">
      <c r="A18" s="403" t="s">
        <v>193</v>
      </c>
      <c r="B18" s="253">
        <f>+'Total Linen June 30th'!B10</f>
        <v>0</v>
      </c>
      <c r="C18" s="253">
        <f>+'Total Linen June 30th'!C10</f>
        <v>0</v>
      </c>
      <c r="D18" s="253">
        <f>+'Total Linen June 30th'!D10</f>
        <v>0</v>
      </c>
      <c r="E18" s="253">
        <f>+'Total Linen June 30th'!E10</f>
        <v>0</v>
      </c>
      <c r="F18" s="253">
        <f>+'Total Linen June 30th'!F10</f>
        <v>0</v>
      </c>
      <c r="G18" s="253">
        <f>+'Total Linen June 30th'!G10</f>
        <v>0</v>
      </c>
      <c r="H18" s="253">
        <f>+'Total Linen June 30th'!H10</f>
        <v>0</v>
      </c>
      <c r="I18" s="253">
        <f>+'Total Linen June 30th'!I10</f>
        <v>0</v>
      </c>
      <c r="J18" s="253">
        <f>+'Total Linen June 30th'!J10</f>
        <v>0</v>
      </c>
      <c r="K18" s="253">
        <f>+'Total Linen June 30th'!K10</f>
        <v>0</v>
      </c>
      <c r="L18" s="253">
        <f>+'Total Linen June 30th'!L10</f>
        <v>15</v>
      </c>
      <c r="M18" s="253">
        <f>+'Total Linen June 30th'!M10</f>
        <v>15</v>
      </c>
      <c r="N18" s="253">
        <f>+'Total Linen June 30th'!N10</f>
        <v>15</v>
      </c>
      <c r="O18" s="253">
        <f>+'Total Linen June 30th'!O10</f>
        <v>0</v>
      </c>
      <c r="P18" s="253" t="e">
        <f>+'Total Linen June 30th'!#REF!</f>
        <v>#REF!</v>
      </c>
      <c r="Q18" s="253">
        <f>+'Total Linen June 30th'!P10</f>
        <v>15</v>
      </c>
      <c r="R18" s="253">
        <f>+'Total Linen June 30th'!Q10</f>
        <v>15</v>
      </c>
      <c r="S18" s="253">
        <f>+'Total Linen June 30th'!R10</f>
        <v>15</v>
      </c>
      <c r="T18" s="253">
        <f>+'Total Linen June 30th'!S10</f>
        <v>0</v>
      </c>
      <c r="U18" s="253">
        <f>+'Total Linen June 30th'!T10</f>
        <v>0</v>
      </c>
      <c r="V18" s="253">
        <f>+'Total Linen June 30th'!U10</f>
        <v>0</v>
      </c>
      <c r="W18" s="253">
        <f>+'Total Linen June 30th'!V10</f>
        <v>0</v>
      </c>
      <c r="X18" s="253">
        <f>+'Total Linen June 30th'!W10</f>
        <v>15</v>
      </c>
    </row>
    <row r="19" spans="1:24" ht="24" customHeight="1" x14ac:dyDescent="0.2">
      <c r="A19" s="408" t="s">
        <v>194</v>
      </c>
      <c r="B19" s="372">
        <f>+'Purchase Log'!C10</f>
        <v>0</v>
      </c>
      <c r="C19" s="372">
        <f>+'Purchase Log'!D10</f>
        <v>0</v>
      </c>
      <c r="D19" s="372">
        <f>+'Purchase Log'!E10</f>
        <v>0</v>
      </c>
      <c r="E19" s="372">
        <f>+'Purchase Log'!F10</f>
        <v>0</v>
      </c>
      <c r="F19" s="358"/>
      <c r="G19" s="372">
        <f>+'Purchase Log'!H10</f>
        <v>0</v>
      </c>
      <c r="H19" s="372">
        <f>+'Purchase Log'!I10</f>
        <v>0</v>
      </c>
      <c r="I19" s="372">
        <f>+'Purchase Log'!J10</f>
        <v>0</v>
      </c>
      <c r="J19" s="372">
        <f>+'Purchase Log'!K10</f>
        <v>0</v>
      </c>
      <c r="K19" s="358"/>
      <c r="L19" s="372">
        <f>+'Purchase Log'!M10</f>
        <v>0</v>
      </c>
      <c r="M19" s="372">
        <f>+'Purchase Log'!N10</f>
        <v>0</v>
      </c>
      <c r="N19" s="372">
        <f>+'Purchase Log'!O10</f>
        <v>0</v>
      </c>
      <c r="O19" s="372">
        <f>+'Purchase Log'!P10</f>
        <v>0</v>
      </c>
      <c r="P19" s="358"/>
      <c r="Q19" s="372">
        <f>+'Purchase Log'!R10</f>
        <v>0</v>
      </c>
      <c r="R19" s="372">
        <f>+'Purchase Log'!S10</f>
        <v>0</v>
      </c>
      <c r="S19" s="372">
        <f>+'Purchase Log'!S10</f>
        <v>0</v>
      </c>
      <c r="T19" s="259"/>
      <c r="U19" s="372">
        <f>+'Purchase Log'!V10</f>
        <v>0</v>
      </c>
      <c r="V19" s="372">
        <f>+'Purchase Log'!W10</f>
        <v>0</v>
      </c>
      <c r="W19" s="372">
        <f>+'Purchase Log'!X10</f>
        <v>0</v>
      </c>
      <c r="X19" s="372">
        <f>+'Purchase Log'!Y10</f>
        <v>0</v>
      </c>
    </row>
    <row r="20" spans="1:24" ht="24" customHeight="1" x14ac:dyDescent="0.2">
      <c r="A20" s="403" t="s">
        <v>195</v>
      </c>
      <c r="B20" s="253">
        <f>B10</f>
        <v>0</v>
      </c>
      <c r="C20" s="253">
        <f>C10</f>
        <v>0</v>
      </c>
      <c r="D20" s="253">
        <f>D10</f>
        <v>0</v>
      </c>
      <c r="E20" s="253">
        <f>E10</f>
        <v>0</v>
      </c>
      <c r="F20" s="259"/>
      <c r="G20" s="253">
        <f>G10</f>
        <v>0</v>
      </c>
      <c r="H20" s="253">
        <f>H10</f>
        <v>0</v>
      </c>
      <c r="I20" s="253">
        <f>I10</f>
        <v>0</v>
      </c>
      <c r="J20" s="253">
        <f>J10</f>
        <v>0</v>
      </c>
      <c r="K20" s="259"/>
      <c r="L20" s="253">
        <f t="shared" ref="L20:V20" si="2">L10</f>
        <v>15</v>
      </c>
      <c r="M20" s="253">
        <f t="shared" si="2"/>
        <v>15</v>
      </c>
      <c r="N20" s="253">
        <f t="shared" si="2"/>
        <v>15</v>
      </c>
      <c r="O20" s="253">
        <f t="shared" si="2"/>
        <v>0</v>
      </c>
      <c r="P20" s="259"/>
      <c r="Q20" s="253">
        <f>Q10</f>
        <v>15</v>
      </c>
      <c r="R20" s="253">
        <f>R10</f>
        <v>15</v>
      </c>
      <c r="S20" s="253">
        <f>S10</f>
        <v>15</v>
      </c>
      <c r="T20" s="259"/>
      <c r="U20" s="253">
        <f t="shared" si="2"/>
        <v>0</v>
      </c>
      <c r="V20" s="253">
        <f t="shared" si="2"/>
        <v>0</v>
      </c>
      <c r="W20" s="253">
        <f>W10</f>
        <v>0</v>
      </c>
      <c r="X20" s="253">
        <f>X10</f>
        <v>15</v>
      </c>
    </row>
    <row r="21" spans="1:24" ht="24" customHeight="1" x14ac:dyDescent="0.2">
      <c r="A21" s="403" t="s">
        <v>196</v>
      </c>
      <c r="B21" s="373">
        <f>B18+B19-B20</f>
        <v>0</v>
      </c>
      <c r="C21" s="373">
        <f>C18+C19-C20</f>
        <v>0</v>
      </c>
      <c r="D21" s="373">
        <f>D18+D19-D20</f>
        <v>0</v>
      </c>
      <c r="E21" s="373">
        <f>E18+E19-E20</f>
        <v>0</v>
      </c>
      <c r="F21" s="374"/>
      <c r="G21" s="373">
        <f>G18+G19-G20</f>
        <v>0</v>
      </c>
      <c r="H21" s="373">
        <f>H18+H19-H20</f>
        <v>0</v>
      </c>
      <c r="I21" s="373">
        <f>I18+I19-I20</f>
        <v>0</v>
      </c>
      <c r="J21" s="373">
        <f>J18+J19-J20</f>
        <v>0</v>
      </c>
      <c r="K21" s="374"/>
      <c r="L21" s="373">
        <f t="shared" ref="L21:V21" si="3">L18+L19-L20</f>
        <v>0</v>
      </c>
      <c r="M21" s="373">
        <f t="shared" si="3"/>
        <v>0</v>
      </c>
      <c r="N21" s="373">
        <f t="shared" si="3"/>
        <v>0</v>
      </c>
      <c r="O21" s="373">
        <f t="shared" si="3"/>
        <v>0</v>
      </c>
      <c r="P21" s="374"/>
      <c r="Q21" s="373">
        <f>Q18+Q19-Q20</f>
        <v>0</v>
      </c>
      <c r="R21" s="373">
        <f>R18+R19-R20</f>
        <v>0</v>
      </c>
      <c r="S21" s="373">
        <f>S18+S19-S20</f>
        <v>0</v>
      </c>
      <c r="T21" s="374"/>
      <c r="U21" s="373">
        <f t="shared" si="3"/>
        <v>0</v>
      </c>
      <c r="V21" s="373">
        <f t="shared" si="3"/>
        <v>0</v>
      </c>
      <c r="W21" s="373">
        <f>W18+W19-W20</f>
        <v>0</v>
      </c>
      <c r="X21" s="373">
        <f>X18+X19-X20</f>
        <v>0</v>
      </c>
    </row>
    <row r="22" spans="1:24" s="89" customFormat="1" ht="24" customHeight="1" thickBot="1" x14ac:dyDescent="0.25">
      <c r="A22" s="409" t="s">
        <v>197</v>
      </c>
      <c r="B22" s="375">
        <f>+B21*B15</f>
        <v>0</v>
      </c>
      <c r="C22" s="375">
        <f>+C21*C15</f>
        <v>0</v>
      </c>
      <c r="D22" s="375">
        <f>+D21*D15</f>
        <v>0</v>
      </c>
      <c r="E22" s="375">
        <f>+E21*E15</f>
        <v>0</v>
      </c>
      <c r="F22" s="376"/>
      <c r="G22" s="375">
        <f t="shared" ref="G22:X22" si="4">+G21*G15</f>
        <v>0</v>
      </c>
      <c r="H22" s="375">
        <f t="shared" si="4"/>
        <v>0</v>
      </c>
      <c r="I22" s="375">
        <f t="shared" si="4"/>
        <v>0</v>
      </c>
      <c r="J22" s="375">
        <f t="shared" si="4"/>
        <v>0</v>
      </c>
      <c r="K22" s="375">
        <f t="shared" si="4"/>
        <v>0</v>
      </c>
      <c r="L22" s="375">
        <f t="shared" si="4"/>
        <v>0</v>
      </c>
      <c r="M22" s="375">
        <f t="shared" si="4"/>
        <v>0</v>
      </c>
      <c r="N22" s="375">
        <f t="shared" si="4"/>
        <v>0</v>
      </c>
      <c r="O22" s="375">
        <f t="shared" si="4"/>
        <v>0</v>
      </c>
      <c r="P22" s="375" t="e">
        <f t="shared" si="4"/>
        <v>#REF!</v>
      </c>
      <c r="Q22" s="375">
        <f t="shared" si="4"/>
        <v>0</v>
      </c>
      <c r="R22" s="375">
        <f t="shared" ref="R22" si="5">+R21*R15</f>
        <v>0</v>
      </c>
      <c r="S22" s="375">
        <f t="shared" si="4"/>
        <v>0</v>
      </c>
      <c r="T22" s="375">
        <f t="shared" si="4"/>
        <v>0</v>
      </c>
      <c r="U22" s="375">
        <f t="shared" si="4"/>
        <v>0</v>
      </c>
      <c r="V22" s="375">
        <f t="shared" si="4"/>
        <v>0</v>
      </c>
      <c r="W22" s="375">
        <f t="shared" si="4"/>
        <v>0</v>
      </c>
      <c r="X22" s="375">
        <f t="shared" si="4"/>
        <v>0</v>
      </c>
    </row>
    <row r="23" spans="1:24" ht="24" customHeight="1" thickBot="1" x14ac:dyDescent="0.25">
      <c r="A23" s="410" t="s">
        <v>198</v>
      </c>
      <c r="B23" s="596">
        <f>+SUMIF(B22:X22,"&gt;0")</f>
        <v>0</v>
      </c>
      <c r="C23" s="597"/>
      <c r="D23" s="217" t="s">
        <v>205</v>
      </c>
      <c r="E23" s="216"/>
      <c r="F23" s="152"/>
      <c r="G23" s="216"/>
      <c r="H23" s="219">
        <f>+COUNTIF(B22:X22,"&lt;0")</f>
        <v>0</v>
      </c>
      <c r="I23" s="218"/>
      <c r="J23" s="218"/>
      <c r="K23" s="218"/>
      <c r="L23" s="218"/>
      <c r="M23" s="216"/>
      <c r="N23" s="216"/>
      <c r="O23" s="216"/>
      <c r="P23" s="216"/>
      <c r="Q23" s="216"/>
      <c r="R23" s="216"/>
      <c r="S23" s="216"/>
      <c r="T23" s="216"/>
      <c r="U23" s="216"/>
      <c r="V23" s="216"/>
      <c r="W23" s="216"/>
      <c r="X23" s="216"/>
    </row>
  </sheetData>
  <sheetProtection algorithmName="SHA-512" hashValue="jGP8dsmGn3hPONbdQI1xfhUXT2DkaNbo9mcaB2YkxnaeQ9P3VOL4lvVjwoypL20fsBM7O4uE2HEa3D7er3Tjow==" saltValue="M1YHRNOFzgxuM9EDb4fGaA==" spinCount="100000" sheet="1" objects="1" scenarios="1"/>
  <protectedRanges>
    <protectedRange algorithmName="SHA-512" hashValue="WVY0JVBddzHLUKd4rYHVgQ/DCUtN9xyA+Ooa04TjUikdImyjZPhi7n3QvTaEybM2jVm94b5XFPAKiTnf0ZEtSA==" saltValue="m75MkyVdWHSVnKPGXOFJeQ==" spinCount="100000" sqref="B8:X8" name="CountEntry"/>
  </protectedRanges>
  <mergeCells count="27">
    <mergeCell ref="B4:E4"/>
    <mergeCell ref="B23:C23"/>
    <mergeCell ref="H5:H6"/>
    <mergeCell ref="A1:X2"/>
    <mergeCell ref="G4:J4"/>
    <mergeCell ref="L4:O4"/>
    <mergeCell ref="Q4:S4"/>
    <mergeCell ref="U4:X4"/>
    <mergeCell ref="B3:X3"/>
    <mergeCell ref="W5:W6"/>
    <mergeCell ref="X5:X6"/>
    <mergeCell ref="O5:O6"/>
    <mergeCell ref="Q5:Q6"/>
    <mergeCell ref="S5:S6"/>
    <mergeCell ref="U5:U6"/>
    <mergeCell ref="V5:V6"/>
    <mergeCell ref="R5:R6"/>
    <mergeCell ref="B5:B6"/>
    <mergeCell ref="C5:C6"/>
    <mergeCell ref="N5:N6"/>
    <mergeCell ref="I5:I6"/>
    <mergeCell ref="J5:J6"/>
    <mergeCell ref="L5:L6"/>
    <mergeCell ref="M5:M6"/>
    <mergeCell ref="D5:D6"/>
    <mergeCell ref="E5:E6"/>
    <mergeCell ref="G5:G6"/>
  </mergeCells>
  <conditionalFormatting sqref="B12:S13">
    <cfRule type="cellIs" dxfId="0" priority="1" stopIfTrue="1" operator="lessThan">
      <formula>0</formula>
    </cfRule>
  </conditionalFormatting>
  <pageMargins left="0.2" right="0.2" top="0.25" bottom="0.25" header="0.3" footer="0.3"/>
  <pageSetup fitToWidth="0" fitToHeight="0" orientation="landscape" horizontalDpi="300" verticalDpi="3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23"/>
  <sheetViews>
    <sheetView zoomScale="120" zoomScaleNormal="120" workbookViewId="0">
      <selection activeCell="AB12" sqref="AB12"/>
    </sheetView>
  </sheetViews>
  <sheetFormatPr defaultRowHeight="12.75" x14ac:dyDescent="0.2"/>
  <cols>
    <col min="1" max="1" width="21.85546875" style="3" customWidth="1"/>
    <col min="2" max="5" width="6.7109375" customWidth="1"/>
    <col min="6" max="6" width="0.7109375" customWidth="1"/>
    <col min="7" max="10" width="6.7109375" customWidth="1"/>
    <col min="11" max="11" width="0.7109375" customWidth="1"/>
    <col min="12" max="15" width="6.7109375" customWidth="1"/>
    <col min="16" max="16" width="0.7109375" customWidth="1"/>
    <col min="17" max="19" width="6.7109375" hidden="1" customWidth="1"/>
    <col min="20" max="20" width="0.140625" customWidth="1"/>
    <col min="21" max="24" width="6.7109375" customWidth="1"/>
  </cols>
  <sheetData>
    <row r="1" spans="1:24" ht="12.75" customHeight="1" x14ac:dyDescent="0.2">
      <c r="A1" s="544" t="str">
        <f>+'Hotel Set up'!B2</f>
        <v>Enter Property Name and other Details in the Hotel Setup Tab</v>
      </c>
      <c r="B1" s="544"/>
      <c r="C1" s="544"/>
      <c r="D1" s="544"/>
      <c r="E1" s="544"/>
      <c r="F1" s="544"/>
      <c r="G1" s="544"/>
      <c r="H1" s="544"/>
      <c r="I1" s="544"/>
      <c r="J1" s="544"/>
      <c r="K1" s="544"/>
      <c r="L1" s="544"/>
      <c r="M1" s="544"/>
      <c r="N1" s="544"/>
      <c r="O1" s="544"/>
      <c r="P1" s="544"/>
      <c r="Q1" s="544"/>
      <c r="R1" s="544"/>
      <c r="S1" s="544"/>
      <c r="T1" s="544"/>
      <c r="U1" s="544"/>
      <c r="V1" s="544"/>
      <c r="W1" s="544"/>
      <c r="X1" s="544"/>
    </row>
    <row r="2" spans="1:24" ht="12.75" customHeight="1" x14ac:dyDescent="0.2">
      <c r="A2" s="544"/>
      <c r="B2" s="544"/>
      <c r="C2" s="544"/>
      <c r="D2" s="544"/>
      <c r="E2" s="544"/>
      <c r="F2" s="544"/>
      <c r="G2" s="544"/>
      <c r="H2" s="544"/>
      <c r="I2" s="544"/>
      <c r="J2" s="544"/>
      <c r="K2" s="544"/>
      <c r="L2" s="544"/>
      <c r="M2" s="544"/>
      <c r="N2" s="544"/>
      <c r="O2" s="544"/>
      <c r="P2" s="544"/>
      <c r="Q2" s="544"/>
      <c r="R2" s="544"/>
      <c r="S2" s="544"/>
      <c r="T2" s="544"/>
      <c r="U2" s="544"/>
      <c r="V2" s="544"/>
      <c r="W2" s="544"/>
      <c r="X2" s="544"/>
    </row>
    <row r="3" spans="1:24" ht="27" customHeight="1" thickBot="1" x14ac:dyDescent="0.4">
      <c r="B3" s="572" t="s">
        <v>207</v>
      </c>
      <c r="C3" s="572"/>
      <c r="D3" s="572"/>
      <c r="E3" s="572"/>
      <c r="F3" s="572"/>
      <c r="G3" s="572"/>
      <c r="H3" s="572"/>
      <c r="I3" s="572"/>
      <c r="J3" s="572"/>
      <c r="K3" s="572"/>
      <c r="L3" s="572"/>
      <c r="M3" s="572"/>
      <c r="N3" s="572"/>
      <c r="O3" s="572"/>
      <c r="P3" s="572"/>
      <c r="Q3" s="572"/>
      <c r="R3" s="572"/>
      <c r="S3" s="572"/>
      <c r="T3" s="572"/>
      <c r="U3" s="572"/>
      <c r="V3" s="572"/>
      <c r="W3" s="572"/>
      <c r="X3" s="572"/>
    </row>
    <row r="4" spans="1:24" ht="13.5" customHeight="1" thickBot="1" x14ac:dyDescent="0.25">
      <c r="B4" s="565" t="s">
        <v>103</v>
      </c>
      <c r="C4" s="566"/>
      <c r="D4" s="566"/>
      <c r="E4" s="566"/>
      <c r="F4" s="25"/>
      <c r="G4" s="560" t="s">
        <v>79</v>
      </c>
      <c r="H4" s="561"/>
      <c r="I4" s="561"/>
      <c r="J4" s="562"/>
      <c r="K4" s="25"/>
      <c r="L4" s="583" t="s">
        <v>80</v>
      </c>
      <c r="M4" s="584"/>
      <c r="N4" s="584"/>
      <c r="O4" s="585"/>
      <c r="P4" s="25"/>
      <c r="Q4" s="581" t="s">
        <v>104</v>
      </c>
      <c r="R4" s="582"/>
      <c r="S4" s="582"/>
      <c r="T4" s="25"/>
      <c r="U4" s="557" t="s">
        <v>178</v>
      </c>
      <c r="V4" s="558"/>
      <c r="W4" s="558"/>
      <c r="X4" s="559"/>
    </row>
    <row r="5" spans="1:24" s="1" customFormat="1" ht="10.5" customHeight="1" x14ac:dyDescent="0.2">
      <c r="A5" s="213"/>
      <c r="B5" s="586" t="str">
        <f>+'Total Linen March 31st'!B5</f>
        <v>Wash Cloths</v>
      </c>
      <c r="C5" s="553" t="str">
        <f>+'Total Linen March 31st'!C5</f>
        <v>Hand Towels</v>
      </c>
      <c r="D5" s="553" t="str">
        <f>+'Total Linen March 31st'!D5</f>
        <v xml:space="preserve"> Bath Towels</v>
      </c>
      <c r="E5" s="553" t="str">
        <f>+'Total Linen March 31st'!E5</f>
        <v>Bath Mats</v>
      </c>
      <c r="F5" s="29">
        <f>+'Total Linen March 31st'!F5</f>
        <v>0</v>
      </c>
      <c r="G5" s="617" t="str">
        <f>+'Total Linen March 31st'!G5</f>
        <v>Flat  Sheets</v>
      </c>
      <c r="H5" s="613" t="str">
        <f>+'Total Linen March 31st'!H5</f>
        <v>Fitted Sheets</v>
      </c>
      <c r="I5" s="613" t="str">
        <f>+'Total Linen March 31st'!I5</f>
        <v>Duvets /       Comforters</v>
      </c>
      <c r="J5" s="615" t="str">
        <f>+'Total Linen March 31st'!J5</f>
        <v>Duvet Cover / Top Spread</v>
      </c>
      <c r="K5" s="28">
        <f>+'Total Linen March 31st'!K5</f>
        <v>0</v>
      </c>
      <c r="L5" s="549" t="str">
        <f>+'Total Linen March 31st'!L5</f>
        <v>Flat Sheets</v>
      </c>
      <c r="M5" s="551" t="str">
        <f>+'Total Linen March 31st'!M5</f>
        <v>Fitted Sheet</v>
      </c>
      <c r="N5" s="551" t="str">
        <f>+'Total Linen March 31st'!N5</f>
        <v>Duvets /       Comforters</v>
      </c>
      <c r="O5" s="575" t="str">
        <f>+'Total Linen March 31st'!O5</f>
        <v>Duvet Cover / Top Spread</v>
      </c>
      <c r="P5" s="28">
        <f>+'Total Linen March 31st'!P5</f>
        <v>0</v>
      </c>
      <c r="Q5" s="608" t="str">
        <f>+'Total Linen March 31st'!Q5</f>
        <v>Blanket / Throw</v>
      </c>
      <c r="R5" s="608" t="str">
        <f>+'Total Linen March 31st'!R5</f>
        <v>Flat Sheets</v>
      </c>
      <c r="S5" s="598" t="str">
        <f>+'Total Linen March 31st'!S5</f>
        <v>Fitted Sheets</v>
      </c>
      <c r="T5" s="28">
        <f>+'Total Linen March 31st'!T5</f>
        <v>0</v>
      </c>
      <c r="U5" s="623" t="s">
        <v>183</v>
      </c>
      <c r="V5" s="619" t="s">
        <v>184</v>
      </c>
      <c r="W5" s="619" t="s">
        <v>185</v>
      </c>
      <c r="X5" s="621" t="s">
        <v>186</v>
      </c>
    </row>
    <row r="6" spans="1:24" s="1" customFormat="1" ht="30" customHeight="1" thickBot="1" x14ac:dyDescent="0.25">
      <c r="A6" s="213"/>
      <c r="B6" s="587"/>
      <c r="C6" s="554"/>
      <c r="D6" s="554"/>
      <c r="E6" s="554"/>
      <c r="F6" s="29"/>
      <c r="G6" s="618"/>
      <c r="H6" s="614"/>
      <c r="I6" s="614"/>
      <c r="J6" s="616"/>
      <c r="K6" s="28"/>
      <c r="L6" s="550"/>
      <c r="M6" s="552"/>
      <c r="N6" s="552"/>
      <c r="O6" s="576"/>
      <c r="P6" s="28"/>
      <c r="Q6" s="609"/>
      <c r="R6" s="609"/>
      <c r="S6" s="599"/>
      <c r="T6" s="28"/>
      <c r="U6" s="624"/>
      <c r="V6" s="620"/>
      <c r="W6" s="620"/>
      <c r="X6" s="622"/>
    </row>
    <row r="7" spans="1:24" ht="26.1" customHeight="1" thickBot="1" x14ac:dyDescent="0.25">
      <c r="A7" s="402" t="s">
        <v>187</v>
      </c>
      <c r="B7" s="357">
        <f>+'Total Linen March 31st'!B7</f>
        <v>0</v>
      </c>
      <c r="C7" s="357">
        <f>+'Total Linen March 31st'!C7</f>
        <v>0</v>
      </c>
      <c r="D7" s="357">
        <f>+'Total Linen March 31st'!D7</f>
        <v>0</v>
      </c>
      <c r="E7" s="357">
        <f>+'Total Linen March 31st'!E7</f>
        <v>0</v>
      </c>
      <c r="F7" s="358"/>
      <c r="G7" s="357">
        <f>+'Total Linen March 31st'!G7</f>
        <v>0</v>
      </c>
      <c r="H7" s="357">
        <f>+'Total Linen March 31st'!H7</f>
        <v>0</v>
      </c>
      <c r="I7" s="357">
        <f>+'Total Linen March 31st'!I7</f>
        <v>0</v>
      </c>
      <c r="J7" s="357">
        <f>+'Total Linen March 31st'!J7</f>
        <v>0</v>
      </c>
      <c r="K7" s="358"/>
      <c r="L7" s="357">
        <f>+'Total Linen March 31st'!L7</f>
        <v>15</v>
      </c>
      <c r="M7" s="357">
        <f>+'Total Linen March 31st'!M7</f>
        <v>15</v>
      </c>
      <c r="N7" s="357">
        <f>+'Total Linen March 31st'!N7</f>
        <v>15</v>
      </c>
      <c r="O7" s="359">
        <f>+'Total Linen March 31st'!O7</f>
        <v>0</v>
      </c>
      <c r="P7" s="358"/>
      <c r="Q7" s="360">
        <f>+'Total Linen March 31st'!Q7</f>
        <v>15</v>
      </c>
      <c r="R7" s="360">
        <f>+'Total Linen March 31st'!R7</f>
        <v>15</v>
      </c>
      <c r="S7" s="361">
        <f>+'Total Linen March 31st'!S7</f>
        <v>15</v>
      </c>
      <c r="T7" s="358"/>
      <c r="U7" s="362">
        <f>+'Total Linen March 31st'!U7</f>
        <v>0</v>
      </c>
      <c r="V7" s="363">
        <f>+'Total Linen March 31st'!V7</f>
        <v>0</v>
      </c>
      <c r="W7" s="364">
        <f>+'Total Linen March 31st'!W7</f>
        <v>0</v>
      </c>
      <c r="X7" s="365">
        <f>+'Total Linen March 31st'!X7</f>
        <v>15</v>
      </c>
    </row>
    <row r="8" spans="1:24" ht="26.1" customHeight="1" x14ac:dyDescent="0.2">
      <c r="A8" s="402" t="str">
        <f>+'Total Linen March 31st'!A8</f>
        <v>From Storage Count</v>
      </c>
      <c r="B8" s="367"/>
      <c r="C8" s="367"/>
      <c r="D8" s="367"/>
      <c r="E8" s="367"/>
      <c r="F8" s="358"/>
      <c r="G8" s="367"/>
      <c r="H8" s="367"/>
      <c r="I8" s="367"/>
      <c r="J8" s="367"/>
      <c r="K8" s="358"/>
      <c r="L8" s="367"/>
      <c r="M8" s="367"/>
      <c r="N8" s="367"/>
      <c r="O8" s="367"/>
      <c r="P8" s="358"/>
      <c r="Q8" s="368"/>
      <c r="R8" s="368"/>
      <c r="S8" s="368"/>
      <c r="T8" s="358"/>
      <c r="U8" s="368"/>
      <c r="V8" s="368"/>
      <c r="W8" s="368"/>
      <c r="X8" s="368"/>
    </row>
    <row r="9" spans="1:24" ht="4.5" customHeight="1" thickBot="1" x14ac:dyDescent="0.25">
      <c r="A9" s="419"/>
      <c r="B9" s="381"/>
      <c r="C9" s="381"/>
      <c r="D9" s="381"/>
      <c r="E9" s="381"/>
      <c r="F9" s="382"/>
      <c r="G9" s="381"/>
      <c r="H9" s="381"/>
      <c r="I9" s="381"/>
      <c r="J9" s="381"/>
      <c r="K9" s="382"/>
      <c r="L9" s="381"/>
      <c r="M9" s="381"/>
      <c r="N9" s="381"/>
      <c r="O9" s="381"/>
      <c r="P9" s="382"/>
      <c r="Q9" s="381"/>
      <c r="R9" s="381"/>
      <c r="S9" s="381"/>
      <c r="T9" s="382"/>
      <c r="U9" s="381"/>
      <c r="V9" s="381"/>
      <c r="W9" s="381"/>
      <c r="X9" s="381"/>
    </row>
    <row r="10" spans="1:24" ht="26.1" customHeight="1" thickTop="1" thickBot="1" x14ac:dyDescent="0.25">
      <c r="A10" s="402" t="s">
        <v>189</v>
      </c>
      <c r="B10" s="369">
        <f>SUM(B7:B8)</f>
        <v>0</v>
      </c>
      <c r="C10" s="369">
        <f>SUM(C7:C8)</f>
        <v>0</v>
      </c>
      <c r="D10" s="369">
        <f>SUM(D7:D8)</f>
        <v>0</v>
      </c>
      <c r="E10" s="369">
        <f>SUM(E7:E8)</f>
        <v>0</v>
      </c>
      <c r="F10" s="370"/>
      <c r="G10" s="369">
        <f>SUM(G7:G8)</f>
        <v>0</v>
      </c>
      <c r="H10" s="369">
        <f>SUM(H7:H8)</f>
        <v>0</v>
      </c>
      <c r="I10" s="369">
        <f>SUM(I7:I8)</f>
        <v>0</v>
      </c>
      <c r="J10" s="369">
        <f>SUM(J7:J8)</f>
        <v>0</v>
      </c>
      <c r="K10" s="370"/>
      <c r="L10" s="369">
        <f>SUM(L7:L8)</f>
        <v>15</v>
      </c>
      <c r="M10" s="369">
        <f>SUM(M7:M8)</f>
        <v>15</v>
      </c>
      <c r="N10" s="369">
        <f>SUM(N7:N8)</f>
        <v>15</v>
      </c>
      <c r="O10" s="369">
        <f>SUM(O7:O8)</f>
        <v>0</v>
      </c>
      <c r="P10" s="370"/>
      <c r="Q10" s="369">
        <f>SUM(Q7:Q8)</f>
        <v>15</v>
      </c>
      <c r="R10" s="369">
        <f>SUM(R7:R8)</f>
        <v>15</v>
      </c>
      <c r="S10" s="369">
        <f>SUM(S7:S8)</f>
        <v>15</v>
      </c>
      <c r="T10" s="370"/>
      <c r="U10" s="369">
        <f>SUM(U7:U8)</f>
        <v>0</v>
      </c>
      <c r="V10" s="369">
        <f>SUM(V7:V8)</f>
        <v>0</v>
      </c>
      <c r="W10" s="369">
        <f>SUM(W7:W8)</f>
        <v>0</v>
      </c>
      <c r="X10" s="369">
        <f>SUM(X7:X8)</f>
        <v>15</v>
      </c>
    </row>
    <row r="11" spans="1:24" ht="6.75" customHeight="1" thickTop="1" x14ac:dyDescent="0.2">
      <c r="A11" s="420" t="s">
        <v>61</v>
      </c>
      <c r="B11" s="10"/>
      <c r="C11" s="10"/>
      <c r="D11" s="10"/>
      <c r="E11" s="10"/>
      <c r="F11" s="26"/>
      <c r="G11" s="10"/>
      <c r="H11" s="10"/>
      <c r="I11" s="10"/>
      <c r="J11" s="10"/>
      <c r="K11" s="26"/>
      <c r="L11" s="10"/>
      <c r="M11" s="10"/>
      <c r="N11" s="10"/>
      <c r="O11" s="87"/>
      <c r="P11" s="26"/>
      <c r="Q11" s="88"/>
      <c r="R11" s="88"/>
      <c r="S11" s="10"/>
      <c r="T11" s="26"/>
      <c r="U11" s="88"/>
      <c r="V11" s="10"/>
      <c r="W11" s="10"/>
      <c r="X11" s="10"/>
    </row>
    <row r="12" spans="1:24" ht="26.1" customHeight="1" x14ac:dyDescent="0.2">
      <c r="A12" s="402" t="s">
        <v>190</v>
      </c>
      <c r="B12" s="377">
        <f>+B7*2.5</f>
        <v>0</v>
      </c>
      <c r="C12" s="377">
        <f>+C7*2.5</f>
        <v>0</v>
      </c>
      <c r="D12" s="377">
        <f>+D7*2.5</f>
        <v>0</v>
      </c>
      <c r="E12" s="377">
        <f>+E7*2.5</f>
        <v>0</v>
      </c>
      <c r="F12" s="378"/>
      <c r="G12" s="377">
        <f>+G7*2.5</f>
        <v>0</v>
      </c>
      <c r="H12" s="377">
        <f>+H7*2.5</f>
        <v>0</v>
      </c>
      <c r="I12" s="379">
        <f>+I7*2.5</f>
        <v>0</v>
      </c>
      <c r="J12" s="379">
        <f>+J7*2.5</f>
        <v>0</v>
      </c>
      <c r="K12" s="378"/>
      <c r="L12" s="377">
        <f>+(('Hotel Set up'!D19*2)*'Hotel Set up'!F9)+'Hotel Set up'!J19</f>
        <v>15</v>
      </c>
      <c r="M12" s="377">
        <f>+('Hotel Set up'!$D$19*2*'Hotel Set up'!$F$9)+'Hotel Set up'!$J$19</f>
        <v>15</v>
      </c>
      <c r="N12" s="379">
        <f>+N7*2.5</f>
        <v>37.5</v>
      </c>
      <c r="O12" s="379">
        <f>+O7*2.5</f>
        <v>0</v>
      </c>
      <c r="P12" s="378"/>
      <c r="Q12" s="377">
        <f>+Q7*2.5</f>
        <v>37.5</v>
      </c>
      <c r="R12" s="377">
        <f>+R7*2.5</f>
        <v>37.5</v>
      </c>
      <c r="S12" s="379">
        <f>+S7*2.5</f>
        <v>37.5</v>
      </c>
      <c r="T12" s="378"/>
      <c r="U12" s="377">
        <f>+U7*2.5</f>
        <v>0</v>
      </c>
      <c r="V12" s="377">
        <f>+V7*2.5</f>
        <v>0</v>
      </c>
      <c r="W12" s="377">
        <f>+W7*2.5</f>
        <v>0</v>
      </c>
      <c r="X12" s="377">
        <f>+X7*2.5</f>
        <v>37.5</v>
      </c>
    </row>
    <row r="13" spans="1:24" ht="26.1" customHeight="1" x14ac:dyDescent="0.2">
      <c r="A13" s="421" t="s">
        <v>191</v>
      </c>
      <c r="B13" s="208">
        <f>B10-B12</f>
        <v>0</v>
      </c>
      <c r="C13" s="208">
        <f>C10-C12</f>
        <v>0</v>
      </c>
      <c r="D13" s="208">
        <f>D10-D12</f>
        <v>0</v>
      </c>
      <c r="E13" s="208">
        <f>E10-E12</f>
        <v>0</v>
      </c>
      <c r="F13" s="209"/>
      <c r="G13" s="208">
        <f>G10-G12</f>
        <v>0</v>
      </c>
      <c r="H13" s="208">
        <f>H10-H12</f>
        <v>0</v>
      </c>
      <c r="I13" s="210">
        <f>I10-I12</f>
        <v>0</v>
      </c>
      <c r="J13" s="210">
        <f>J10-J12</f>
        <v>0</v>
      </c>
      <c r="K13" s="209"/>
      <c r="L13" s="208">
        <f t="shared" ref="L13:W13" si="0">L10-L12</f>
        <v>0</v>
      </c>
      <c r="M13" s="208">
        <f t="shared" si="0"/>
        <v>0</v>
      </c>
      <c r="N13" s="210">
        <f t="shared" si="0"/>
        <v>-22.5</v>
      </c>
      <c r="O13" s="210">
        <f t="shared" si="0"/>
        <v>0</v>
      </c>
      <c r="P13" s="209"/>
      <c r="Q13" s="208">
        <f>Q10-Q12</f>
        <v>-22.5</v>
      </c>
      <c r="R13" s="208">
        <f>R10-R12</f>
        <v>-22.5</v>
      </c>
      <c r="S13" s="210">
        <f>S10-S12</f>
        <v>-22.5</v>
      </c>
      <c r="T13" s="209"/>
      <c r="U13" s="208">
        <f t="shared" si="0"/>
        <v>0</v>
      </c>
      <c r="V13" s="208">
        <f t="shared" si="0"/>
        <v>0</v>
      </c>
      <c r="W13" s="208">
        <f t="shared" si="0"/>
        <v>0</v>
      </c>
      <c r="X13" s="208">
        <f>X10-X12</f>
        <v>-22.5</v>
      </c>
    </row>
    <row r="14" spans="1:24" ht="5.25" customHeight="1" x14ac:dyDescent="0.2">
      <c r="A14" s="422"/>
      <c r="B14" s="25"/>
      <c r="C14" s="25"/>
      <c r="D14" s="25"/>
      <c r="E14" s="25"/>
      <c r="F14" s="25"/>
      <c r="G14" s="25"/>
      <c r="H14" s="25"/>
      <c r="I14" s="25"/>
      <c r="J14" s="25"/>
      <c r="K14" s="25"/>
      <c r="L14" s="25"/>
      <c r="M14" s="25"/>
      <c r="N14" s="25"/>
      <c r="O14" s="25"/>
      <c r="P14" s="25"/>
      <c r="Q14" s="25"/>
      <c r="R14" s="25"/>
      <c r="S14" s="25"/>
      <c r="T14" s="25"/>
      <c r="U14" s="25"/>
      <c r="V14" s="25"/>
      <c r="W14" s="25"/>
      <c r="X14" s="25"/>
    </row>
    <row r="15" spans="1:24" ht="26.1" customHeight="1" thickBot="1" x14ac:dyDescent="0.25">
      <c r="A15" s="402" t="s">
        <v>129</v>
      </c>
      <c r="B15" s="380">
        <f>+'Total Linen Sept 30th'!B15</f>
        <v>0</v>
      </c>
      <c r="C15" s="380">
        <f>+'Total Linen Sept 30th'!C15</f>
        <v>0</v>
      </c>
      <c r="D15" s="380">
        <f>+'Total Linen Sept 30th'!D15</f>
        <v>0</v>
      </c>
      <c r="E15" s="380">
        <f>+'Total Linen Sept 30th'!E15</f>
        <v>0</v>
      </c>
      <c r="F15" s="380">
        <f>+'Total Linen Sept 30th'!F15</f>
        <v>0</v>
      </c>
      <c r="G15" s="380">
        <f>+'Total Linen Sept 30th'!G15</f>
        <v>0</v>
      </c>
      <c r="H15" s="380">
        <f>+'Total Linen Sept 30th'!H15</f>
        <v>0</v>
      </c>
      <c r="I15" s="380">
        <f>+'Total Linen Sept 30th'!I15</f>
        <v>0</v>
      </c>
      <c r="J15" s="380">
        <f>+'Total Linen Sept 30th'!J15</f>
        <v>0</v>
      </c>
      <c r="K15" s="380">
        <f>+'Total Linen Sept 30th'!K15</f>
        <v>0</v>
      </c>
      <c r="L15" s="380">
        <f>+'Total Linen Sept 30th'!L15</f>
        <v>0</v>
      </c>
      <c r="M15" s="380">
        <f>+'Total Linen Sept 30th'!M15</f>
        <v>0</v>
      </c>
      <c r="N15" s="380">
        <f>+'Total Linen Sept 30th'!N15</f>
        <v>0</v>
      </c>
      <c r="O15" s="380">
        <f>+'Total Linen Sept 30th'!O15</f>
        <v>0</v>
      </c>
      <c r="P15" s="380" t="e">
        <f>+'Total Linen Sept 30th'!P15</f>
        <v>#REF!</v>
      </c>
      <c r="Q15" s="380">
        <f>+'Total Linen Sept 30th'!Q15</f>
        <v>0</v>
      </c>
      <c r="R15" s="380">
        <f>+'Total Linen Sept 30th'!R15</f>
        <v>0</v>
      </c>
      <c r="S15" s="380">
        <f>+'Total Linen Sept 30th'!S15</f>
        <v>0</v>
      </c>
      <c r="T15" s="380">
        <f>+'Total Linen Sept 30th'!T15</f>
        <v>0</v>
      </c>
      <c r="U15" s="380">
        <f>+'Total Linen Sept 30th'!U15</f>
        <v>0</v>
      </c>
      <c r="V15" s="380">
        <f>+'Total Linen Sept 30th'!V15</f>
        <v>0</v>
      </c>
      <c r="W15" s="380">
        <f>+'Total Linen Sept 30th'!W15</f>
        <v>0</v>
      </c>
      <c r="X15" s="380">
        <f>+'Total Linen Sept 30th'!X15</f>
        <v>0</v>
      </c>
    </row>
    <row r="16" spans="1:24" ht="26.1" customHeight="1" thickBot="1" x14ac:dyDescent="0.25">
      <c r="A16" s="421" t="s">
        <v>192</v>
      </c>
      <c r="B16" s="214">
        <f>B15*B13</f>
        <v>0</v>
      </c>
      <c r="C16" s="214">
        <f>C15*C13</f>
        <v>0</v>
      </c>
      <c r="D16" s="214">
        <f>D15*D13</f>
        <v>0</v>
      </c>
      <c r="E16" s="214">
        <f>E15*E13</f>
        <v>0</v>
      </c>
      <c r="F16" s="215"/>
      <c r="G16" s="214">
        <f>G15*G13</f>
        <v>0</v>
      </c>
      <c r="H16" s="214">
        <f>H15*H13</f>
        <v>0</v>
      </c>
      <c r="I16" s="214">
        <f>I15*I13</f>
        <v>0</v>
      </c>
      <c r="J16" s="214">
        <f>J15*J13</f>
        <v>0</v>
      </c>
      <c r="K16" s="215"/>
      <c r="L16" s="214">
        <f t="shared" ref="L16:V16" si="1">L15*L13</f>
        <v>0</v>
      </c>
      <c r="M16" s="214">
        <f t="shared" si="1"/>
        <v>0</v>
      </c>
      <c r="N16" s="214">
        <f t="shared" si="1"/>
        <v>0</v>
      </c>
      <c r="O16" s="214">
        <f t="shared" si="1"/>
        <v>0</v>
      </c>
      <c r="P16" s="215"/>
      <c r="Q16" s="214">
        <f>Q15*Q13</f>
        <v>0</v>
      </c>
      <c r="R16" s="214">
        <f>R15*R13</f>
        <v>0</v>
      </c>
      <c r="S16" s="214">
        <f>S15*S13</f>
        <v>0</v>
      </c>
      <c r="T16" s="215"/>
      <c r="U16" s="214">
        <f t="shared" si="1"/>
        <v>0</v>
      </c>
      <c r="V16" s="214">
        <f t="shared" si="1"/>
        <v>0</v>
      </c>
      <c r="W16" s="214">
        <f>W15*W13</f>
        <v>0</v>
      </c>
      <c r="X16" s="214">
        <f>X15*X13</f>
        <v>0</v>
      </c>
    </row>
    <row r="17" spans="1:24" ht="6.75" customHeight="1" x14ac:dyDescent="0.2">
      <c r="A17" s="422" t="s">
        <v>61</v>
      </c>
      <c r="B17" s="26"/>
      <c r="C17" s="26"/>
      <c r="D17" s="26"/>
      <c r="E17" s="26"/>
      <c r="F17" s="26"/>
      <c r="G17" s="26"/>
      <c r="H17" s="26"/>
      <c r="I17" s="26"/>
      <c r="J17" s="26"/>
      <c r="K17" s="26"/>
      <c r="L17" s="26"/>
      <c r="M17" s="26"/>
      <c r="N17" s="26"/>
      <c r="O17" s="26"/>
      <c r="P17" s="26"/>
      <c r="Q17" s="26"/>
      <c r="R17" s="26"/>
      <c r="S17" s="26"/>
      <c r="T17" s="26"/>
      <c r="U17" s="26"/>
      <c r="V17" s="26"/>
      <c r="W17" s="26"/>
      <c r="X17" s="26"/>
    </row>
    <row r="18" spans="1:24" ht="26.1" customHeight="1" x14ac:dyDescent="0.2">
      <c r="A18" s="402" t="s">
        <v>193</v>
      </c>
      <c r="B18" s="253">
        <f>+'Total Linen Sept 30th'!B10</f>
        <v>0</v>
      </c>
      <c r="C18" s="253">
        <f>+'Total Linen Sept 30th'!C10</f>
        <v>0</v>
      </c>
      <c r="D18" s="253">
        <f>+'Total Linen Sept 30th'!D10</f>
        <v>0</v>
      </c>
      <c r="E18" s="253">
        <f>+'Total Linen Sept 30th'!E10</f>
        <v>0</v>
      </c>
      <c r="F18" s="253">
        <f>+'Total Linen Sept 30th'!F10</f>
        <v>0</v>
      </c>
      <c r="G18" s="253">
        <f>+'Total Linen Sept 30th'!G10</f>
        <v>0</v>
      </c>
      <c r="H18" s="253">
        <f>+'Total Linen Sept 30th'!H10</f>
        <v>0</v>
      </c>
      <c r="I18" s="253">
        <f>+'Total Linen Sept 30th'!I10</f>
        <v>0</v>
      </c>
      <c r="J18" s="253">
        <f>+'Total Linen Sept 30th'!J10</f>
        <v>0</v>
      </c>
      <c r="K18" s="253">
        <f>+'Total Linen Sept 30th'!K10</f>
        <v>0</v>
      </c>
      <c r="L18" s="253">
        <f>+'Total Linen Sept 30th'!L10</f>
        <v>15</v>
      </c>
      <c r="M18" s="253">
        <f>+'Total Linen Sept 30th'!M10</f>
        <v>15</v>
      </c>
      <c r="N18" s="253">
        <f>+'Total Linen Sept 30th'!N10</f>
        <v>15</v>
      </c>
      <c r="O18" s="253">
        <f>+'Total Linen Sept 30th'!O10</f>
        <v>0</v>
      </c>
      <c r="P18" s="253">
        <f>+'Total Linen Sept 30th'!P10</f>
        <v>0</v>
      </c>
      <c r="Q18" s="253">
        <f>+'Total Linen Sept 30th'!Q10</f>
        <v>15</v>
      </c>
      <c r="R18" s="253">
        <f>+'Total Linen Sept 30th'!R10</f>
        <v>15</v>
      </c>
      <c r="S18" s="253">
        <f>+'Total Linen Sept 30th'!S10</f>
        <v>15</v>
      </c>
      <c r="T18" s="253">
        <f>+'Total Linen Sept 30th'!T10</f>
        <v>0</v>
      </c>
      <c r="U18" s="253">
        <f>+'Total Linen Sept 30th'!U10</f>
        <v>0</v>
      </c>
      <c r="V18" s="253">
        <f>+'Total Linen Sept 30th'!V10</f>
        <v>0</v>
      </c>
      <c r="W18" s="253">
        <f>+'Total Linen Sept 30th'!W10</f>
        <v>0</v>
      </c>
      <c r="X18" s="253">
        <f>+'Total Linen Sept 30th'!X10</f>
        <v>15</v>
      </c>
    </row>
    <row r="19" spans="1:24" ht="26.1" customHeight="1" x14ac:dyDescent="0.2">
      <c r="A19" s="423" t="s">
        <v>194</v>
      </c>
      <c r="B19" s="372">
        <f>+'Purchase Log'!C10</f>
        <v>0</v>
      </c>
      <c r="C19" s="372">
        <f>+'Purchase Log'!D10</f>
        <v>0</v>
      </c>
      <c r="D19" s="372">
        <f>+'Purchase Log'!E10</f>
        <v>0</v>
      </c>
      <c r="E19" s="372">
        <f>+'Purchase Log'!F10</f>
        <v>0</v>
      </c>
      <c r="F19" s="358"/>
      <c r="G19" s="372">
        <f>+'Purchase Log'!H10</f>
        <v>0</v>
      </c>
      <c r="H19" s="372">
        <f>+'Purchase Log'!I10</f>
        <v>0</v>
      </c>
      <c r="I19" s="372">
        <f>+'Purchase Log'!J10</f>
        <v>0</v>
      </c>
      <c r="J19" s="372">
        <f>+'Purchase Log'!K10</f>
        <v>0</v>
      </c>
      <c r="K19" s="358"/>
      <c r="L19" s="372">
        <f>+'Purchase Log'!M10</f>
        <v>0</v>
      </c>
      <c r="M19" s="372">
        <f>+'Purchase Log'!N10</f>
        <v>0</v>
      </c>
      <c r="N19" s="372">
        <f>+'Purchase Log'!O10</f>
        <v>0</v>
      </c>
      <c r="O19" s="372">
        <f>+'Purchase Log'!P10</f>
        <v>0</v>
      </c>
      <c r="P19" s="358"/>
      <c r="Q19" s="372">
        <f>+'Purchase Log'!R10</f>
        <v>0</v>
      </c>
      <c r="R19" s="372">
        <f>+'Purchase Log'!S10</f>
        <v>0</v>
      </c>
      <c r="S19" s="372">
        <f>+'Purchase Log'!S10</f>
        <v>0</v>
      </c>
      <c r="T19" s="259"/>
      <c r="U19" s="372">
        <f>+'Purchase Log'!V10</f>
        <v>0</v>
      </c>
      <c r="V19" s="372">
        <f>+'Purchase Log'!W10</f>
        <v>0</v>
      </c>
      <c r="W19" s="372">
        <f>+'Purchase Log'!X10</f>
        <v>0</v>
      </c>
      <c r="X19" s="372">
        <f>+'Purchase Log'!Y10</f>
        <v>0</v>
      </c>
    </row>
    <row r="20" spans="1:24" ht="26.1" customHeight="1" x14ac:dyDescent="0.2">
      <c r="A20" s="402" t="s">
        <v>195</v>
      </c>
      <c r="B20" s="253">
        <f>B10</f>
        <v>0</v>
      </c>
      <c r="C20" s="253">
        <f>C10</f>
        <v>0</v>
      </c>
      <c r="D20" s="253">
        <f>D10</f>
        <v>0</v>
      </c>
      <c r="E20" s="253">
        <f>E10</f>
        <v>0</v>
      </c>
      <c r="F20" s="259"/>
      <c r="G20" s="253">
        <f>G10</f>
        <v>0</v>
      </c>
      <c r="H20" s="253">
        <f>H10</f>
        <v>0</v>
      </c>
      <c r="I20" s="253">
        <f>I10</f>
        <v>0</v>
      </c>
      <c r="J20" s="253">
        <f>J10</f>
        <v>0</v>
      </c>
      <c r="K20" s="259"/>
      <c r="L20" s="253">
        <f t="shared" ref="L20:V20" si="2">L10</f>
        <v>15</v>
      </c>
      <c r="M20" s="253">
        <f t="shared" si="2"/>
        <v>15</v>
      </c>
      <c r="N20" s="253">
        <f t="shared" si="2"/>
        <v>15</v>
      </c>
      <c r="O20" s="253">
        <f t="shared" si="2"/>
        <v>0</v>
      </c>
      <c r="P20" s="259"/>
      <c r="Q20" s="253">
        <f>Q10</f>
        <v>15</v>
      </c>
      <c r="R20" s="253">
        <f>R10</f>
        <v>15</v>
      </c>
      <c r="S20" s="253">
        <f>S10</f>
        <v>15</v>
      </c>
      <c r="T20" s="259"/>
      <c r="U20" s="253">
        <f t="shared" si="2"/>
        <v>0</v>
      </c>
      <c r="V20" s="253">
        <f t="shared" si="2"/>
        <v>0</v>
      </c>
      <c r="W20" s="253">
        <f>W10</f>
        <v>0</v>
      </c>
      <c r="X20" s="253">
        <f>X10</f>
        <v>15</v>
      </c>
    </row>
    <row r="21" spans="1:24" ht="26.1" customHeight="1" x14ac:dyDescent="0.2">
      <c r="A21" s="402" t="s">
        <v>196</v>
      </c>
      <c r="B21" s="373">
        <f>B18+B19-B20</f>
        <v>0</v>
      </c>
      <c r="C21" s="373">
        <f>C18+C19-C20</f>
        <v>0</v>
      </c>
      <c r="D21" s="373">
        <f>D18+D19-D20</f>
        <v>0</v>
      </c>
      <c r="E21" s="373">
        <f>E18+E19-E20</f>
        <v>0</v>
      </c>
      <c r="F21" s="374"/>
      <c r="G21" s="373">
        <f>G18+G19-G20</f>
        <v>0</v>
      </c>
      <c r="H21" s="373">
        <f>H18+H19-H20</f>
        <v>0</v>
      </c>
      <c r="I21" s="373">
        <f>I18+I19-I20</f>
        <v>0</v>
      </c>
      <c r="J21" s="373">
        <f>J18+J19-J20</f>
        <v>0</v>
      </c>
      <c r="K21" s="374"/>
      <c r="L21" s="373">
        <f t="shared" ref="L21:V21" si="3">L18+L19-L20</f>
        <v>0</v>
      </c>
      <c r="M21" s="373">
        <f t="shared" si="3"/>
        <v>0</v>
      </c>
      <c r="N21" s="373">
        <f t="shared" si="3"/>
        <v>0</v>
      </c>
      <c r="O21" s="373">
        <f t="shared" si="3"/>
        <v>0</v>
      </c>
      <c r="P21" s="374"/>
      <c r="Q21" s="373">
        <f>Q18+Q19-Q20</f>
        <v>0</v>
      </c>
      <c r="R21" s="373">
        <f>R18+R19-R20</f>
        <v>0</v>
      </c>
      <c r="S21" s="373">
        <f>S18+S19-S20</f>
        <v>0</v>
      </c>
      <c r="T21" s="374"/>
      <c r="U21" s="373">
        <f t="shared" si="3"/>
        <v>0</v>
      </c>
      <c r="V21" s="373">
        <f t="shared" si="3"/>
        <v>0</v>
      </c>
      <c r="W21" s="373">
        <f>W18+W19-W20</f>
        <v>0</v>
      </c>
      <c r="X21" s="373">
        <f>X18+X19-X20</f>
        <v>0</v>
      </c>
    </row>
    <row r="22" spans="1:24" s="89" customFormat="1" ht="26.1" customHeight="1" thickBot="1" x14ac:dyDescent="0.25">
      <c r="A22" s="424" t="s">
        <v>197</v>
      </c>
      <c r="B22" s="375">
        <f>+B21*B15</f>
        <v>0</v>
      </c>
      <c r="C22" s="375">
        <f>+C21*C15</f>
        <v>0</v>
      </c>
      <c r="D22" s="375">
        <f>+D21*D15</f>
        <v>0</v>
      </c>
      <c r="E22" s="375">
        <f>+E21*E15</f>
        <v>0</v>
      </c>
      <c r="F22" s="376"/>
      <c r="G22" s="375">
        <f t="shared" ref="G22:X22" si="4">+G21*G15</f>
        <v>0</v>
      </c>
      <c r="H22" s="375">
        <f t="shared" si="4"/>
        <v>0</v>
      </c>
      <c r="I22" s="375">
        <f t="shared" si="4"/>
        <v>0</v>
      </c>
      <c r="J22" s="375">
        <f t="shared" si="4"/>
        <v>0</v>
      </c>
      <c r="K22" s="375">
        <f t="shared" si="4"/>
        <v>0</v>
      </c>
      <c r="L22" s="375">
        <f t="shared" si="4"/>
        <v>0</v>
      </c>
      <c r="M22" s="375">
        <f t="shared" si="4"/>
        <v>0</v>
      </c>
      <c r="N22" s="375">
        <f t="shared" si="4"/>
        <v>0</v>
      </c>
      <c r="O22" s="375">
        <f t="shared" si="4"/>
        <v>0</v>
      </c>
      <c r="P22" s="375" t="e">
        <f t="shared" si="4"/>
        <v>#REF!</v>
      </c>
      <c r="Q22" s="375">
        <f t="shared" si="4"/>
        <v>0</v>
      </c>
      <c r="R22" s="375">
        <f t="shared" ref="R22" si="5">+R21*R15</f>
        <v>0</v>
      </c>
      <c r="S22" s="375">
        <f t="shared" si="4"/>
        <v>0</v>
      </c>
      <c r="T22" s="375">
        <f t="shared" si="4"/>
        <v>0</v>
      </c>
      <c r="U22" s="375">
        <f t="shared" si="4"/>
        <v>0</v>
      </c>
      <c r="V22" s="375">
        <f t="shared" si="4"/>
        <v>0</v>
      </c>
      <c r="W22" s="375">
        <f t="shared" si="4"/>
        <v>0</v>
      </c>
      <c r="X22" s="375">
        <f t="shared" si="4"/>
        <v>0</v>
      </c>
    </row>
    <row r="23" spans="1:24" ht="26.1" customHeight="1" thickBot="1" x14ac:dyDescent="0.25">
      <c r="A23" s="425" t="s">
        <v>198</v>
      </c>
      <c r="B23" s="596">
        <f>+SUMIF(B22:X22,"&gt;0")</f>
        <v>0</v>
      </c>
      <c r="C23" s="597"/>
      <c r="D23" s="611" t="s">
        <v>208</v>
      </c>
      <c r="E23" s="612"/>
      <c r="F23" s="152"/>
      <c r="G23" s="610">
        <f>+COUNTIF(B22:X22,"&lt;0")</f>
        <v>0</v>
      </c>
      <c r="H23" s="610"/>
      <c r="I23" s="218"/>
      <c r="J23" s="218"/>
      <c r="K23" s="218"/>
      <c r="L23" s="218"/>
      <c r="M23" s="216"/>
      <c r="N23" s="216"/>
      <c r="O23" s="216"/>
      <c r="P23" s="216"/>
      <c r="Q23" s="216"/>
      <c r="R23" s="216"/>
      <c r="S23" s="216"/>
      <c r="T23" s="216"/>
      <c r="U23" s="216"/>
      <c r="V23" s="216"/>
      <c r="W23" s="216"/>
      <c r="X23" s="216"/>
    </row>
  </sheetData>
  <sheetProtection algorithmName="SHA-512" hashValue="ZZxlRfzv0cWDc698lEKzJF3Mwg7NptipVfG7iLUlW92Ls0Lj5DFm33dF2W4S2ScLj7aS+53h+rzlWaMrDtDUZw==" saltValue="MBLEFMhEGqWZnrzokJXkug==" spinCount="100000" sheet="1" objects="1" scenarios="1"/>
  <protectedRanges>
    <protectedRange algorithmName="SHA-512" hashValue="xXOIXZzPS2Pscmgkb1aKALBogCNckyxrMxdMAfu2uAHKw0e25+Prr0Njz/Pdjil+/Rgz325WBV2RKIA0QRb37g==" saltValue="hM9zNIKkjYKSCT6WaW9ywg==" spinCount="100000" sqref="A8:X8" name="CountEntry"/>
  </protectedRanges>
  <mergeCells count="29">
    <mergeCell ref="B4:E4"/>
    <mergeCell ref="B23:C23"/>
    <mergeCell ref="H5:H6"/>
    <mergeCell ref="A1:X2"/>
    <mergeCell ref="G4:J4"/>
    <mergeCell ref="L4:O4"/>
    <mergeCell ref="Q4:S4"/>
    <mergeCell ref="U4:X4"/>
    <mergeCell ref="B3:X3"/>
    <mergeCell ref="W5:W6"/>
    <mergeCell ref="X5:X6"/>
    <mergeCell ref="O5:O6"/>
    <mergeCell ref="Q5:Q6"/>
    <mergeCell ref="S5:S6"/>
    <mergeCell ref="U5:U6"/>
    <mergeCell ref="V5:V6"/>
    <mergeCell ref="G23:H23"/>
    <mergeCell ref="D23:E23"/>
    <mergeCell ref="R5:R6"/>
    <mergeCell ref="B5:B6"/>
    <mergeCell ref="C5:C6"/>
    <mergeCell ref="N5:N6"/>
    <mergeCell ref="I5:I6"/>
    <mergeCell ref="J5:J6"/>
    <mergeCell ref="L5:L6"/>
    <mergeCell ref="M5:M6"/>
    <mergeCell ref="D5:D6"/>
    <mergeCell ref="E5:E6"/>
    <mergeCell ref="G5:G6"/>
  </mergeCells>
  <pageMargins left="0.2" right="0.2" top="0.25" bottom="0.25" header="0" footer="0"/>
  <pageSetup orientation="landscape" horizontalDpi="4294967295"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108"/>
  <sheetViews>
    <sheetView workbookViewId="0">
      <selection activeCell="M91" sqref="M91"/>
    </sheetView>
  </sheetViews>
  <sheetFormatPr defaultRowHeight="12.75" x14ac:dyDescent="0.2"/>
  <cols>
    <col min="1" max="1" width="20.42578125" customWidth="1"/>
    <col min="2" max="2" width="1.5703125" customWidth="1"/>
    <col min="3" max="4" width="9.7109375" style="1" customWidth="1"/>
    <col min="5" max="5" width="1" style="1" customWidth="1"/>
    <col min="6" max="7" width="9.7109375" style="1" customWidth="1"/>
    <col min="8" max="8" width="0.7109375" style="1" customWidth="1"/>
    <col min="9" max="9" width="9.7109375" style="1" customWidth="1"/>
    <col min="10" max="10" width="9.85546875" style="1" customWidth="1"/>
    <col min="11" max="11" width="0.85546875" style="1" customWidth="1"/>
    <col min="12" max="13" width="9.7109375" style="1" customWidth="1"/>
    <col min="14" max="14" width="13.85546875" style="1" customWidth="1"/>
    <col min="15" max="15" width="3.140625" style="1" customWidth="1"/>
    <col min="16" max="16" width="9.7109375" style="1" customWidth="1"/>
    <col min="17" max="17" width="1" style="1" customWidth="1"/>
    <col min="18" max="19" width="9.7109375" style="1" customWidth="1"/>
    <col min="20" max="20" width="2.5703125" style="1" customWidth="1"/>
    <col min="21" max="22" width="9.7109375" style="1" customWidth="1"/>
    <col min="23" max="23" width="1.140625" style="1" customWidth="1"/>
    <col min="24" max="25" width="9.7109375" style="1" customWidth="1"/>
  </cols>
  <sheetData>
    <row r="1" spans="1:27" ht="47.25" customHeight="1" x14ac:dyDescent="0.6">
      <c r="A1" s="626" t="e">
        <f>+'Hotel Set up'!B2:N3</f>
        <v>#VALUE!</v>
      </c>
      <c r="B1" s="626"/>
      <c r="C1" s="626"/>
      <c r="D1" s="626"/>
      <c r="E1" s="626"/>
      <c r="F1" s="626"/>
      <c r="G1" s="626"/>
      <c r="H1" s="626"/>
      <c r="I1" s="626"/>
      <c r="J1" s="626"/>
      <c r="K1" s="626"/>
      <c r="L1" s="626"/>
      <c r="M1" s="626"/>
    </row>
    <row r="2" spans="1:27" ht="25.5" customHeight="1" x14ac:dyDescent="0.2">
      <c r="A2" s="627" t="s">
        <v>209</v>
      </c>
      <c r="B2" s="627"/>
      <c r="C2" s="627"/>
      <c r="D2" s="628">
        <v>3.1</v>
      </c>
      <c r="E2" s="628"/>
      <c r="F2" s="628"/>
      <c r="G2" s="629" t="s">
        <v>210</v>
      </c>
      <c r="H2" s="629"/>
      <c r="I2" s="629"/>
      <c r="J2" s="629"/>
      <c r="K2" s="629"/>
      <c r="L2" s="629"/>
      <c r="M2" s="629"/>
      <c r="P2" s="167" t="s">
        <v>211</v>
      </c>
      <c r="R2" s="167" t="s">
        <v>212</v>
      </c>
    </row>
    <row r="3" spans="1:27" ht="20.25" x14ac:dyDescent="0.3">
      <c r="C3" s="630" t="s">
        <v>213</v>
      </c>
      <c r="D3" s="630"/>
      <c r="E3" s="630"/>
      <c r="F3" s="630"/>
      <c r="G3" s="630"/>
      <c r="H3" s="630"/>
      <c r="I3" s="630"/>
      <c r="J3" s="630"/>
      <c r="K3" s="630"/>
      <c r="L3" s="630"/>
      <c r="M3" s="630"/>
      <c r="O3" s="44"/>
      <c r="P3" s="44"/>
      <c r="Q3" s="44"/>
      <c r="R3" s="44"/>
      <c r="S3" s="44"/>
      <c r="U3" s="44"/>
      <c r="V3" s="44"/>
      <c r="W3" s="44"/>
      <c r="X3" s="44"/>
      <c r="Y3" s="44"/>
    </row>
    <row r="4" spans="1:27" ht="18" x14ac:dyDescent="0.25">
      <c r="C4" s="625" t="s">
        <v>214</v>
      </c>
      <c r="D4" s="625"/>
      <c r="E4" s="625"/>
      <c r="F4" s="625"/>
      <c r="G4" s="625"/>
      <c r="H4" s="625"/>
      <c r="I4" s="625"/>
      <c r="J4" s="625"/>
      <c r="K4" s="625"/>
      <c r="L4" s="625"/>
      <c r="M4" s="625"/>
    </row>
    <row r="5" spans="1:27" ht="15" x14ac:dyDescent="0.25">
      <c r="C5" s="634">
        <v>1</v>
      </c>
      <c r="D5" s="634" t="s">
        <v>215</v>
      </c>
      <c r="E5" s="45"/>
      <c r="F5" s="634">
        <v>2</v>
      </c>
      <c r="G5" s="634" t="s">
        <v>215</v>
      </c>
      <c r="I5" s="634">
        <v>3</v>
      </c>
      <c r="J5" s="634" t="s">
        <v>215</v>
      </c>
      <c r="K5" s="45"/>
      <c r="L5" s="634">
        <v>4</v>
      </c>
      <c r="M5" s="634" t="s">
        <v>215</v>
      </c>
    </row>
    <row r="6" spans="1:27" ht="18" customHeight="1" thickBot="1" x14ac:dyDescent="0.35">
      <c r="A6" s="46" t="s">
        <v>216</v>
      </c>
      <c r="C6" s="636"/>
      <c r="D6" s="636"/>
      <c r="E6" s="47"/>
      <c r="F6" s="636"/>
      <c r="G6" s="636"/>
      <c r="H6" s="47"/>
      <c r="I6" s="636"/>
      <c r="J6" s="636"/>
      <c r="K6" s="47"/>
      <c r="L6" s="636"/>
      <c r="M6" s="636"/>
    </row>
    <row r="7" spans="1:27" ht="18" customHeight="1" thickTop="1" x14ac:dyDescent="0.25">
      <c r="A7" s="48" t="s">
        <v>137</v>
      </c>
      <c r="B7" s="49"/>
      <c r="C7" s="50">
        <f>+IF($C$5&lt;$D$2,+'Total Linen March 31st'!$B$13,0)</f>
        <v>0</v>
      </c>
      <c r="D7" s="51"/>
      <c r="E7" s="52"/>
      <c r="F7" s="53" t="e">
        <f>+IF($F$5&lt;$D$2,+'Total Linen June 30th'!#REF!,0)</f>
        <v>#REF!</v>
      </c>
      <c r="G7" s="54" t="e">
        <f>+F7-C7</f>
        <v>#REF!</v>
      </c>
      <c r="H7" s="52"/>
      <c r="I7" s="50" t="e">
        <f>+IF($I$5&lt;$D$2,+'Total Linen Sept 30th'!#REF!,0)</f>
        <v>#REF!</v>
      </c>
      <c r="J7" s="55" t="e">
        <f>+I7-F7</f>
        <v>#REF!</v>
      </c>
      <c r="K7" s="52"/>
      <c r="L7" s="53">
        <f>+IF($L$5&lt;$D$2,+'Total Linen Dec 31st'!#REF!,0)</f>
        <v>0</v>
      </c>
      <c r="M7" s="54" t="e">
        <f>+L7-I7</f>
        <v>#REF!</v>
      </c>
      <c r="N7" s="56"/>
      <c r="P7" s="631" t="s">
        <v>217</v>
      </c>
      <c r="Q7" s="631"/>
      <c r="R7" s="631"/>
      <c r="S7" s="631"/>
      <c r="T7" s="631"/>
      <c r="U7" s="631"/>
    </row>
    <row r="8" spans="1:27" ht="18" customHeight="1" x14ac:dyDescent="0.25">
      <c r="A8" s="57" t="s">
        <v>138</v>
      </c>
      <c r="B8" s="58"/>
      <c r="C8" s="59">
        <f>+IF($C$5&lt;$D$2,+'Total Linen March 31st'!$C$13,0)</f>
        <v>0</v>
      </c>
      <c r="D8" s="60"/>
      <c r="E8" s="52"/>
      <c r="F8" s="61" t="e">
        <f>+IF($F$5&lt;$D$2,+'Total Linen June 30th'!#REF!,0)</f>
        <v>#REF!</v>
      </c>
      <c r="G8" s="54" t="e">
        <f>+F8-C8</f>
        <v>#REF!</v>
      </c>
      <c r="H8" s="52"/>
      <c r="I8" s="59" t="e">
        <f>+IF($I$5&lt;$D$2,+'Total Linen Sept 30th'!#REF!,0)</f>
        <v>#REF!</v>
      </c>
      <c r="J8" s="55" t="e">
        <f>+I8-F8</f>
        <v>#REF!</v>
      </c>
      <c r="K8" s="52"/>
      <c r="L8" s="61">
        <f>+IF($L$5&lt;$D$2,+'Total Linen Dec 31st'!#REF!,0)</f>
        <v>0</v>
      </c>
      <c r="M8" s="54" t="e">
        <f>+L8-I8</f>
        <v>#REF!</v>
      </c>
      <c r="N8" s="56"/>
      <c r="P8" s="631"/>
      <c r="Q8" s="631"/>
      <c r="R8" s="631"/>
      <c r="S8" s="631"/>
      <c r="T8" s="631"/>
      <c r="U8" s="631"/>
    </row>
    <row r="9" spans="1:27" ht="18" customHeight="1" x14ac:dyDescent="0.25">
      <c r="A9" s="62" t="s">
        <v>139</v>
      </c>
      <c r="B9" s="49"/>
      <c r="C9" s="59">
        <f>+IF($C$5&lt;$D$2,+'Total Linen March 31st'!$D$13,0)</f>
        <v>0</v>
      </c>
      <c r="D9" s="60"/>
      <c r="E9" s="52"/>
      <c r="F9" s="61" t="e">
        <f>+IF($F$5&lt;$D$2,+'Total Linen June 30th'!#REF!,0)</f>
        <v>#REF!</v>
      </c>
      <c r="G9" s="54" t="e">
        <f>+F9-C9</f>
        <v>#REF!</v>
      </c>
      <c r="H9" s="52"/>
      <c r="I9" s="59" t="e">
        <f>+IF($I$5&lt;$D$2,+'Total Linen Sept 30th'!#REF!,0)</f>
        <v>#REF!</v>
      </c>
      <c r="J9" s="55" t="e">
        <f>+I9-F9</f>
        <v>#REF!</v>
      </c>
      <c r="K9" s="52"/>
      <c r="L9" s="61">
        <f>+IF($L$5&lt;$D$2,+'Total Linen Dec 31st'!#REF!,0)</f>
        <v>0</v>
      </c>
      <c r="M9" s="54" t="e">
        <f>+L9-I9</f>
        <v>#REF!</v>
      </c>
      <c r="N9" s="56"/>
      <c r="P9" s="631"/>
      <c r="Q9" s="631"/>
      <c r="R9" s="631"/>
      <c r="S9" s="631"/>
      <c r="T9" s="631"/>
      <c r="U9" s="631"/>
      <c r="AA9" s="85"/>
    </row>
    <row r="10" spans="1:27" ht="18" customHeight="1" x14ac:dyDescent="0.25">
      <c r="A10" s="57" t="s">
        <v>140</v>
      </c>
      <c r="C10" s="59">
        <f>+IF($C$5&lt;$D$2,+'Total Linen March 31st'!$E$13,0)</f>
        <v>0</v>
      </c>
      <c r="D10" s="63"/>
      <c r="E10" s="64"/>
      <c r="F10" s="65" t="e">
        <f>+IF($F$5&lt;$D$2,+'Total Linen June 30th'!#REF!,0)</f>
        <v>#REF!</v>
      </c>
      <c r="G10" s="54" t="e">
        <f>+F10-C10</f>
        <v>#REF!</v>
      </c>
      <c r="H10" s="64"/>
      <c r="I10" s="59" t="e">
        <f>+IF($I$5&lt;$D$2,+'Total Linen Sept 30th'!#REF!,0)</f>
        <v>#REF!</v>
      </c>
      <c r="J10" s="55" t="e">
        <f>+I10-F10</f>
        <v>#REF!</v>
      </c>
      <c r="K10" s="64"/>
      <c r="L10" s="65">
        <f>+IF($L$5&lt;$D$2,+'Total Linen Dec 31st'!#REF!,0)</f>
        <v>0</v>
      </c>
      <c r="M10" s="54" t="e">
        <f>+L10-I10</f>
        <v>#REF!</v>
      </c>
      <c r="P10" s="631"/>
      <c r="Q10" s="631"/>
      <c r="R10" s="631"/>
      <c r="S10" s="631"/>
      <c r="T10" s="631"/>
      <c r="U10" s="631"/>
      <c r="AA10" s="86">
        <v>1.1000000000000001</v>
      </c>
    </row>
    <row r="11" spans="1:27" ht="18" customHeight="1" thickBot="1" x14ac:dyDescent="0.3">
      <c r="A11" s="57" t="s">
        <v>152</v>
      </c>
      <c r="C11" s="66" t="e">
        <f>+IF($C$5&lt;$D$2,+'Total Linen March 31st'!#REF!,0)</f>
        <v>#REF!</v>
      </c>
      <c r="D11" s="67"/>
      <c r="E11" s="68"/>
      <c r="F11" s="69" t="e">
        <f>+IF($F$5&lt;$D$2,+'Total Linen June 30th'!#REF!,0)</f>
        <v>#REF!</v>
      </c>
      <c r="G11" s="54" t="e">
        <f>+F11-C11</f>
        <v>#REF!</v>
      </c>
      <c r="H11" s="68"/>
      <c r="I11" s="66" t="e">
        <f>+IF($I$5&lt;$D$2,+'Total Linen Sept 30th'!#REF!,0)</f>
        <v>#REF!</v>
      </c>
      <c r="J11" s="55" t="e">
        <f>+I11-F11</f>
        <v>#REF!</v>
      </c>
      <c r="K11" s="68"/>
      <c r="L11" s="69">
        <f>+IF($L$5&lt;$D$2,+'Total Linen Dec 31st'!#REF!,0)</f>
        <v>0</v>
      </c>
      <c r="M11" s="54" t="e">
        <f>+L11-I11</f>
        <v>#REF!</v>
      </c>
      <c r="P11" s="631"/>
      <c r="Q11" s="631"/>
      <c r="R11" s="631"/>
      <c r="S11" s="631"/>
      <c r="T11" s="631"/>
      <c r="U11" s="631"/>
      <c r="AA11" s="86">
        <v>2.1</v>
      </c>
    </row>
    <row r="12" spans="1:27" ht="18" customHeight="1" x14ac:dyDescent="0.2">
      <c r="A12" s="70"/>
      <c r="C12" s="64"/>
      <c r="D12" s="71"/>
      <c r="E12" s="64"/>
      <c r="F12" s="64"/>
      <c r="G12" s="71"/>
      <c r="H12" s="64"/>
      <c r="I12" s="64"/>
      <c r="J12" s="71"/>
      <c r="K12" s="64"/>
      <c r="L12" s="64"/>
      <c r="M12" s="71"/>
      <c r="P12" s="631"/>
      <c r="Q12" s="631"/>
      <c r="R12" s="631"/>
      <c r="S12" s="631"/>
      <c r="T12" s="631"/>
      <c r="U12" s="631"/>
      <c r="AA12" s="86">
        <v>3.1</v>
      </c>
    </row>
    <row r="13" spans="1:27" ht="18" customHeight="1" thickBot="1" x14ac:dyDescent="0.35">
      <c r="A13" s="72" t="s">
        <v>218</v>
      </c>
      <c r="C13" s="64"/>
      <c r="D13" s="71"/>
      <c r="E13" s="64"/>
      <c r="F13" s="64"/>
      <c r="G13" s="71"/>
      <c r="H13" s="64"/>
      <c r="I13" s="64"/>
      <c r="J13" s="71"/>
      <c r="K13" s="64"/>
      <c r="L13" s="64"/>
      <c r="M13" s="71"/>
      <c r="P13" s="631"/>
      <c r="Q13" s="631"/>
      <c r="R13" s="631"/>
      <c r="S13" s="631"/>
      <c r="T13" s="631"/>
      <c r="U13" s="631"/>
      <c r="AA13" s="86">
        <v>4.0999999999999996</v>
      </c>
    </row>
    <row r="14" spans="1:27" ht="18" customHeight="1" x14ac:dyDescent="0.25">
      <c r="A14" s="57" t="s">
        <v>114</v>
      </c>
      <c r="C14" s="73">
        <f>+IF($C$5&lt;$D$2,+'Total Linen March 31st'!$G$13,0)</f>
        <v>0</v>
      </c>
      <c r="D14" s="74"/>
      <c r="E14" s="75"/>
      <c r="F14" s="76" t="e">
        <f>+IF($F$5&lt;$D$2,+'Total Linen June 30th'!#REF!,0)</f>
        <v>#REF!</v>
      </c>
      <c r="G14" s="77" t="e">
        <f>+F14-C14</f>
        <v>#REF!</v>
      </c>
      <c r="H14" s="75"/>
      <c r="I14" s="73" t="e">
        <f>+IF($I$5&lt;$D$2,+'Total Linen Sept 30th'!#REF!,0)</f>
        <v>#REF!</v>
      </c>
      <c r="J14" s="78" t="e">
        <f>+I14-F14</f>
        <v>#REF!</v>
      </c>
      <c r="K14" s="75"/>
      <c r="L14" s="76">
        <f>+IF($L$5&lt;$D$2,+'Total Linen Dec 31st'!#REF!,0)</f>
        <v>0</v>
      </c>
      <c r="M14" s="77" t="e">
        <f>+L14-I14</f>
        <v>#REF!</v>
      </c>
      <c r="P14" s="631"/>
      <c r="Q14" s="631"/>
      <c r="R14" s="631"/>
      <c r="S14" s="631"/>
      <c r="T14" s="631"/>
      <c r="U14" s="631"/>
      <c r="AA14" s="85"/>
    </row>
    <row r="15" spans="1:27" ht="18" customHeight="1" x14ac:dyDescent="0.25">
      <c r="A15" s="57" t="s">
        <v>115</v>
      </c>
      <c r="C15" s="59">
        <f>+IF($C$5&lt;$D$2,+'Total Linen March 31st'!$H$13,0)</f>
        <v>0</v>
      </c>
      <c r="D15" s="63"/>
      <c r="E15" s="64"/>
      <c r="F15" s="65" t="e">
        <f>+IF($F$5&lt;$D$2,+'Total Linen June 30th'!#REF!,0)</f>
        <v>#REF!</v>
      </c>
      <c r="G15" s="54" t="e">
        <f>+F15-C15</f>
        <v>#REF!</v>
      </c>
      <c r="H15" s="64"/>
      <c r="I15" s="59" t="e">
        <f>+IF($I$5&lt;$D$2,+'Total Linen Sept 30th'!#REF!,0)</f>
        <v>#REF!</v>
      </c>
      <c r="J15" s="55" t="e">
        <f>+I15-F15</f>
        <v>#REF!</v>
      </c>
      <c r="K15" s="64"/>
      <c r="L15" s="65">
        <f>+IF($L$5&lt;$D$2,+'Total Linen Dec 31st'!#REF!,0)</f>
        <v>0</v>
      </c>
      <c r="M15" s="54" t="e">
        <f>+L15-I15</f>
        <v>#REF!</v>
      </c>
      <c r="P15" s="631"/>
      <c r="Q15" s="631"/>
      <c r="R15" s="631"/>
      <c r="S15" s="631"/>
      <c r="T15" s="631"/>
      <c r="U15" s="631"/>
    </row>
    <row r="16" spans="1:27" ht="18" customHeight="1" x14ac:dyDescent="0.25">
      <c r="A16" s="57" t="s">
        <v>219</v>
      </c>
      <c r="C16" s="59" t="e">
        <f>+IF($C$5&lt;$D$2,+'Total Linen March 31st'!#REF!,0)</f>
        <v>#REF!</v>
      </c>
      <c r="D16" s="63"/>
      <c r="E16" s="64"/>
      <c r="F16" s="65" t="e">
        <f>+IF($F$5&lt;$D$2,+'Total Linen June 30th'!#REF!,0)</f>
        <v>#REF!</v>
      </c>
      <c r="G16" s="54" t="e">
        <f>+F16-C16</f>
        <v>#REF!</v>
      </c>
      <c r="H16" s="64"/>
      <c r="I16" s="59" t="e">
        <f>+IF($I$5&lt;$D$2,+'Total Linen Sept 30th'!#REF!,0)</f>
        <v>#REF!</v>
      </c>
      <c r="J16" s="55" t="e">
        <f>+I16-F16</f>
        <v>#REF!</v>
      </c>
      <c r="K16" s="64"/>
      <c r="L16" s="65">
        <f>+IF($L$5&lt;$D$2,+'Total Linen Dec 31st'!#REF!,0)</f>
        <v>0</v>
      </c>
      <c r="M16" s="54" t="e">
        <f>+L16-I16</f>
        <v>#REF!</v>
      </c>
      <c r="P16" s="631"/>
      <c r="Q16" s="631"/>
      <c r="R16" s="631"/>
      <c r="S16" s="631"/>
      <c r="T16" s="631"/>
      <c r="U16" s="631"/>
    </row>
    <row r="17" spans="1:21" ht="18" customHeight="1" x14ac:dyDescent="0.25">
      <c r="A17" s="57" t="s">
        <v>116</v>
      </c>
      <c r="C17" s="59">
        <f>+IF($C$5&lt;$D$2,+'Total Linen March 31st'!$I$13,0)</f>
        <v>0</v>
      </c>
      <c r="D17" s="63"/>
      <c r="E17" s="64"/>
      <c r="F17" s="65" t="e">
        <f>+IF($F$5&lt;$D$2,+'Total Linen June 30th'!#REF!,0)</f>
        <v>#REF!</v>
      </c>
      <c r="G17" s="54" t="e">
        <f>+F17-C17</f>
        <v>#REF!</v>
      </c>
      <c r="H17" s="64"/>
      <c r="I17" s="59" t="e">
        <f>+IF($I$5&lt;$D$2,+'Total Linen Sept 30th'!#REF!,0)</f>
        <v>#REF!</v>
      </c>
      <c r="J17" s="55" t="e">
        <f>+I17-F17</f>
        <v>#REF!</v>
      </c>
      <c r="K17" s="64"/>
      <c r="L17" s="65">
        <f>+IF($L$5&lt;$D$2,+'Total Linen Dec 31st'!#REF!,0)</f>
        <v>0</v>
      </c>
      <c r="M17" s="54" t="e">
        <f>+L17-I17</f>
        <v>#REF!</v>
      </c>
      <c r="P17" s="631"/>
      <c r="Q17" s="631"/>
      <c r="R17" s="631"/>
      <c r="S17" s="631"/>
      <c r="T17" s="631"/>
      <c r="U17" s="631"/>
    </row>
    <row r="18" spans="1:21" ht="18" customHeight="1" thickBot="1" x14ac:dyDescent="0.3">
      <c r="A18" s="57" t="s">
        <v>220</v>
      </c>
      <c r="C18" s="66">
        <f>+IF($C$5&lt;$D$2,+'Total Linen March 31st'!$J$13,0)</f>
        <v>0</v>
      </c>
      <c r="D18" s="67"/>
      <c r="E18" s="68"/>
      <c r="F18" s="69" t="e">
        <f>+IF($F$5&lt;$D$2,+'Total Linen June 30th'!#REF!,0)</f>
        <v>#REF!</v>
      </c>
      <c r="G18" s="79" t="e">
        <f>+F18-C18</f>
        <v>#REF!</v>
      </c>
      <c r="H18" s="68"/>
      <c r="I18" s="66" t="e">
        <f>+IF($I$5&lt;$D$2,+'Total Linen Sept 30th'!#REF!,0)</f>
        <v>#REF!</v>
      </c>
      <c r="J18" s="80" t="e">
        <f>+I18-F18</f>
        <v>#REF!</v>
      </c>
      <c r="K18" s="68"/>
      <c r="L18" s="69">
        <f>+IF($L$5&lt;$D$2,+'Total Linen Dec 31st'!#REF!,0)</f>
        <v>0</v>
      </c>
      <c r="M18" s="79" t="e">
        <f>+L18-I18</f>
        <v>#REF!</v>
      </c>
      <c r="P18" s="631"/>
      <c r="Q18" s="631"/>
      <c r="R18" s="631"/>
      <c r="S18" s="631"/>
      <c r="T18" s="631"/>
      <c r="U18" s="631"/>
    </row>
    <row r="19" spans="1:21" ht="18" customHeight="1" x14ac:dyDescent="0.2">
      <c r="A19" s="70"/>
      <c r="C19" s="64"/>
      <c r="D19" s="71"/>
      <c r="E19" s="64"/>
      <c r="F19" s="64"/>
      <c r="G19" s="71"/>
      <c r="H19" s="64"/>
      <c r="I19" s="64"/>
      <c r="J19" s="71"/>
      <c r="K19" s="64"/>
      <c r="L19" s="64"/>
      <c r="M19" s="71"/>
      <c r="P19" s="631"/>
      <c r="Q19" s="631"/>
      <c r="R19" s="631"/>
      <c r="S19" s="631"/>
      <c r="T19" s="631"/>
      <c r="U19" s="631"/>
    </row>
    <row r="20" spans="1:21" ht="18" customHeight="1" thickBot="1" x14ac:dyDescent="0.35">
      <c r="A20" s="81" t="s">
        <v>221</v>
      </c>
      <c r="C20" s="64"/>
      <c r="D20" s="71"/>
      <c r="E20" s="64"/>
      <c r="F20" s="64"/>
      <c r="G20" s="71"/>
      <c r="H20" s="64"/>
      <c r="I20" s="64"/>
      <c r="J20" s="71"/>
      <c r="K20" s="64"/>
      <c r="L20" s="64"/>
      <c r="M20" s="71"/>
      <c r="P20" s="631"/>
      <c r="Q20" s="631"/>
      <c r="R20" s="631"/>
      <c r="S20" s="631"/>
      <c r="T20" s="631"/>
      <c r="U20" s="631"/>
    </row>
    <row r="21" spans="1:21" ht="18" customHeight="1" x14ac:dyDescent="0.25">
      <c r="A21" s="57" t="s">
        <v>114</v>
      </c>
      <c r="C21" s="73">
        <f>+IF($C$5&lt;$D$2,+'Total Linen March 31st'!$L$13,0)</f>
        <v>0</v>
      </c>
      <c r="D21" s="74"/>
      <c r="E21" s="75"/>
      <c r="F21" s="76" t="e">
        <f>+IF($F$5&lt;$D$2,+'Total Linen June 30th'!#REF!,0)</f>
        <v>#REF!</v>
      </c>
      <c r="G21" s="77" t="e">
        <f>+F21-C21</f>
        <v>#REF!</v>
      </c>
      <c r="H21" s="75"/>
      <c r="I21" s="73" t="e">
        <f>+IF($I$5&lt;$D$2,+'Total Linen Sept 30th'!#REF!,0)</f>
        <v>#REF!</v>
      </c>
      <c r="J21" s="78" t="e">
        <f>+I21-F21</f>
        <v>#REF!</v>
      </c>
      <c r="K21" s="75"/>
      <c r="L21" s="76">
        <f>+IF($L$5&lt;$D$2,+'Total Linen Dec 31st'!#REF!,0)</f>
        <v>0</v>
      </c>
      <c r="M21" s="77" t="e">
        <f>+L21-I21</f>
        <v>#REF!</v>
      </c>
      <c r="P21" s="631"/>
      <c r="Q21" s="631"/>
      <c r="R21" s="631"/>
      <c r="S21" s="631"/>
      <c r="T21" s="631"/>
      <c r="U21" s="631"/>
    </row>
    <row r="22" spans="1:21" ht="18" customHeight="1" x14ac:dyDescent="0.25">
      <c r="A22" s="57" t="s">
        <v>115</v>
      </c>
      <c r="C22" s="59">
        <f>+IF($C$5&lt;$D$2,+'Total Linen March 31st'!$M$13,0)</f>
        <v>0</v>
      </c>
      <c r="D22" s="63"/>
      <c r="E22" s="64"/>
      <c r="F22" s="65" t="e">
        <f>+IF($F$5&lt;$D$2,+'Total Linen June 30th'!#REF!,0)</f>
        <v>#REF!</v>
      </c>
      <c r="G22" s="54" t="e">
        <f>+F22-C22</f>
        <v>#REF!</v>
      </c>
      <c r="H22" s="64"/>
      <c r="I22" s="59" t="e">
        <f>+IF($I$5&lt;$D$2,+'Total Linen Sept 30th'!#REF!,0)</f>
        <v>#REF!</v>
      </c>
      <c r="J22" s="55" t="e">
        <f>+I22-F22</f>
        <v>#REF!</v>
      </c>
      <c r="K22" s="64"/>
      <c r="L22" s="65">
        <f>+IF($L$5&lt;$D$2,+'Total Linen Dec 31st'!#REF!,0)</f>
        <v>0</v>
      </c>
      <c r="M22" s="54" t="e">
        <f>+L22-I22</f>
        <v>#REF!</v>
      </c>
      <c r="P22" s="631"/>
      <c r="Q22" s="631"/>
      <c r="R22" s="631"/>
      <c r="S22" s="631"/>
      <c r="T22" s="631"/>
      <c r="U22" s="631"/>
    </row>
    <row r="23" spans="1:21" ht="18" customHeight="1" x14ac:dyDescent="0.25">
      <c r="A23" s="57" t="s">
        <v>222</v>
      </c>
      <c r="C23" s="59" t="e">
        <f>+IF($C$5&lt;$D$2,+'Total Linen March 31st'!#REF!,0)</f>
        <v>#REF!</v>
      </c>
      <c r="D23" s="63"/>
      <c r="E23" s="64"/>
      <c r="F23" s="65" t="e">
        <f>+IF($F$5&lt;$D$2,+'Total Linen June 30th'!#REF!,0)</f>
        <v>#REF!</v>
      </c>
      <c r="G23" s="54" t="e">
        <f>+F23-C23</f>
        <v>#REF!</v>
      </c>
      <c r="H23" s="64"/>
      <c r="I23" s="59" t="e">
        <f>+IF($I$5&lt;$D$2,+'Total Linen Sept 30th'!#REF!,0)</f>
        <v>#REF!</v>
      </c>
      <c r="J23" s="55" t="e">
        <f>+I23-F23</f>
        <v>#REF!</v>
      </c>
      <c r="K23" s="64"/>
      <c r="L23" s="65">
        <f>+IF($L$5&lt;$D$2,+'Total Linen Dec 31st'!#REF!,0)</f>
        <v>0</v>
      </c>
      <c r="M23" s="54" t="e">
        <f>+L23-I23</f>
        <v>#REF!</v>
      </c>
      <c r="P23" s="631"/>
      <c r="Q23" s="631"/>
      <c r="R23" s="631"/>
      <c r="S23" s="631"/>
      <c r="T23" s="631"/>
      <c r="U23" s="631"/>
    </row>
    <row r="24" spans="1:21" ht="18" customHeight="1" x14ac:dyDescent="0.25">
      <c r="A24" s="57" t="s">
        <v>116</v>
      </c>
      <c r="C24" s="59">
        <f>+IF($C$5&lt;$D$2,+'Total Linen March 31st'!$N$13,0)</f>
        <v>-22.5</v>
      </c>
      <c r="D24" s="63"/>
      <c r="E24" s="64"/>
      <c r="F24" s="65" t="e">
        <f>+IF($F$5&lt;$D$2,+'Total Linen June 30th'!#REF!,0)</f>
        <v>#REF!</v>
      </c>
      <c r="G24" s="54" t="e">
        <f>+F24-C24</f>
        <v>#REF!</v>
      </c>
      <c r="H24" s="64"/>
      <c r="I24" s="59" t="e">
        <f>+IF($I$5&lt;$D$2,+'Total Linen Sept 30th'!#REF!,0)</f>
        <v>#REF!</v>
      </c>
      <c r="J24" s="55" t="e">
        <f>+I24-F24</f>
        <v>#REF!</v>
      </c>
      <c r="K24" s="64"/>
      <c r="L24" s="65">
        <f>+IF($L$5&lt;$D$2,+'Total Linen Dec 31st'!#REF!,0)</f>
        <v>0</v>
      </c>
      <c r="M24" s="54" t="e">
        <f>+L24-I24</f>
        <v>#REF!</v>
      </c>
      <c r="P24" s="631"/>
      <c r="Q24" s="631"/>
      <c r="R24" s="631"/>
      <c r="S24" s="631"/>
      <c r="T24" s="631"/>
      <c r="U24" s="631"/>
    </row>
    <row r="25" spans="1:21" ht="18" customHeight="1" thickBot="1" x14ac:dyDescent="0.3">
      <c r="A25" s="57" t="s">
        <v>223</v>
      </c>
      <c r="C25" s="66">
        <f>+IF($C$5&lt;$D$2,+'Total Linen March 31st'!$O$13,0)</f>
        <v>0</v>
      </c>
      <c r="D25" s="67"/>
      <c r="E25" s="68"/>
      <c r="F25" s="69" t="e">
        <f>+IF($F$5&lt;$D$2,+'Total Linen June 30th'!#REF!,0)</f>
        <v>#REF!</v>
      </c>
      <c r="G25" s="79" t="e">
        <f>+F25-C25</f>
        <v>#REF!</v>
      </c>
      <c r="H25" s="68"/>
      <c r="I25" s="66" t="e">
        <f>+IF($I$5&lt;$D$2,+'Total Linen Sept 30th'!#REF!,0)</f>
        <v>#REF!</v>
      </c>
      <c r="J25" s="80" t="e">
        <f>+I25-F25</f>
        <v>#REF!</v>
      </c>
      <c r="K25" s="68"/>
      <c r="L25" s="69">
        <f>+IF($L$5&lt;$D$2,+'Total Linen Dec 31st'!#REF!,0)</f>
        <v>0</v>
      </c>
      <c r="M25" s="79" t="e">
        <f>+L25-I25</f>
        <v>#REF!</v>
      </c>
      <c r="P25" s="631"/>
      <c r="Q25" s="631"/>
      <c r="R25" s="631"/>
      <c r="S25" s="631"/>
      <c r="T25" s="631"/>
      <c r="U25" s="631"/>
    </row>
    <row r="26" spans="1:21" ht="18" customHeight="1" x14ac:dyDescent="0.25">
      <c r="A26" s="82"/>
      <c r="D26" s="83"/>
      <c r="P26" s="631"/>
      <c r="Q26" s="631"/>
      <c r="R26" s="631"/>
      <c r="S26" s="631"/>
      <c r="T26" s="631"/>
      <c r="U26" s="631"/>
    </row>
    <row r="27" spans="1:21" ht="18" customHeight="1" thickBot="1" x14ac:dyDescent="0.35">
      <c r="A27" s="81" t="s">
        <v>104</v>
      </c>
      <c r="C27" s="64"/>
      <c r="D27" s="71"/>
      <c r="E27" s="64"/>
      <c r="F27" s="64"/>
      <c r="G27" s="71"/>
      <c r="H27" s="64"/>
      <c r="I27" s="64"/>
      <c r="J27" s="71"/>
      <c r="K27" s="64"/>
      <c r="L27" s="64"/>
      <c r="M27" s="71"/>
      <c r="P27" s="158"/>
      <c r="Q27" s="158"/>
      <c r="R27" s="158"/>
      <c r="S27" s="158"/>
      <c r="T27" s="158"/>
      <c r="U27" s="158"/>
    </row>
    <row r="28" spans="1:21" ht="18" customHeight="1" x14ac:dyDescent="0.25">
      <c r="A28" s="57" t="s">
        <v>114</v>
      </c>
      <c r="C28" s="73">
        <f>+IF($C$5&lt;$D$2,+'Total Linen March 31st'!$Q$13,0)</f>
        <v>-22.5</v>
      </c>
      <c r="D28" s="74"/>
      <c r="E28" s="75"/>
      <c r="F28" s="76" t="e">
        <f>+IF($F$5&lt;$D$2,+'Total Linen June 30th'!#REF!,0)</f>
        <v>#REF!</v>
      </c>
      <c r="G28" s="77" t="e">
        <f>+F28-C28</f>
        <v>#REF!</v>
      </c>
      <c r="H28" s="75"/>
      <c r="I28" s="73" t="e">
        <f>+IF($I$5&lt;$D$2,+'Total Linen Sept 30th'!#REF!,0)</f>
        <v>#REF!</v>
      </c>
      <c r="J28" s="78" t="e">
        <f>+I28-F28</f>
        <v>#REF!</v>
      </c>
      <c r="K28" s="75"/>
      <c r="L28" s="76">
        <f>+IF($L$5&lt;$D$2,+'Total Linen Dec 31st'!#REF!,0)</f>
        <v>0</v>
      </c>
      <c r="M28" s="77" t="e">
        <f>+L28-I28</f>
        <v>#REF!</v>
      </c>
      <c r="P28" s="158"/>
      <c r="Q28" s="158"/>
      <c r="R28" s="158"/>
      <c r="S28" s="158"/>
      <c r="T28" s="158"/>
      <c r="U28" s="158"/>
    </row>
    <row r="29" spans="1:21" ht="18" customHeight="1" x14ac:dyDescent="0.25">
      <c r="A29" s="57" t="s">
        <v>115</v>
      </c>
      <c r="C29" s="59">
        <f>+IF($C$5&lt;$D$2,+'Total Linen March 31st'!$S$13,0)</f>
        <v>-22.5</v>
      </c>
      <c r="D29" s="63"/>
      <c r="E29" s="64"/>
      <c r="F29" s="65" t="e">
        <f>+IF($F$5&lt;$D$2,+'Total Linen June 30th'!#REF!,0)</f>
        <v>#REF!</v>
      </c>
      <c r="G29" s="54" t="e">
        <f>+F29-C29</f>
        <v>#REF!</v>
      </c>
      <c r="H29" s="64"/>
      <c r="I29" s="59" t="e">
        <f>+IF($I$5&lt;$D$2,+'Total Linen Sept 30th'!#REF!,0)</f>
        <v>#REF!</v>
      </c>
      <c r="J29" s="55" t="e">
        <f>+I29-F29</f>
        <v>#REF!</v>
      </c>
      <c r="K29" s="64"/>
      <c r="L29" s="65">
        <f>+IF($L$5&lt;$D$2,+'Total Linen Dec 31st'!#REF!,0)</f>
        <v>0</v>
      </c>
      <c r="M29" s="54" t="e">
        <f>+L29-I29</f>
        <v>#REF!</v>
      </c>
      <c r="P29" s="158"/>
      <c r="Q29" s="158"/>
      <c r="R29" s="158"/>
      <c r="S29" s="158"/>
      <c r="T29" s="158"/>
      <c r="U29" s="158"/>
    </row>
    <row r="30" spans="1:21" ht="18" customHeight="1" x14ac:dyDescent="0.25">
      <c r="A30" s="57" t="s">
        <v>224</v>
      </c>
      <c r="C30" s="59" t="e">
        <f>+IF($C$5&lt;$D$2,+'Total Linen March 31st'!#REF!,0)</f>
        <v>#REF!</v>
      </c>
      <c r="D30" s="63"/>
      <c r="E30" s="64"/>
      <c r="F30" s="65" t="e">
        <f>+IF($F$5&lt;$D$2,+'Total Linen June 30th'!#REF!,0)</f>
        <v>#REF!</v>
      </c>
      <c r="G30" s="54" t="e">
        <f>+F30-C30</f>
        <v>#REF!</v>
      </c>
      <c r="H30" s="64"/>
      <c r="I30" s="59" t="e">
        <f>+IF($I$5&lt;$D$2,+'Total Linen Sept 30th'!#REF!,0)</f>
        <v>#REF!</v>
      </c>
      <c r="J30" s="55" t="e">
        <f>+I30-F30</f>
        <v>#REF!</v>
      </c>
      <c r="K30" s="64"/>
      <c r="L30" s="65">
        <f>+IF($L$5&lt;$D$2,+'Total Linen Dec 31st'!#REF!,0)</f>
        <v>0</v>
      </c>
      <c r="M30" s="54" t="e">
        <f>+L30-I30</f>
        <v>#REF!</v>
      </c>
      <c r="P30" s="158"/>
      <c r="Q30" s="158"/>
      <c r="R30" s="158"/>
      <c r="S30" s="158"/>
      <c r="T30" s="158"/>
      <c r="U30" s="158"/>
    </row>
    <row r="32" spans="1:21" ht="18" customHeight="1" thickBot="1" x14ac:dyDescent="0.35">
      <c r="A32" s="81" t="s">
        <v>225</v>
      </c>
      <c r="C32" s="64"/>
      <c r="D32" s="71"/>
      <c r="E32" s="64"/>
      <c r="F32" s="64"/>
      <c r="G32" s="71"/>
      <c r="H32" s="64"/>
      <c r="I32" s="64"/>
      <c r="J32" s="71"/>
      <c r="K32" s="64"/>
      <c r="L32" s="64"/>
      <c r="M32" s="71"/>
    </row>
    <row r="33" spans="1:21" ht="18" customHeight="1" x14ac:dyDescent="0.25">
      <c r="A33" s="57" t="s">
        <v>226</v>
      </c>
      <c r="C33" s="73" t="e">
        <f>+IF($C$5&lt;$D$2,+'Total Linen March 31st'!#REF!,0)</f>
        <v>#REF!</v>
      </c>
      <c r="D33" s="74"/>
      <c r="E33" s="75"/>
      <c r="F33" s="76" t="e">
        <f>+IF($F$5&lt;$D$2,+'Total Linen June 30th'!#REF!,0)</f>
        <v>#REF!</v>
      </c>
      <c r="G33" s="77" t="e">
        <f>+F33-C33</f>
        <v>#REF!</v>
      </c>
      <c r="H33" s="75"/>
      <c r="I33" s="73" t="e">
        <f>+IF($I$5&lt;$D$2,+'Total Linen Sept 30th'!#REF!,0)</f>
        <v>#REF!</v>
      </c>
      <c r="J33" s="78" t="e">
        <f>+I33-F33</f>
        <v>#REF!</v>
      </c>
      <c r="K33" s="75"/>
      <c r="L33" s="76">
        <f>+IF($L$5&lt;$D$2,+'Total Linen Dec 31st'!#REF!,0)</f>
        <v>0</v>
      </c>
      <c r="M33" s="77" t="e">
        <f>+L33-I33</f>
        <v>#REF!</v>
      </c>
    </row>
    <row r="34" spans="1:21" ht="18" customHeight="1" x14ac:dyDescent="0.25">
      <c r="A34" s="57" t="s">
        <v>227</v>
      </c>
      <c r="C34" s="59" t="e">
        <f>+IF($C$5&lt;$D$2,+'Total Linen March 31st'!#REF!,0)</f>
        <v>#REF!</v>
      </c>
      <c r="D34" s="63"/>
      <c r="E34" s="64"/>
      <c r="F34" s="65" t="e">
        <f>+IF($F$5&lt;$D$2,+'Total Linen June 30th'!#REF!,0)</f>
        <v>#REF!</v>
      </c>
      <c r="G34" s="54" t="e">
        <f>+F34-C34</f>
        <v>#REF!</v>
      </c>
      <c r="H34" s="64"/>
      <c r="I34" s="59" t="e">
        <f>+IF($I$5&lt;$D$2,+'Total Linen Sept 30th'!#REF!,0)</f>
        <v>#REF!</v>
      </c>
      <c r="J34" s="55" t="e">
        <f>+I34-F34</f>
        <v>#REF!</v>
      </c>
      <c r="K34" s="64"/>
      <c r="L34" s="65">
        <f>+IF($L$5&lt;$D$2,+'Total Linen Dec 31st'!#REF!,0)</f>
        <v>0</v>
      </c>
      <c r="M34" s="54" t="e">
        <f>+L34-I34</f>
        <v>#REF!</v>
      </c>
    </row>
    <row r="35" spans="1:21" ht="18" customHeight="1" x14ac:dyDescent="0.25">
      <c r="A35" s="57" t="s">
        <v>228</v>
      </c>
      <c r="C35" s="59">
        <f>+IF($C$5&lt;$D$2,+'Total Linen March 31st'!$W$13,0)</f>
        <v>0</v>
      </c>
      <c r="D35" s="63"/>
      <c r="E35" s="64"/>
      <c r="F35" s="65" t="e">
        <f>+IF($F$5&lt;$D$2,+'Total Linen June 30th'!#REF!,0)</f>
        <v>#REF!</v>
      </c>
      <c r="G35" s="54" t="e">
        <f>+F35-C35</f>
        <v>#REF!</v>
      </c>
      <c r="H35" s="64"/>
      <c r="I35" s="59" t="e">
        <f>+IF($I$5&lt;$D$2,+'Total Linen Sept 30th'!#REF!,0)</f>
        <v>#REF!</v>
      </c>
      <c r="J35" s="55" t="e">
        <f>+I35-F35</f>
        <v>#REF!</v>
      </c>
      <c r="K35" s="64"/>
      <c r="L35" s="65">
        <f>+IF($L$5&lt;$D$2,+'Total Linen Dec 31st'!#REF!,0)</f>
        <v>0</v>
      </c>
      <c r="M35" s="54" t="e">
        <f>+L35-I35</f>
        <v>#REF!</v>
      </c>
    </row>
    <row r="36" spans="1:21" ht="18" customHeight="1" x14ac:dyDescent="0.25">
      <c r="A36" s="57" t="s">
        <v>229</v>
      </c>
      <c r="C36" s="59">
        <f>+IF($C$5&lt;$D$2,+'Total Linen March 31st'!X$13,0)</f>
        <v>-22.5</v>
      </c>
      <c r="D36" s="63"/>
      <c r="E36" s="64"/>
      <c r="F36" s="65" t="e">
        <f>+IF($F$5&lt;$D$2,+'Total Linen June 30th'!#REF!,0)</f>
        <v>#REF!</v>
      </c>
      <c r="G36" s="54" t="e">
        <f>+F36-C36</f>
        <v>#REF!</v>
      </c>
      <c r="H36" s="64"/>
      <c r="I36" s="59" t="e">
        <f>+IF($I$5&lt;$D$2,+'Total Linen Sept 30th'!#REF!,0)</f>
        <v>#REF!</v>
      </c>
      <c r="J36" s="55" t="e">
        <f>+I36-F36</f>
        <v>#REF!</v>
      </c>
      <c r="K36" s="64"/>
      <c r="L36" s="65">
        <f>+IF($L$5&lt;$D$2,+'Total Linen Dec 31st'!#REF!,0)</f>
        <v>0</v>
      </c>
      <c r="M36" s="54" t="e">
        <f>+L36-I36</f>
        <v>#REF!</v>
      </c>
    </row>
    <row r="38" spans="1:21" ht="20.25" x14ac:dyDescent="0.3">
      <c r="C38" s="630" t="s">
        <v>230</v>
      </c>
      <c r="D38" s="630"/>
      <c r="E38" s="630"/>
      <c r="F38" s="630"/>
      <c r="G38" s="630"/>
      <c r="H38" s="630"/>
      <c r="I38" s="630"/>
      <c r="J38" s="630"/>
      <c r="K38" s="630"/>
      <c r="L38" s="630"/>
      <c r="M38" s="630"/>
    </row>
    <row r="39" spans="1:21" ht="18" x14ac:dyDescent="0.25">
      <c r="C39" s="625" t="s">
        <v>214</v>
      </c>
      <c r="D39" s="625"/>
      <c r="E39" s="625"/>
      <c r="F39" s="625"/>
      <c r="G39" s="625"/>
      <c r="H39" s="625"/>
      <c r="I39" s="625"/>
      <c r="J39" s="625"/>
      <c r="K39" s="625"/>
      <c r="L39" s="625"/>
      <c r="M39" s="625"/>
    </row>
    <row r="40" spans="1:21" ht="15" x14ac:dyDescent="0.25">
      <c r="C40" s="634">
        <v>1</v>
      </c>
      <c r="D40" s="634" t="s">
        <v>215</v>
      </c>
      <c r="E40" s="45"/>
      <c r="F40" s="634">
        <v>2</v>
      </c>
      <c r="G40" s="634" t="s">
        <v>215</v>
      </c>
      <c r="I40" s="634">
        <v>3</v>
      </c>
      <c r="J40" s="634" t="s">
        <v>215</v>
      </c>
      <c r="K40" s="45"/>
      <c r="L40" s="634">
        <v>4</v>
      </c>
      <c r="M40" s="634" t="s">
        <v>215</v>
      </c>
      <c r="N40" s="632" t="s">
        <v>231</v>
      </c>
    </row>
    <row r="41" spans="1:21" ht="19.5" thickBot="1" x14ac:dyDescent="0.35">
      <c r="A41" s="46" t="s">
        <v>216</v>
      </c>
      <c r="C41" s="635"/>
      <c r="D41" s="635"/>
      <c r="E41" s="84"/>
      <c r="F41" s="635"/>
      <c r="G41" s="635"/>
      <c r="H41" s="84"/>
      <c r="I41" s="635"/>
      <c r="J41" s="635"/>
      <c r="K41" s="84"/>
      <c r="L41" s="635"/>
      <c r="M41" s="635"/>
      <c r="N41" s="633"/>
    </row>
    <row r="42" spans="1:21" ht="15.75" x14ac:dyDescent="0.25">
      <c r="A42" s="48" t="s">
        <v>137</v>
      </c>
      <c r="B42" s="49"/>
      <c r="C42" s="98">
        <f>+IF($C$5&lt;$D$2,+'Total Linen March 31st'!$B$21,0)</f>
        <v>0</v>
      </c>
      <c r="D42" s="99"/>
      <c r="E42" s="100"/>
      <c r="F42" s="101">
        <f>+IF($F$5&lt;$D$2,+'Total Linen June 30th'!$B$11,0)</f>
        <v>0</v>
      </c>
      <c r="G42" s="102">
        <f>+F42-C42</f>
        <v>0</v>
      </c>
      <c r="H42" s="100"/>
      <c r="I42" s="98">
        <f>+IF($I$5&lt;$D$2,+'Total Linen Sept 30th'!$B$12,0)</f>
        <v>0</v>
      </c>
      <c r="J42" s="103">
        <f>+I42-F42</f>
        <v>0</v>
      </c>
      <c r="K42" s="100"/>
      <c r="L42" s="101">
        <f>+IF($L$5&lt;$D$2,+'Total Linen Dec 31st'!$B$12,0)</f>
        <v>0</v>
      </c>
      <c r="M42" s="104">
        <f>+L42-I42</f>
        <v>0</v>
      </c>
      <c r="N42" s="105">
        <f>AVERAGE(C42,F42,I42,L42)</f>
        <v>0</v>
      </c>
      <c r="P42" s="631" t="s">
        <v>232</v>
      </c>
      <c r="Q42" s="631"/>
      <c r="R42" s="631"/>
      <c r="S42" s="631"/>
      <c r="T42" s="631"/>
      <c r="U42" s="631"/>
    </row>
    <row r="43" spans="1:21" ht="15.75" x14ac:dyDescent="0.25">
      <c r="A43" s="57" t="s">
        <v>138</v>
      </c>
      <c r="B43" s="58"/>
      <c r="C43" s="106">
        <f>+IF($C$5&lt;$D$2,+'Total Linen March 31st'!$C$21,0)</f>
        <v>0</v>
      </c>
      <c r="D43" s="107"/>
      <c r="E43" s="108"/>
      <c r="F43" s="109">
        <f>+IF($F$5&lt;$D$2,+'Total Linen June 30th'!$C$11,0)</f>
        <v>0</v>
      </c>
      <c r="G43" s="110">
        <f>+F43-C43</f>
        <v>0</v>
      </c>
      <c r="H43" s="108"/>
      <c r="I43" s="106">
        <f>+IF($I$5&lt;$D$2,+'Total Linen Sept 30th'!$C$12,0)</f>
        <v>0</v>
      </c>
      <c r="J43" s="111">
        <f>+I43-F43</f>
        <v>0</v>
      </c>
      <c r="K43" s="108"/>
      <c r="L43" s="109">
        <f>+IF($L$5&lt;$D$2,+'Total Linen Dec 31st'!$C$12,0)</f>
        <v>0</v>
      </c>
      <c r="M43" s="112">
        <f>+L43-I43</f>
        <v>0</v>
      </c>
      <c r="N43" s="113">
        <f>AVERAGE(C43,F43,I43,L43)</f>
        <v>0</v>
      </c>
      <c r="P43" s="631"/>
      <c r="Q43" s="631"/>
      <c r="R43" s="631"/>
      <c r="S43" s="631"/>
      <c r="T43" s="631"/>
      <c r="U43" s="631"/>
    </row>
    <row r="44" spans="1:21" ht="15.75" x14ac:dyDescent="0.25">
      <c r="A44" s="62" t="s">
        <v>139</v>
      </c>
      <c r="B44" s="49"/>
      <c r="C44" s="59">
        <f>+IF($C$5&lt;$D$2,+'Total Linen March 31st'!$D$21,0)</f>
        <v>0</v>
      </c>
      <c r="D44" s="60"/>
      <c r="E44" s="52"/>
      <c r="F44" s="61">
        <f>+IF($F$5&lt;$D$2,+'Total Linen June 30th'!$D$11,0)</f>
        <v>0</v>
      </c>
      <c r="G44" s="110">
        <f>+F44-C44</f>
        <v>0</v>
      </c>
      <c r="H44" s="52"/>
      <c r="I44" s="59">
        <f>+IF($I$5&lt;$D$2,+'Total Linen Sept 30th'!$D$12,0)</f>
        <v>0</v>
      </c>
      <c r="J44" s="111">
        <f>+I44-F44</f>
        <v>0</v>
      </c>
      <c r="K44" s="52"/>
      <c r="L44" s="61">
        <f>+IF($L$5&lt;$D$2,+'Total Linen Dec 31st'!$D$12,0)</f>
        <v>0</v>
      </c>
      <c r="M44" s="112">
        <f>+L44-I44</f>
        <v>0</v>
      </c>
      <c r="N44" s="113">
        <f>AVERAGE(C44,F44,I44,L44)</f>
        <v>0</v>
      </c>
      <c r="P44" s="631"/>
      <c r="Q44" s="631"/>
      <c r="R44" s="631"/>
      <c r="S44" s="631"/>
      <c r="T44" s="631"/>
      <c r="U44" s="631"/>
    </row>
    <row r="45" spans="1:21" ht="15.75" x14ac:dyDescent="0.25">
      <c r="A45" s="57" t="s">
        <v>140</v>
      </c>
      <c r="C45" s="59">
        <f>+IF($C$5&lt;$D$2,+'Total Linen March 31st'!$E$21,0)</f>
        <v>0</v>
      </c>
      <c r="D45" s="63"/>
      <c r="E45" s="64"/>
      <c r="F45" s="65">
        <f>+IF($F$5&lt;$D$2,+'Total Linen June 30th'!$E$11,0)</f>
        <v>0</v>
      </c>
      <c r="G45" s="110">
        <f>+F45-C45</f>
        <v>0</v>
      </c>
      <c r="H45" s="64"/>
      <c r="I45" s="59">
        <f>+IF($I$5&lt;$D$2,+'Total Linen Sept 30th'!$E$12,0)</f>
        <v>0</v>
      </c>
      <c r="J45" s="111">
        <f>+I45-F45</f>
        <v>0</v>
      </c>
      <c r="K45" s="64"/>
      <c r="L45" s="65">
        <f>+IF($L$5&lt;$D$2,+'Total Linen Dec 31st'!$E$12,0)</f>
        <v>0</v>
      </c>
      <c r="M45" s="112">
        <f>+L45-I45</f>
        <v>0</v>
      </c>
      <c r="N45" s="113">
        <f>AVERAGE(C45,F45,I45,L45)</f>
        <v>0</v>
      </c>
      <c r="P45" s="631"/>
      <c r="Q45" s="631"/>
      <c r="R45" s="631"/>
      <c r="S45" s="631"/>
      <c r="T45" s="631"/>
      <c r="U45" s="631"/>
    </row>
    <row r="46" spans="1:21" ht="16.5" thickBot="1" x14ac:dyDescent="0.3">
      <c r="A46" s="57" t="s">
        <v>152</v>
      </c>
      <c r="C46" s="66" t="e">
        <f>+IF($C$5&lt;$D$2,+'Total Linen March 31st'!#REF!,0)</f>
        <v>#REF!</v>
      </c>
      <c r="D46" s="67"/>
      <c r="E46" s="68"/>
      <c r="F46" s="69" t="e">
        <f>+IF($F$5&lt;$D$2,+'Total Linen June 30th'!#REF!,0)</f>
        <v>#REF!</v>
      </c>
      <c r="G46" s="114" t="e">
        <f>+F46-C46</f>
        <v>#REF!</v>
      </c>
      <c r="H46" s="68"/>
      <c r="I46" s="66" t="e">
        <f>+IF($I$5&lt;$D$2,+'Total Linen Sept 30th'!#REF!,0)</f>
        <v>#REF!</v>
      </c>
      <c r="J46" s="115" t="e">
        <f>+I46-F46</f>
        <v>#REF!</v>
      </c>
      <c r="K46" s="68"/>
      <c r="L46" s="69">
        <f>+IF($L$5&lt;$D$2,+'Total Linen Dec 31st'!#REF!,0)</f>
        <v>0</v>
      </c>
      <c r="M46" s="116" t="e">
        <f>+L46-I46</f>
        <v>#REF!</v>
      </c>
      <c r="N46" s="117" t="e">
        <f>AVERAGE(C46,F46,I46,L46)</f>
        <v>#REF!</v>
      </c>
      <c r="P46" s="631"/>
      <c r="Q46" s="631"/>
      <c r="R46" s="631"/>
      <c r="S46" s="631"/>
      <c r="T46" s="631"/>
      <c r="U46" s="631"/>
    </row>
    <row r="47" spans="1:21" ht="15" x14ac:dyDescent="0.2">
      <c r="A47" s="70"/>
      <c r="C47" s="64"/>
      <c r="D47" s="71"/>
      <c r="E47" s="64"/>
      <c r="F47" s="64"/>
      <c r="G47" s="71"/>
      <c r="H47" s="64"/>
      <c r="I47" s="64"/>
      <c r="J47" s="71"/>
      <c r="K47" s="64"/>
      <c r="L47" s="64"/>
      <c r="M47" s="71"/>
      <c r="N47" s="118"/>
      <c r="P47" s="631"/>
      <c r="Q47" s="631"/>
      <c r="R47" s="631"/>
      <c r="S47" s="631"/>
      <c r="T47" s="631"/>
      <c r="U47" s="631"/>
    </row>
    <row r="48" spans="1:21" ht="19.5" thickBot="1" x14ac:dyDescent="0.35">
      <c r="A48" s="72" t="s">
        <v>218</v>
      </c>
      <c r="C48" s="64"/>
      <c r="D48" s="71"/>
      <c r="E48" s="64"/>
      <c r="F48" s="64"/>
      <c r="G48" s="71"/>
      <c r="H48" s="64"/>
      <c r="I48" s="64"/>
      <c r="J48" s="71"/>
      <c r="K48" s="64"/>
      <c r="L48" s="64"/>
      <c r="M48" s="71"/>
      <c r="N48" s="118"/>
      <c r="P48" s="631"/>
      <c r="Q48" s="631"/>
      <c r="R48" s="631"/>
      <c r="S48" s="631"/>
      <c r="T48" s="631"/>
      <c r="U48" s="631"/>
    </row>
    <row r="49" spans="1:21" ht="15.75" x14ac:dyDescent="0.25">
      <c r="A49" s="57" t="s">
        <v>114</v>
      </c>
      <c r="C49" s="73">
        <f>+IF($C$5&lt;$D$2,+'Total Linen March 31st'!$G$21,0)</f>
        <v>0</v>
      </c>
      <c r="D49" s="74"/>
      <c r="E49" s="75"/>
      <c r="F49" s="76">
        <f>+IF($F$5&lt;$D$2,+'Total Linen June 30th'!$G$11,0)</f>
        <v>0</v>
      </c>
      <c r="G49" s="102">
        <f>+F49-C49</f>
        <v>0</v>
      </c>
      <c r="H49" s="75"/>
      <c r="I49" s="73">
        <f>+IF($I$5&lt;$D$2,+'Total Linen Sept 30th'!$G$12,0)</f>
        <v>0</v>
      </c>
      <c r="J49" s="103">
        <f>+I49-F49</f>
        <v>0</v>
      </c>
      <c r="K49" s="75"/>
      <c r="L49" s="76">
        <f>+IF($L$5&lt;$D$2,+'Total Linen Dec 31st'!$G$12,0)</f>
        <v>0</v>
      </c>
      <c r="M49" s="104">
        <f>+L49-I49</f>
        <v>0</v>
      </c>
      <c r="N49" s="105">
        <f>AVERAGE(C49,F49,I49,L49)</f>
        <v>0</v>
      </c>
      <c r="P49" s="631"/>
      <c r="Q49" s="631"/>
      <c r="R49" s="631"/>
      <c r="S49" s="631"/>
      <c r="T49" s="631"/>
      <c r="U49" s="631"/>
    </row>
    <row r="50" spans="1:21" ht="15.75" x14ac:dyDescent="0.25">
      <c r="A50" s="57" t="s">
        <v>115</v>
      </c>
      <c r="C50" s="59">
        <f>+IF($C$5&lt;$D$2,+'Total Linen March 31st'!$H$21,0)</f>
        <v>0</v>
      </c>
      <c r="D50" s="63"/>
      <c r="E50" s="64"/>
      <c r="F50" s="65">
        <f>+IF($F$5&lt;$D$2,+'Total Linen June 30th'!$H$11,0)</f>
        <v>0</v>
      </c>
      <c r="G50" s="110">
        <f>+F50-C50</f>
        <v>0</v>
      </c>
      <c r="H50" s="64"/>
      <c r="I50" s="59">
        <f>+IF($I$5&lt;$D$2,+'Total Linen Sept 30th'!$H$12,0)</f>
        <v>0</v>
      </c>
      <c r="J50" s="111">
        <f>+I50-F50</f>
        <v>0</v>
      </c>
      <c r="K50" s="64"/>
      <c r="L50" s="65">
        <f>+IF($L$5&lt;$D$2,+'Total Linen Dec 31st'!$H$12,0)</f>
        <v>0</v>
      </c>
      <c r="M50" s="112">
        <f>+L50-I50</f>
        <v>0</v>
      </c>
      <c r="N50" s="113">
        <f>AVERAGE(C50,F50,I50,L50)</f>
        <v>0</v>
      </c>
      <c r="P50" s="631"/>
      <c r="Q50" s="631"/>
      <c r="R50" s="631"/>
      <c r="S50" s="631"/>
      <c r="T50" s="631"/>
      <c r="U50" s="631"/>
    </row>
    <row r="51" spans="1:21" ht="15.75" x14ac:dyDescent="0.25">
      <c r="A51" s="57" t="s">
        <v>219</v>
      </c>
      <c r="C51" s="59" t="e">
        <f>+IF($C$5&lt;$D$2,+'Total Linen March 31st'!#REF!,0)</f>
        <v>#REF!</v>
      </c>
      <c r="D51" s="63"/>
      <c r="E51" s="64"/>
      <c r="F51" s="65" t="e">
        <f>+IF($F$5&lt;$D$2,+'Total Linen June 30th'!#REF!,0)</f>
        <v>#REF!</v>
      </c>
      <c r="G51" s="110" t="e">
        <f>+F51-C51</f>
        <v>#REF!</v>
      </c>
      <c r="H51" s="64"/>
      <c r="I51" s="59" t="e">
        <f>+IF($I$5&lt;$D$2,+'Total Linen Sept 30th'!#REF!,0)</f>
        <v>#REF!</v>
      </c>
      <c r="J51" s="111" t="e">
        <f>+I51-F51</f>
        <v>#REF!</v>
      </c>
      <c r="K51" s="64"/>
      <c r="L51" s="65">
        <f>+IF($L$5&lt;$D$2,+'Total Linen Dec 31st'!#REF!,0)</f>
        <v>0</v>
      </c>
      <c r="M51" s="112" t="e">
        <f>+L51-I51</f>
        <v>#REF!</v>
      </c>
      <c r="N51" s="113" t="e">
        <f>AVERAGE(C51,F51,I51,L51)</f>
        <v>#REF!</v>
      </c>
      <c r="P51" s="631"/>
      <c r="Q51" s="631"/>
      <c r="R51" s="631"/>
      <c r="S51" s="631"/>
      <c r="T51" s="631"/>
      <c r="U51" s="631"/>
    </row>
    <row r="52" spans="1:21" ht="15.75" x14ac:dyDescent="0.25">
      <c r="A52" s="57" t="s">
        <v>116</v>
      </c>
      <c r="C52" s="59">
        <f>+IF($C$5&lt;$D$2,+'Total Linen March 31st'!$I$21,0)</f>
        <v>0</v>
      </c>
      <c r="D52" s="63"/>
      <c r="E52" s="64"/>
      <c r="F52" s="65">
        <f>+IF($F$5&lt;$D$2,+'Total Linen June 30th'!$K$11,0)</f>
        <v>0</v>
      </c>
      <c r="G52" s="110">
        <f>+F52-C52</f>
        <v>0</v>
      </c>
      <c r="H52" s="64"/>
      <c r="I52" s="59">
        <f>+IF($I$5&lt;$D$2,+'Total Linen Sept 30th'!$K$12,0)</f>
        <v>0</v>
      </c>
      <c r="J52" s="111">
        <f>+I52-F52</f>
        <v>0</v>
      </c>
      <c r="K52" s="64"/>
      <c r="L52" s="65">
        <f>+IF($L$5&lt;$D$2,+'Total Linen Dec 31st'!$K$12,0)</f>
        <v>0</v>
      </c>
      <c r="M52" s="112">
        <f>+L52-I52</f>
        <v>0</v>
      </c>
      <c r="N52" s="113">
        <f>AVERAGE(C52,F52,I52,L52)</f>
        <v>0</v>
      </c>
      <c r="P52" s="631"/>
      <c r="Q52" s="631"/>
      <c r="R52" s="631"/>
      <c r="S52" s="631"/>
      <c r="T52" s="631"/>
      <c r="U52" s="631"/>
    </row>
    <row r="53" spans="1:21" ht="16.5" thickBot="1" x14ac:dyDescent="0.3">
      <c r="A53" s="57" t="s">
        <v>220</v>
      </c>
      <c r="C53" s="66">
        <f>+IF($C$5&lt;$D$2,+'Total Linen March 31st'!$J$21,0)</f>
        <v>0</v>
      </c>
      <c r="D53" s="67"/>
      <c r="E53" s="68"/>
      <c r="F53" s="69">
        <f>+IF($F$5&lt;$D$2,+'Total Linen June 30th'!$L$11,0)</f>
        <v>0</v>
      </c>
      <c r="G53" s="114">
        <f>+F53-C53</f>
        <v>0</v>
      </c>
      <c r="H53" s="68"/>
      <c r="I53" s="66">
        <f>+IF($I$5&lt;$D$2,+'Total Linen Sept 30th'!$L$12,0)</f>
        <v>15</v>
      </c>
      <c r="J53" s="115">
        <f>+I53-F53</f>
        <v>15</v>
      </c>
      <c r="K53" s="68"/>
      <c r="L53" s="69">
        <f>+IF($L$5&lt;$D$2,+'Total Linen Dec 31st'!$L$12,0)</f>
        <v>0</v>
      </c>
      <c r="M53" s="116">
        <f>+L53-I53</f>
        <v>-15</v>
      </c>
      <c r="N53" s="117">
        <f>AVERAGE(C53,F53,I53,L53)</f>
        <v>3.75</v>
      </c>
      <c r="P53" s="631"/>
      <c r="Q53" s="631"/>
      <c r="R53" s="631"/>
      <c r="S53" s="631"/>
      <c r="T53" s="631"/>
      <c r="U53" s="631"/>
    </row>
    <row r="54" spans="1:21" ht="15" x14ac:dyDescent="0.2">
      <c r="A54" s="70"/>
      <c r="C54" s="64"/>
      <c r="D54" s="71"/>
      <c r="E54" s="64"/>
      <c r="F54" s="64"/>
      <c r="G54" s="71"/>
      <c r="H54" s="64"/>
      <c r="I54" s="64"/>
      <c r="J54" s="71"/>
      <c r="K54" s="64"/>
      <c r="L54" s="64"/>
      <c r="M54" s="71"/>
      <c r="N54" s="118"/>
      <c r="P54" s="631"/>
      <c r="Q54" s="631"/>
      <c r="R54" s="631"/>
      <c r="S54" s="631"/>
      <c r="T54" s="631"/>
      <c r="U54" s="631"/>
    </row>
    <row r="55" spans="1:21" ht="19.5" thickBot="1" x14ac:dyDescent="0.35">
      <c r="A55" s="81" t="s">
        <v>221</v>
      </c>
      <c r="C55" s="64"/>
      <c r="D55" s="71"/>
      <c r="E55" s="64"/>
      <c r="F55" s="64"/>
      <c r="G55" s="71"/>
      <c r="H55" s="64"/>
      <c r="I55" s="64"/>
      <c r="J55" s="71"/>
      <c r="K55" s="64"/>
      <c r="L55" s="64"/>
      <c r="M55" s="71"/>
      <c r="N55" s="118"/>
      <c r="P55" s="631"/>
      <c r="Q55" s="631"/>
      <c r="R55" s="631"/>
      <c r="S55" s="631"/>
      <c r="T55" s="631"/>
      <c r="U55" s="631"/>
    </row>
    <row r="56" spans="1:21" ht="15.75" x14ac:dyDescent="0.25">
      <c r="A56" s="57" t="s">
        <v>114</v>
      </c>
      <c r="C56" s="73">
        <f>+IF($C$5&lt;$D$2,+'Total Linen March 31st'!$L$21,0)</f>
        <v>-15</v>
      </c>
      <c r="D56" s="74"/>
      <c r="E56" s="75"/>
      <c r="F56" s="76" t="e">
        <f>+IF($F$5&lt;$D$2,+'Total Linen June 30th'!#REF!,0)</f>
        <v>#REF!</v>
      </c>
      <c r="G56" s="102" t="e">
        <f>+F56-C56</f>
        <v>#REF!</v>
      </c>
      <c r="H56" s="75"/>
      <c r="I56" s="73" t="e">
        <f>+IF($I$5&lt;$D$2,+'Total Linen Sept 30th'!#REF!,0)</f>
        <v>#REF!</v>
      </c>
      <c r="J56" s="103" t="e">
        <f>+I56-F56</f>
        <v>#REF!</v>
      </c>
      <c r="K56" s="75"/>
      <c r="L56" s="76">
        <f>+IF($L$5&lt;$D$2,+'Total Linen Dec 31st'!#REF!,0)</f>
        <v>0</v>
      </c>
      <c r="M56" s="104" t="e">
        <f>+L56-I56</f>
        <v>#REF!</v>
      </c>
      <c r="N56" s="105" t="e">
        <f>AVERAGE(C56,F56,I56,L56)</f>
        <v>#REF!</v>
      </c>
      <c r="P56" s="631"/>
      <c r="Q56" s="631"/>
      <c r="R56" s="631"/>
      <c r="S56" s="631"/>
      <c r="T56" s="631"/>
      <c r="U56" s="631"/>
    </row>
    <row r="57" spans="1:21" ht="15.75" x14ac:dyDescent="0.25">
      <c r="A57" s="57" t="s">
        <v>115</v>
      </c>
      <c r="C57" s="59">
        <f>+IF($C$5&lt;$D$2,+'Total Linen March 31st'!$M$21,0)</f>
        <v>-15</v>
      </c>
      <c r="D57" s="63"/>
      <c r="E57" s="64"/>
      <c r="F57" s="65">
        <f>+IF($F$5&lt;$D$2,+'Total Linen June 30th'!$N$11,0)</f>
        <v>0</v>
      </c>
      <c r="G57" s="110">
        <f>+F57-C57</f>
        <v>15</v>
      </c>
      <c r="H57" s="64"/>
      <c r="I57" s="59">
        <f>+IF($I$5&lt;$D$2,+'Total Linen Sept 30th'!$N$12,0)</f>
        <v>37.5</v>
      </c>
      <c r="J57" s="111">
        <f>+I57-F57</f>
        <v>37.5</v>
      </c>
      <c r="K57" s="64"/>
      <c r="L57" s="65">
        <f>+IF($L$5&lt;$D$2,+'Total Linen Dec 31st'!$N$12,0)</f>
        <v>0</v>
      </c>
      <c r="M57" s="112">
        <f>+L57-I57</f>
        <v>-37.5</v>
      </c>
      <c r="N57" s="113">
        <f>AVERAGE(C57,F57,I57,L57)</f>
        <v>5.625</v>
      </c>
      <c r="P57" s="631"/>
      <c r="Q57" s="631"/>
      <c r="R57" s="631"/>
      <c r="S57" s="631"/>
      <c r="T57" s="631"/>
      <c r="U57" s="631"/>
    </row>
    <row r="58" spans="1:21" ht="15.75" x14ac:dyDescent="0.25">
      <c r="A58" s="57" t="s">
        <v>222</v>
      </c>
      <c r="C58" s="59" t="e">
        <f>+IF($C$5&lt;$D$2,+'Total Linen March 31st'!#REF!,0)</f>
        <v>#REF!</v>
      </c>
      <c r="D58" s="63"/>
      <c r="E58" s="64"/>
      <c r="F58" s="65">
        <f>+IF($F$5&lt;$D$2,+'Total Linen June 30th'!$O$11,0)</f>
        <v>0</v>
      </c>
      <c r="G58" s="110" t="e">
        <f>+F58-C58</f>
        <v>#REF!</v>
      </c>
      <c r="H58" s="64"/>
      <c r="I58" s="59">
        <f>+IF($I$5&lt;$D$2,+'Total Linen Sept 30th'!$O$12,0)</f>
        <v>0</v>
      </c>
      <c r="J58" s="111">
        <f>+I58-F58</f>
        <v>0</v>
      </c>
      <c r="K58" s="64"/>
      <c r="L58" s="65">
        <f>+IF($L$5&lt;$D$2,+'Total Linen Dec 31st'!$O$12,0)</f>
        <v>0</v>
      </c>
      <c r="M58" s="112">
        <f>+L58-I58</f>
        <v>0</v>
      </c>
      <c r="N58" s="113" t="e">
        <f>AVERAGE(C58,F58,I58,L58)</f>
        <v>#REF!</v>
      </c>
      <c r="P58" s="631"/>
      <c r="Q58" s="631"/>
      <c r="R58" s="631"/>
      <c r="S58" s="631"/>
      <c r="T58" s="631"/>
      <c r="U58" s="631"/>
    </row>
    <row r="59" spans="1:21" ht="15.75" x14ac:dyDescent="0.25">
      <c r="A59" s="57" t="s">
        <v>116</v>
      </c>
      <c r="C59" s="59">
        <f>+IF($C$5&lt;$D$2,+'Total Linen March 31st'!$N$21,0)</f>
        <v>-15</v>
      </c>
      <c r="D59" s="63"/>
      <c r="E59" s="64"/>
      <c r="F59" s="65">
        <f>+IF($F$5&lt;$D$2,+'Total Linen June 30th'!$R$11,0)</f>
        <v>0</v>
      </c>
      <c r="G59" s="110">
        <f>+F59-C59</f>
        <v>15</v>
      </c>
      <c r="H59" s="64"/>
      <c r="I59" s="59">
        <f>+IF($I$5&lt;$D$2,+'Total Linen Sept 30th'!$S$12,0)</f>
        <v>37.5</v>
      </c>
      <c r="J59" s="111">
        <f>+I59-F59</f>
        <v>37.5</v>
      </c>
      <c r="K59" s="64"/>
      <c r="L59" s="65">
        <f>+IF($L$5&lt;$D$2,+'Total Linen Dec 31st'!$S$12,0)</f>
        <v>0</v>
      </c>
      <c r="M59" s="112">
        <f>+L59-I59</f>
        <v>-37.5</v>
      </c>
      <c r="N59" s="113">
        <f>AVERAGE(C59,F59,I59,L59)</f>
        <v>5.625</v>
      </c>
      <c r="P59" s="631"/>
      <c r="Q59" s="631"/>
      <c r="R59" s="631"/>
      <c r="S59" s="631"/>
      <c r="T59" s="631"/>
      <c r="U59" s="631"/>
    </row>
    <row r="60" spans="1:21" ht="16.5" thickBot="1" x14ac:dyDescent="0.3">
      <c r="A60" s="57" t="s">
        <v>223</v>
      </c>
      <c r="C60" s="66">
        <f>+IF($C$5&lt;$D$2,+'Total Linen March 31st'!$O$21,0)</f>
        <v>0</v>
      </c>
      <c r="D60" s="67"/>
      <c r="E60" s="68"/>
      <c r="F60" s="69" t="e">
        <f>+IF($F$5&lt;$D$2,+'Total Linen June 30th'!#REF!,0)</f>
        <v>#REF!</v>
      </c>
      <c r="G60" s="114" t="e">
        <f>+F60-C60</f>
        <v>#REF!</v>
      </c>
      <c r="H60" s="68"/>
      <c r="I60" s="66" t="e">
        <f>+IF($I$5&lt;$D$2,+'Total Linen Sept 30th'!#REF!,0)</f>
        <v>#REF!</v>
      </c>
      <c r="J60" s="115" t="e">
        <f>+I60-F60</f>
        <v>#REF!</v>
      </c>
      <c r="K60" s="68"/>
      <c r="L60" s="69">
        <f>+IF($L$5&lt;$D$2,+'Total Linen Dec 31st'!#REF!,0)</f>
        <v>0</v>
      </c>
      <c r="M60" s="116" t="e">
        <f>+L60-I60</f>
        <v>#REF!</v>
      </c>
      <c r="N60" s="117" t="e">
        <f>AVERAGE(C60,F60,I60,L60)</f>
        <v>#REF!</v>
      </c>
      <c r="P60" s="631"/>
      <c r="Q60" s="631"/>
      <c r="R60" s="631"/>
      <c r="S60" s="631"/>
      <c r="T60" s="631"/>
      <c r="U60" s="631"/>
    </row>
    <row r="61" spans="1:21" x14ac:dyDescent="0.2">
      <c r="C61" s="118"/>
      <c r="D61" s="118"/>
      <c r="E61" s="118"/>
      <c r="F61" s="118"/>
      <c r="G61" s="118"/>
      <c r="H61" s="118"/>
      <c r="I61" s="118"/>
      <c r="J61" s="118"/>
      <c r="K61" s="118"/>
      <c r="L61" s="118"/>
      <c r="M61" s="118"/>
      <c r="N61" s="118"/>
    </row>
    <row r="62" spans="1:21" ht="18" customHeight="1" thickBot="1" x14ac:dyDescent="0.35">
      <c r="A62" s="81" t="s">
        <v>104</v>
      </c>
      <c r="C62" s="64"/>
      <c r="D62" s="71"/>
      <c r="E62" s="64"/>
      <c r="F62" s="64"/>
      <c r="G62" s="71"/>
      <c r="H62" s="64"/>
      <c r="I62" s="64"/>
      <c r="J62" s="71"/>
      <c r="K62" s="64"/>
      <c r="L62" s="64"/>
      <c r="M62" s="71"/>
      <c r="N62" s="118"/>
      <c r="P62" s="158"/>
      <c r="Q62" s="158"/>
      <c r="R62" s="158"/>
      <c r="S62" s="158"/>
      <c r="T62" s="158"/>
      <c r="U62" s="158"/>
    </row>
    <row r="63" spans="1:21" ht="18" customHeight="1" x14ac:dyDescent="0.25">
      <c r="A63" s="57" t="s">
        <v>114</v>
      </c>
      <c r="C63" s="73">
        <f>+IF($C$5&lt;$D$2,+'Total Linen March 31st'!$Q$13,0)</f>
        <v>-22.5</v>
      </c>
      <c r="D63" s="74"/>
      <c r="E63" s="75"/>
      <c r="F63" s="76" t="e">
        <f>+IF($F$5&lt;$D$2,+'Total Linen June 30th'!#REF!,0)</f>
        <v>#REF!</v>
      </c>
      <c r="G63" s="77" t="e">
        <f>+F63-C63</f>
        <v>#REF!</v>
      </c>
      <c r="H63" s="75"/>
      <c r="I63" s="73" t="e">
        <f>+IF($I$5&lt;$D$2,+'Total Linen Sept 30th'!#REF!,0)</f>
        <v>#REF!</v>
      </c>
      <c r="J63" s="78" t="e">
        <f>+I63-F63</f>
        <v>#REF!</v>
      </c>
      <c r="K63" s="75"/>
      <c r="L63" s="76">
        <f>+IF($L$5&lt;$D$2,+'Total Linen Dec 31st'!#REF!,0)</f>
        <v>0</v>
      </c>
      <c r="M63" s="77" t="e">
        <f>+L63-I63</f>
        <v>#REF!</v>
      </c>
      <c r="N63" s="105" t="e">
        <f>AVERAGE(C63,F63,I63,L63)</f>
        <v>#REF!</v>
      </c>
      <c r="P63" s="158"/>
      <c r="Q63" s="158"/>
      <c r="R63" s="158"/>
      <c r="S63" s="158"/>
      <c r="T63" s="158"/>
      <c r="U63" s="158"/>
    </row>
    <row r="64" spans="1:21" ht="18" customHeight="1" x14ac:dyDescent="0.25">
      <c r="A64" s="57" t="s">
        <v>115</v>
      </c>
      <c r="C64" s="59">
        <f>+IF($C$5&lt;$D$2,+'Total Linen March 31st'!$S$13,0)</f>
        <v>-22.5</v>
      </c>
      <c r="D64" s="63"/>
      <c r="E64" s="64"/>
      <c r="F64" s="65" t="e">
        <f>+IF($F$5&lt;$D$2,+'Total Linen June 30th'!#REF!,0)</f>
        <v>#REF!</v>
      </c>
      <c r="G64" s="54" t="e">
        <f>+F64-C64</f>
        <v>#REF!</v>
      </c>
      <c r="H64" s="64"/>
      <c r="I64" s="59" t="e">
        <f>+IF($I$5&lt;$D$2,+'Total Linen Sept 30th'!#REF!,0)</f>
        <v>#REF!</v>
      </c>
      <c r="J64" s="55" t="e">
        <f>+I64-F64</f>
        <v>#REF!</v>
      </c>
      <c r="K64" s="64"/>
      <c r="L64" s="65">
        <f>+IF($L$5&lt;$D$2,+'Total Linen Dec 31st'!#REF!,0)</f>
        <v>0</v>
      </c>
      <c r="M64" s="54" t="e">
        <f>+L64-I64</f>
        <v>#REF!</v>
      </c>
      <c r="N64" s="113" t="e">
        <f>AVERAGE(C64,F64,I64,L64)</f>
        <v>#REF!</v>
      </c>
      <c r="P64" s="158"/>
      <c r="Q64" s="158"/>
      <c r="R64" s="158"/>
      <c r="S64" s="158"/>
      <c r="T64" s="158"/>
      <c r="U64" s="158"/>
    </row>
    <row r="65" spans="1:21" ht="18" customHeight="1" x14ac:dyDescent="0.25">
      <c r="A65" s="57" t="s">
        <v>224</v>
      </c>
      <c r="C65" s="59" t="e">
        <f>+IF($C$5&lt;$D$2,+'Total Linen March 31st'!#REF!,0)</f>
        <v>#REF!</v>
      </c>
      <c r="D65" s="63"/>
      <c r="E65" s="64"/>
      <c r="F65" s="65" t="e">
        <f>+IF($F$5&lt;$D$2,+'Total Linen June 30th'!#REF!,0)</f>
        <v>#REF!</v>
      </c>
      <c r="G65" s="54" t="e">
        <f>+F65-C65</f>
        <v>#REF!</v>
      </c>
      <c r="H65" s="64"/>
      <c r="I65" s="59" t="e">
        <f>+IF($I$5&lt;$D$2,+'Total Linen Sept 30th'!#REF!,0)</f>
        <v>#REF!</v>
      </c>
      <c r="J65" s="55" t="e">
        <f>+I65-F65</f>
        <v>#REF!</v>
      </c>
      <c r="K65" s="64"/>
      <c r="L65" s="65">
        <f>+IF($L$5&lt;$D$2,+'Total Linen Dec 31st'!#REF!,0)</f>
        <v>0</v>
      </c>
      <c r="M65" s="54" t="e">
        <f>+L65-I65</f>
        <v>#REF!</v>
      </c>
      <c r="N65" s="113" t="e">
        <f>AVERAGE(C65,F65,I65,L65)</f>
        <v>#REF!</v>
      </c>
      <c r="P65" s="158"/>
      <c r="Q65" s="158"/>
      <c r="R65" s="158"/>
      <c r="S65" s="158"/>
      <c r="T65" s="158"/>
      <c r="U65" s="158"/>
    </row>
    <row r="66" spans="1:21" x14ac:dyDescent="0.2">
      <c r="C66" s="118"/>
      <c r="D66" s="118"/>
      <c r="E66" s="118"/>
      <c r="F66" s="118"/>
      <c r="G66" s="118"/>
      <c r="H66" s="118"/>
      <c r="I66" s="118"/>
      <c r="J66" s="118"/>
      <c r="K66" s="118"/>
      <c r="L66" s="118"/>
      <c r="M66" s="118"/>
      <c r="N66" s="118"/>
    </row>
    <row r="67" spans="1:21" ht="18" customHeight="1" thickBot="1" x14ac:dyDescent="0.35">
      <c r="A67" s="81" t="s">
        <v>225</v>
      </c>
      <c r="C67" s="64"/>
      <c r="D67" s="71"/>
      <c r="E67" s="64"/>
      <c r="F67" s="64"/>
      <c r="G67" s="71"/>
      <c r="H67" s="64"/>
      <c r="I67" s="64"/>
      <c r="J67" s="71"/>
      <c r="K67" s="64"/>
      <c r="L67" s="64"/>
      <c r="M67" s="71"/>
      <c r="N67" s="118"/>
    </row>
    <row r="68" spans="1:21" ht="18" customHeight="1" x14ac:dyDescent="0.25">
      <c r="A68" s="57" t="s">
        <v>226</v>
      </c>
      <c r="C68" s="73" t="e">
        <f>+IF($C$5&lt;$D$2,+'Total Linen March 31st'!#REF!,0)</f>
        <v>#REF!</v>
      </c>
      <c r="D68" s="74"/>
      <c r="E68" s="75"/>
      <c r="F68" s="76" t="e">
        <f>+IF($F$5&lt;$D$2,+'Total Linen June 30th'!#REF!,0)</f>
        <v>#REF!</v>
      </c>
      <c r="G68" s="77" t="e">
        <f>+F68-C68</f>
        <v>#REF!</v>
      </c>
      <c r="H68" s="75"/>
      <c r="I68" s="73" t="e">
        <f>+IF($I$5&lt;$D$2,+'Total Linen Sept 30th'!#REF!,0)</f>
        <v>#REF!</v>
      </c>
      <c r="J68" s="78" t="e">
        <f>+I68-F68</f>
        <v>#REF!</v>
      </c>
      <c r="K68" s="75"/>
      <c r="L68" s="76">
        <f>+IF($L$5&lt;$D$2,+'Total Linen Dec 31st'!#REF!,0)</f>
        <v>0</v>
      </c>
      <c r="M68" s="77" t="e">
        <f>+L68-I68</f>
        <v>#REF!</v>
      </c>
      <c r="N68" s="105" t="e">
        <f>AVERAGE(C68,F68,I68,L68)</f>
        <v>#REF!</v>
      </c>
    </row>
    <row r="69" spans="1:21" ht="18" customHeight="1" x14ac:dyDescent="0.25">
      <c r="A69" s="57" t="s">
        <v>227</v>
      </c>
      <c r="C69" s="59" t="e">
        <f>+IF($C$5&lt;$D$2,+'Total Linen March 31st'!#REF!,0)</f>
        <v>#REF!</v>
      </c>
      <c r="D69" s="63"/>
      <c r="E69" s="64"/>
      <c r="F69" s="65" t="e">
        <f>+IF($F$5&lt;$D$2,+'Total Linen June 30th'!#REF!,0)</f>
        <v>#REF!</v>
      </c>
      <c r="G69" s="54" t="e">
        <f>+F69-C69</f>
        <v>#REF!</v>
      </c>
      <c r="H69" s="64"/>
      <c r="I69" s="59" t="e">
        <f>+IF($I$5&lt;$D$2,+'Total Linen Sept 30th'!#REF!,0)</f>
        <v>#REF!</v>
      </c>
      <c r="J69" s="55" t="e">
        <f>+I69-F69</f>
        <v>#REF!</v>
      </c>
      <c r="K69" s="64"/>
      <c r="L69" s="65">
        <f>+IF($L$5&lt;$D$2,+'Total Linen Dec 31st'!#REF!,0)</f>
        <v>0</v>
      </c>
      <c r="M69" s="54" t="e">
        <f>+L69-I69</f>
        <v>#REF!</v>
      </c>
      <c r="N69" s="113" t="e">
        <f>AVERAGE(C69,F69,I69,L69)</f>
        <v>#REF!</v>
      </c>
    </row>
    <row r="70" spans="1:21" ht="18" customHeight="1" x14ac:dyDescent="0.25">
      <c r="A70" s="57" t="s">
        <v>228</v>
      </c>
      <c r="C70" s="59">
        <f>+IF($C$5&lt;$D$2,+'Total Linen March 31st'!$W$13,0)</f>
        <v>0</v>
      </c>
      <c r="D70" s="63"/>
      <c r="E70" s="64"/>
      <c r="F70" s="65" t="e">
        <f>+IF($F$5&lt;$D$2,+'Total Linen June 30th'!#REF!,0)</f>
        <v>#REF!</v>
      </c>
      <c r="G70" s="54" t="e">
        <f>+F70-C70</f>
        <v>#REF!</v>
      </c>
      <c r="H70" s="64"/>
      <c r="I70" s="59" t="e">
        <f>+IF($I$5&lt;$D$2,+'Total Linen Sept 30th'!#REF!,0)</f>
        <v>#REF!</v>
      </c>
      <c r="J70" s="55" t="e">
        <f>+I70-F70</f>
        <v>#REF!</v>
      </c>
      <c r="K70" s="64"/>
      <c r="L70" s="65">
        <f>+IF($L$5&lt;$D$2,+'Total Linen Dec 31st'!#REF!,0)</f>
        <v>0</v>
      </c>
      <c r="M70" s="54" t="e">
        <f>+L70-I70</f>
        <v>#REF!</v>
      </c>
      <c r="N70" s="113" t="e">
        <f>AVERAGE(C70,F70,I70,L70)</f>
        <v>#REF!</v>
      </c>
    </row>
    <row r="71" spans="1:21" ht="18" customHeight="1" x14ac:dyDescent="0.25">
      <c r="A71" s="57" t="s">
        <v>229</v>
      </c>
      <c r="C71" s="59">
        <f>+IF($C$5&lt;$D$2,+'Total Linen March 31st'!$X$13,0)</f>
        <v>-22.5</v>
      </c>
      <c r="D71" s="63"/>
      <c r="E71" s="64"/>
      <c r="F71" s="65" t="e">
        <f>+IF($F$5&lt;$D$2,+'Total Linen June 30th'!#REF!,0)</f>
        <v>#REF!</v>
      </c>
      <c r="G71" s="54" t="e">
        <f>+F71-C71</f>
        <v>#REF!</v>
      </c>
      <c r="H71" s="64"/>
      <c r="I71" s="59" t="e">
        <f>+IF($I$5&lt;$D$2,+'Total Linen Sept 30th'!#REF!,0)</f>
        <v>#REF!</v>
      </c>
      <c r="J71" s="55" t="e">
        <f>+I71-F71</f>
        <v>#REF!</v>
      </c>
      <c r="K71" s="64"/>
      <c r="L71" s="65">
        <f>+IF($L$5&lt;$D$2,+'Total Linen Dec 31st'!#REF!,0)</f>
        <v>0</v>
      </c>
      <c r="M71" s="54" t="e">
        <f>+L71-I71</f>
        <v>#REF!</v>
      </c>
      <c r="N71" s="113" t="e">
        <f>AVERAGE(C71,F71,I71,L71)</f>
        <v>#REF!</v>
      </c>
    </row>
    <row r="73" spans="1:21" ht="20.25" x14ac:dyDescent="0.3">
      <c r="C73" s="630" t="s">
        <v>233</v>
      </c>
      <c r="D73" s="630"/>
      <c r="E73" s="630"/>
      <c r="F73" s="630"/>
      <c r="G73" s="630"/>
      <c r="H73" s="630"/>
      <c r="I73" s="630"/>
      <c r="J73" s="630"/>
      <c r="K73" s="630"/>
      <c r="L73" s="630"/>
      <c r="M73" s="630"/>
    </row>
    <row r="74" spans="1:21" ht="18" x14ac:dyDescent="0.25">
      <c r="C74" s="625" t="s">
        <v>214</v>
      </c>
      <c r="D74" s="625"/>
      <c r="E74" s="625"/>
      <c r="F74" s="625"/>
      <c r="G74" s="625"/>
      <c r="H74" s="625"/>
      <c r="I74" s="625"/>
      <c r="J74" s="625"/>
      <c r="K74" s="625"/>
      <c r="L74" s="625"/>
      <c r="M74" s="625"/>
    </row>
    <row r="75" spans="1:21" ht="15" x14ac:dyDescent="0.25">
      <c r="C75" s="634">
        <v>1</v>
      </c>
      <c r="D75" s="634" t="s">
        <v>215</v>
      </c>
      <c r="E75" s="45"/>
      <c r="F75" s="634">
        <v>2</v>
      </c>
      <c r="G75" s="634" t="s">
        <v>215</v>
      </c>
      <c r="I75" s="634">
        <v>3</v>
      </c>
      <c r="J75" s="634" t="s">
        <v>215</v>
      </c>
      <c r="K75" s="45"/>
      <c r="L75" s="634">
        <v>4</v>
      </c>
      <c r="M75" s="634" t="s">
        <v>215</v>
      </c>
      <c r="N75" s="632" t="s">
        <v>234</v>
      </c>
    </row>
    <row r="76" spans="1:21" ht="24" customHeight="1" thickBot="1" x14ac:dyDescent="0.35">
      <c r="A76" s="46" t="s">
        <v>216</v>
      </c>
      <c r="C76" s="635"/>
      <c r="D76" s="635"/>
      <c r="E76" s="84"/>
      <c r="F76" s="635"/>
      <c r="G76" s="635"/>
      <c r="H76" s="84"/>
      <c r="I76" s="635"/>
      <c r="J76" s="635"/>
      <c r="K76" s="84"/>
      <c r="L76" s="635"/>
      <c r="M76" s="635"/>
      <c r="N76" s="637"/>
    </row>
    <row r="77" spans="1:21" ht="15.75" x14ac:dyDescent="0.25">
      <c r="A77" s="48" t="s">
        <v>137</v>
      </c>
      <c r="B77" s="49"/>
      <c r="C77" s="168">
        <f>+IF($C$5&lt;$D$2,+'Total Linen March 31st'!$B$22,0)</f>
        <v>0</v>
      </c>
      <c r="D77" s="169"/>
      <c r="E77" s="170"/>
      <c r="F77" s="171">
        <f>+IF($F$5&lt;$D$2,+'Total Linen June 30th'!$B$12,0)</f>
        <v>0</v>
      </c>
      <c r="G77" s="172">
        <f>+F77-C77</f>
        <v>0</v>
      </c>
      <c r="H77" s="170"/>
      <c r="I77" s="168">
        <f>+IF($I$5&lt;$D$2,+'Total Linen Sept 30th'!$B$13,0)</f>
        <v>0</v>
      </c>
      <c r="J77" s="173">
        <f>+I77-F77</f>
        <v>0</v>
      </c>
      <c r="K77" s="170"/>
      <c r="L77" s="171">
        <f>+IF($L$5&lt;$D$2,+'Total Linen Dec 31st'!$B$13,0)</f>
        <v>0</v>
      </c>
      <c r="M77" s="174">
        <f>+L77-I77</f>
        <v>0</v>
      </c>
      <c r="N77" s="175">
        <f>+C77+F77+I77+L77</f>
        <v>0</v>
      </c>
      <c r="P77" s="631" t="s">
        <v>235</v>
      </c>
      <c r="Q77" s="631"/>
      <c r="R77" s="631"/>
      <c r="S77" s="631"/>
      <c r="T77" s="631"/>
      <c r="U77" s="631"/>
    </row>
    <row r="78" spans="1:21" ht="15.75" x14ac:dyDescent="0.25">
      <c r="A78" s="57" t="s">
        <v>138</v>
      </c>
      <c r="B78" s="58"/>
      <c r="C78" s="176">
        <f>+IF($C$5&lt;$D$2,+'Total Linen March 31st'!$C$22,0)</f>
        <v>0</v>
      </c>
      <c r="D78" s="177"/>
      <c r="E78" s="178"/>
      <c r="F78" s="179">
        <f>+IF($F$5&lt;$D$2,+'Total Linen June 30th'!$C$12,0)</f>
        <v>0</v>
      </c>
      <c r="G78" s="180">
        <f>+F78-C78</f>
        <v>0</v>
      </c>
      <c r="H78" s="178"/>
      <c r="I78" s="176">
        <f>+IF($I$5&lt;$D$2,+'Total Linen Sept 30th'!$C$13,0)</f>
        <v>0</v>
      </c>
      <c r="J78" s="181">
        <f>+I78-F78</f>
        <v>0</v>
      </c>
      <c r="K78" s="178"/>
      <c r="L78" s="179">
        <f>+IF($L$5&lt;$D$2,+'Total Linen Dec 31st'!$C$13,0)</f>
        <v>0</v>
      </c>
      <c r="M78" s="182">
        <f>+L78-I78</f>
        <v>0</v>
      </c>
      <c r="N78" s="183">
        <f>+C78+F78+I78+L78</f>
        <v>0</v>
      </c>
      <c r="P78" s="631"/>
      <c r="Q78" s="631"/>
      <c r="R78" s="631"/>
      <c r="S78" s="631"/>
      <c r="T78" s="631"/>
      <c r="U78" s="631"/>
    </row>
    <row r="79" spans="1:21" ht="15.75" x14ac:dyDescent="0.25">
      <c r="A79" s="62" t="s">
        <v>139</v>
      </c>
      <c r="B79" s="49"/>
      <c r="C79" s="176">
        <f>+IF($C$5&lt;$D$2,+'Total Linen March 31st'!$D$22,0)</f>
        <v>0</v>
      </c>
      <c r="D79" s="177"/>
      <c r="E79" s="178"/>
      <c r="F79" s="179">
        <f>+IF($F$5&lt;$D$2,+'Total Linen June 30th'!$D$12,0)</f>
        <v>0</v>
      </c>
      <c r="G79" s="180">
        <f>+F79-C79</f>
        <v>0</v>
      </c>
      <c r="H79" s="178"/>
      <c r="I79" s="176">
        <f>+IF($I$5&lt;$D$2,+'Total Linen Sept 30th'!$D$13,0)</f>
        <v>0</v>
      </c>
      <c r="J79" s="181">
        <f>+I79-F79</f>
        <v>0</v>
      </c>
      <c r="K79" s="178"/>
      <c r="L79" s="179">
        <f>+IF($L$5&lt;$D$2,+'Total Linen Dec 31st'!$D$13,0)</f>
        <v>0</v>
      </c>
      <c r="M79" s="182">
        <f>+L79-I79</f>
        <v>0</v>
      </c>
      <c r="N79" s="183">
        <f>+C79+F79+I79+L79</f>
        <v>0</v>
      </c>
      <c r="P79" s="631"/>
      <c r="Q79" s="631"/>
      <c r="R79" s="631"/>
      <c r="S79" s="631"/>
      <c r="T79" s="631"/>
      <c r="U79" s="631"/>
    </row>
    <row r="80" spans="1:21" ht="15.75" x14ac:dyDescent="0.25">
      <c r="A80" s="57" t="s">
        <v>140</v>
      </c>
      <c r="C80" s="176">
        <f>+IF($C$5&lt;$D$2,+'Total Linen March 31st'!$E$22,0)</f>
        <v>0</v>
      </c>
      <c r="D80" s="184"/>
      <c r="E80" s="185"/>
      <c r="F80" s="186">
        <f>+IF($F$5&lt;$D$2,+'Total Linen June 30th'!$E$12,0)</f>
        <v>0</v>
      </c>
      <c r="G80" s="180">
        <f>+F80-C80</f>
        <v>0</v>
      </c>
      <c r="H80" s="185"/>
      <c r="I80" s="176">
        <f>+IF($I$5&lt;$D$2,+'Total Linen Sept 30th'!$E$13,0)</f>
        <v>0</v>
      </c>
      <c r="J80" s="181">
        <f>+I80-F80</f>
        <v>0</v>
      </c>
      <c r="K80" s="185"/>
      <c r="L80" s="186">
        <f>+IF($L$5&lt;$D$2,+'Total Linen Dec 31st'!$E$13,0)</f>
        <v>0</v>
      </c>
      <c r="M80" s="182">
        <f>+L80-I80</f>
        <v>0</v>
      </c>
      <c r="N80" s="183">
        <f>+C80+F80+I80+L80</f>
        <v>0</v>
      </c>
      <c r="P80" s="631"/>
      <c r="Q80" s="631"/>
      <c r="R80" s="631"/>
      <c r="S80" s="631"/>
      <c r="T80" s="631"/>
      <c r="U80" s="631"/>
    </row>
    <row r="81" spans="1:21" ht="16.5" thickBot="1" x14ac:dyDescent="0.3">
      <c r="A81" s="57" t="s">
        <v>152</v>
      </c>
      <c r="C81" s="187" t="e">
        <f>+IF($C$5&lt;$D$2,+'Total Linen March 31st'!#REF!,0)</f>
        <v>#REF!</v>
      </c>
      <c r="D81" s="188"/>
      <c r="E81" s="189"/>
      <c r="F81" s="190" t="e">
        <f>+IF($F$5&lt;$D$2,+'Total Linen June 30th'!#REF!,0)</f>
        <v>#REF!</v>
      </c>
      <c r="G81" s="191" t="e">
        <f>+F81-C81</f>
        <v>#REF!</v>
      </c>
      <c r="H81" s="189"/>
      <c r="I81" s="187" t="e">
        <f>+IF($I$5&lt;$D$2,+'Total Linen Sept 30th'!#REF!,0)</f>
        <v>#REF!</v>
      </c>
      <c r="J81" s="192" t="e">
        <f>+I81-F81</f>
        <v>#REF!</v>
      </c>
      <c r="K81" s="189"/>
      <c r="L81" s="190">
        <f>+IF($L$5&lt;$D$2,+'Total Linen Dec 31st'!#REF!,0)</f>
        <v>0</v>
      </c>
      <c r="M81" s="193" t="e">
        <f>+L81-I81</f>
        <v>#REF!</v>
      </c>
      <c r="N81" s="194" t="e">
        <f>+C81+F81+I81+L81</f>
        <v>#REF!</v>
      </c>
      <c r="P81" s="631"/>
      <c r="Q81" s="631"/>
      <c r="R81" s="631"/>
      <c r="S81" s="631"/>
      <c r="T81" s="631"/>
      <c r="U81" s="631"/>
    </row>
    <row r="82" spans="1:21" ht="15" x14ac:dyDescent="0.2">
      <c r="A82" s="70"/>
      <c r="C82" s="185"/>
      <c r="D82" s="185"/>
      <c r="E82" s="185"/>
      <c r="F82" s="185"/>
      <c r="G82" s="185"/>
      <c r="H82" s="185"/>
      <c r="I82" s="185"/>
      <c r="J82" s="185"/>
      <c r="K82" s="185"/>
      <c r="L82" s="185"/>
      <c r="M82" s="185"/>
      <c r="N82" s="195"/>
      <c r="P82" s="631"/>
      <c r="Q82" s="631"/>
      <c r="R82" s="631"/>
      <c r="S82" s="631"/>
      <c r="T82" s="631"/>
      <c r="U82" s="631"/>
    </row>
    <row r="83" spans="1:21" ht="19.5" thickBot="1" x14ac:dyDescent="0.35">
      <c r="A83" s="72" t="s">
        <v>218</v>
      </c>
      <c r="C83" s="185"/>
      <c r="D83" s="185"/>
      <c r="E83" s="185"/>
      <c r="F83" s="185"/>
      <c r="G83" s="185"/>
      <c r="H83" s="185"/>
      <c r="I83" s="185"/>
      <c r="J83" s="185"/>
      <c r="K83" s="185"/>
      <c r="L83" s="185"/>
      <c r="M83" s="185"/>
      <c r="N83" s="195"/>
      <c r="P83" s="631"/>
      <c r="Q83" s="631"/>
      <c r="R83" s="631"/>
      <c r="S83" s="631"/>
      <c r="T83" s="631"/>
      <c r="U83" s="631"/>
    </row>
    <row r="84" spans="1:21" ht="15.75" x14ac:dyDescent="0.25">
      <c r="A84" s="57" t="s">
        <v>114</v>
      </c>
      <c r="C84" s="168">
        <f>+IF($C$5&lt;$D$2,+'Total Linen March 31st'!$G$22,0)</f>
        <v>0</v>
      </c>
      <c r="D84" s="196"/>
      <c r="E84" s="197"/>
      <c r="F84" s="198">
        <f>+IF($F$5&lt;$D$2,+'Total Linen June 30th'!$G$12,0)</f>
        <v>0</v>
      </c>
      <c r="G84" s="172">
        <f>+F84-C84</f>
        <v>0</v>
      </c>
      <c r="H84" s="197"/>
      <c r="I84" s="168">
        <f>+IF($I$5&lt;$D$2,+'Total Linen Sept 30th'!$G$13,0)</f>
        <v>0</v>
      </c>
      <c r="J84" s="173">
        <f>+I84-F84</f>
        <v>0</v>
      </c>
      <c r="K84" s="197"/>
      <c r="L84" s="198">
        <f>+IF($L$5&lt;$D$2,+'Total Linen Dec 31st'!$G$13,0)</f>
        <v>0</v>
      </c>
      <c r="M84" s="174">
        <f>+L84-I84</f>
        <v>0</v>
      </c>
      <c r="N84" s="175">
        <f>+C84+F84+I84+L84</f>
        <v>0</v>
      </c>
      <c r="P84" s="631"/>
      <c r="Q84" s="631"/>
      <c r="R84" s="631"/>
      <c r="S84" s="631"/>
      <c r="T84" s="631"/>
      <c r="U84" s="631"/>
    </row>
    <row r="85" spans="1:21" ht="15.75" x14ac:dyDescent="0.25">
      <c r="A85" s="57" t="s">
        <v>115</v>
      </c>
      <c r="C85" s="176">
        <f>+IF($C$5&lt;$D$2,+'Total Linen March 31st'!$H$22,0)</f>
        <v>0</v>
      </c>
      <c r="D85" s="184"/>
      <c r="E85" s="185"/>
      <c r="F85" s="186">
        <f>+IF($F$5&lt;$D$2,+'Total Linen June 30th'!$H$12,0)</f>
        <v>0</v>
      </c>
      <c r="G85" s="180">
        <f>+F85-C85</f>
        <v>0</v>
      </c>
      <c r="H85" s="185"/>
      <c r="I85" s="176">
        <f>+IF($I$5&lt;$D$2,+'Total Linen Sept 30th'!$H$13,0)</f>
        <v>0</v>
      </c>
      <c r="J85" s="181">
        <f>+I85-F85</f>
        <v>0</v>
      </c>
      <c r="K85" s="185"/>
      <c r="L85" s="186">
        <f>+IF($L$5&lt;$D$2,+'Total Linen Dec 31st'!$H$13,0)</f>
        <v>0</v>
      </c>
      <c r="M85" s="182">
        <f>+L85-I85</f>
        <v>0</v>
      </c>
      <c r="N85" s="183">
        <f>+C85+F85+I85+L85</f>
        <v>0</v>
      </c>
      <c r="P85" s="631"/>
      <c r="Q85" s="631"/>
      <c r="R85" s="631"/>
      <c r="S85" s="631"/>
      <c r="T85" s="631"/>
      <c r="U85" s="631"/>
    </row>
    <row r="86" spans="1:21" ht="15.75" x14ac:dyDescent="0.25">
      <c r="A86" s="57" t="s">
        <v>219</v>
      </c>
      <c r="C86" s="176" t="e">
        <f>+IF($C$5&lt;$D$2,+'Total Linen March 31st'!#REF!,0)</f>
        <v>#REF!</v>
      </c>
      <c r="D86" s="184"/>
      <c r="E86" s="185"/>
      <c r="F86" s="186" t="e">
        <f>+IF($F$5&lt;$D$2,+'Total Linen June 30th'!#REF!,0)</f>
        <v>#REF!</v>
      </c>
      <c r="G86" s="180" t="e">
        <f>+F86-C86</f>
        <v>#REF!</v>
      </c>
      <c r="H86" s="185"/>
      <c r="I86" s="176" t="e">
        <f>+IF($I$5&lt;$D$2,+'Total Linen Sept 30th'!#REF!,0)</f>
        <v>#REF!</v>
      </c>
      <c r="J86" s="181" t="e">
        <f>+I86-F86</f>
        <v>#REF!</v>
      </c>
      <c r="K86" s="185"/>
      <c r="L86" s="186">
        <f>+IF($L$5&lt;$D$2,+'Total Linen Dec 31st'!#REF!,0)</f>
        <v>0</v>
      </c>
      <c r="M86" s="182" t="e">
        <f>+L86-I86</f>
        <v>#REF!</v>
      </c>
      <c r="N86" s="183" t="e">
        <f>+C86+F86+I86+L86</f>
        <v>#REF!</v>
      </c>
      <c r="P86" s="631"/>
      <c r="Q86" s="631"/>
      <c r="R86" s="631"/>
      <c r="S86" s="631"/>
      <c r="T86" s="631"/>
      <c r="U86" s="631"/>
    </row>
    <row r="87" spans="1:21" ht="15.75" x14ac:dyDescent="0.25">
      <c r="A87" s="57" t="s">
        <v>116</v>
      </c>
      <c r="C87" s="176">
        <f>+IF($C$5&lt;$D$2,+'Total Linen March 31st'!$I$22,0)</f>
        <v>0</v>
      </c>
      <c r="D87" s="184"/>
      <c r="E87" s="185"/>
      <c r="F87" s="186">
        <f>+IF($F$5&lt;$D$2,+'Total Linen June 30th'!$K$12,0)</f>
        <v>0</v>
      </c>
      <c r="G87" s="180">
        <f>+F87-C87</f>
        <v>0</v>
      </c>
      <c r="H87" s="185"/>
      <c r="I87" s="176">
        <f>+IF($I$5&lt;$D$2,+'Total Linen Sept 30th'!$K$13,0)</f>
        <v>0</v>
      </c>
      <c r="J87" s="181">
        <f>+I87-F87</f>
        <v>0</v>
      </c>
      <c r="K87" s="185"/>
      <c r="L87" s="186">
        <f>+IF($L$5&lt;$D$2,+'Total Linen Dec 31st'!$K$13,0)</f>
        <v>0</v>
      </c>
      <c r="M87" s="182">
        <f>+L87-I87</f>
        <v>0</v>
      </c>
      <c r="N87" s="183">
        <f>+C87+F87+I87+L87</f>
        <v>0</v>
      </c>
      <c r="P87" s="631"/>
      <c r="Q87" s="631"/>
      <c r="R87" s="631"/>
      <c r="S87" s="631"/>
      <c r="T87" s="631"/>
      <c r="U87" s="631"/>
    </row>
    <row r="88" spans="1:21" ht="16.5" thickBot="1" x14ac:dyDescent="0.3">
      <c r="A88" s="57" t="s">
        <v>220</v>
      </c>
      <c r="C88" s="187">
        <f>+IF($C$5&lt;$D$2,+'Total Linen March 31st'!$J$22,0)</f>
        <v>0</v>
      </c>
      <c r="D88" s="188"/>
      <c r="E88" s="189"/>
      <c r="F88" s="190">
        <f>+IF($F$5&lt;$D$2,+'Total Linen June 30th'!$L$12,0)</f>
        <v>15</v>
      </c>
      <c r="G88" s="191">
        <f>+F88-C88</f>
        <v>15</v>
      </c>
      <c r="H88" s="189"/>
      <c r="I88" s="187">
        <f>+IF($I$5&lt;$D$2,+'Total Linen Sept 30th'!$L$13,0)</f>
        <v>0</v>
      </c>
      <c r="J88" s="192">
        <f>+I88-F88</f>
        <v>-15</v>
      </c>
      <c r="K88" s="189"/>
      <c r="L88" s="190">
        <f>+IF($L$5&lt;$D$2,+'Total Linen Dec 31st'!$L$13,0)</f>
        <v>0</v>
      </c>
      <c r="M88" s="193">
        <f>+L88-I88</f>
        <v>0</v>
      </c>
      <c r="N88" s="194">
        <f>+C88+F88+I88+L88</f>
        <v>15</v>
      </c>
      <c r="P88" s="631"/>
      <c r="Q88" s="631"/>
      <c r="R88" s="631"/>
      <c r="S88" s="631"/>
      <c r="T88" s="631"/>
      <c r="U88" s="631"/>
    </row>
    <row r="89" spans="1:21" ht="15" x14ac:dyDescent="0.2">
      <c r="A89" s="70"/>
      <c r="C89" s="185"/>
      <c r="D89" s="185"/>
      <c r="E89" s="185"/>
      <c r="F89" s="185"/>
      <c r="G89" s="185"/>
      <c r="H89" s="185"/>
      <c r="I89" s="185"/>
      <c r="J89" s="185"/>
      <c r="K89" s="185"/>
      <c r="L89" s="185"/>
      <c r="M89" s="185"/>
      <c r="N89" s="195"/>
      <c r="P89" s="631"/>
      <c r="Q89" s="631"/>
      <c r="R89" s="631"/>
      <c r="S89" s="631"/>
      <c r="T89" s="631"/>
      <c r="U89" s="631"/>
    </row>
    <row r="90" spans="1:21" ht="19.5" thickBot="1" x14ac:dyDescent="0.35">
      <c r="A90" s="81" t="s">
        <v>221</v>
      </c>
      <c r="C90" s="185"/>
      <c r="D90" s="185"/>
      <c r="E90" s="185"/>
      <c r="F90" s="185"/>
      <c r="G90" s="185"/>
      <c r="H90" s="185"/>
      <c r="I90" s="185"/>
      <c r="J90" s="185"/>
      <c r="K90" s="185"/>
      <c r="L90" s="185"/>
      <c r="M90" s="185"/>
      <c r="N90" s="195"/>
      <c r="P90" s="631"/>
      <c r="Q90" s="631"/>
      <c r="R90" s="631"/>
      <c r="S90" s="631"/>
      <c r="T90" s="631"/>
      <c r="U90" s="631"/>
    </row>
    <row r="91" spans="1:21" ht="15.75" x14ac:dyDescent="0.25">
      <c r="A91" s="57" t="s">
        <v>114</v>
      </c>
      <c r="C91" s="168">
        <f>+IF($C$5&lt;$D$2,+'Total Linen March 31st'!$L$22,0)</f>
        <v>0</v>
      </c>
      <c r="D91" s="196"/>
      <c r="E91" s="197"/>
      <c r="F91" s="198" t="e">
        <f>+IF($F$5&lt;$D$2,+'Total Linen June 30th'!#REF!,0)</f>
        <v>#REF!</v>
      </c>
      <c r="G91" s="172" t="e">
        <f>+F91-C91</f>
        <v>#REF!</v>
      </c>
      <c r="H91" s="197"/>
      <c r="I91" s="168" t="e">
        <f>+IF($I$5&lt;$D$2,+'Total Linen Sept 30th'!#REF!,0)</f>
        <v>#REF!</v>
      </c>
      <c r="J91" s="173" t="e">
        <f>+I91-F91</f>
        <v>#REF!</v>
      </c>
      <c r="K91" s="197"/>
      <c r="L91" s="198">
        <f>+IF($L$5&lt;$D$2,+'Total Linen Dec 31st'!#REF!,0)</f>
        <v>0</v>
      </c>
      <c r="M91" s="174" t="e">
        <f>+L91-I91</f>
        <v>#REF!</v>
      </c>
      <c r="N91" s="175" t="e">
        <f>+C91+F91+I91+L91</f>
        <v>#REF!</v>
      </c>
      <c r="P91" s="631"/>
      <c r="Q91" s="631"/>
      <c r="R91" s="631"/>
      <c r="S91" s="631"/>
      <c r="T91" s="631"/>
      <c r="U91" s="631"/>
    </row>
    <row r="92" spans="1:21" ht="15.75" x14ac:dyDescent="0.25">
      <c r="A92" s="57" t="s">
        <v>115</v>
      </c>
      <c r="C92" s="176">
        <f>+IF($C$5&lt;$D$2,+'Total Linen March 31st'!$M$22,0)</f>
        <v>0</v>
      </c>
      <c r="D92" s="184"/>
      <c r="E92" s="185"/>
      <c r="F92" s="186">
        <f>+IF($F$5&lt;$D$2,+'Total Linen June 30th'!$N$12,0)</f>
        <v>37.5</v>
      </c>
      <c r="G92" s="180">
        <f>+F92-C92</f>
        <v>37.5</v>
      </c>
      <c r="H92" s="185"/>
      <c r="I92" s="176">
        <f>+IF($I$5&lt;$D$2,+'Total Linen Sept 30th'!$N$13,0)</f>
        <v>-22.5</v>
      </c>
      <c r="J92" s="181">
        <f>+I92-F92</f>
        <v>-60</v>
      </c>
      <c r="K92" s="185"/>
      <c r="L92" s="186">
        <f>+IF($L$5&lt;$D$2,+'Total Linen Dec 31st'!$N$13,0)</f>
        <v>0</v>
      </c>
      <c r="M92" s="182">
        <f>+L92-I92</f>
        <v>22.5</v>
      </c>
      <c r="N92" s="183">
        <f>+C92+F92+I92+L92</f>
        <v>15</v>
      </c>
      <c r="P92" s="631"/>
      <c r="Q92" s="631"/>
      <c r="R92" s="631"/>
      <c r="S92" s="631"/>
      <c r="T92" s="631"/>
      <c r="U92" s="631"/>
    </row>
    <row r="93" spans="1:21" ht="15.75" x14ac:dyDescent="0.25">
      <c r="A93" s="57" t="s">
        <v>222</v>
      </c>
      <c r="C93" s="176" t="e">
        <f>+IF($C$5&lt;$D$2,+'Total Linen March 31st'!#REF!,0)</f>
        <v>#REF!</v>
      </c>
      <c r="D93" s="184"/>
      <c r="E93" s="185"/>
      <c r="F93" s="186">
        <f>+IF($F$5&lt;$D$2,+'Total Linen June 30th'!$O$12,0)</f>
        <v>0</v>
      </c>
      <c r="G93" s="180" t="e">
        <f>+F93-C93</f>
        <v>#REF!</v>
      </c>
      <c r="H93" s="185"/>
      <c r="I93" s="176">
        <f>+IF($I$5&lt;$D$2,+'Total Linen Sept 30th'!$O$13,0)</f>
        <v>0</v>
      </c>
      <c r="J93" s="181">
        <f>+I93-F93</f>
        <v>0</v>
      </c>
      <c r="K93" s="185"/>
      <c r="L93" s="186">
        <f>+IF($L$5&lt;$D$2,+'Total Linen Dec 31st'!$O$13,0)</f>
        <v>0</v>
      </c>
      <c r="M93" s="182">
        <f>+L93-I93</f>
        <v>0</v>
      </c>
      <c r="N93" s="183" t="e">
        <f>+C93+F93+I93+L93</f>
        <v>#REF!</v>
      </c>
      <c r="P93" s="631"/>
      <c r="Q93" s="631"/>
      <c r="R93" s="631"/>
      <c r="S93" s="631"/>
      <c r="T93" s="631"/>
      <c r="U93" s="631"/>
    </row>
    <row r="94" spans="1:21" ht="15.75" x14ac:dyDescent="0.25">
      <c r="A94" s="57" t="s">
        <v>116</v>
      </c>
      <c r="C94" s="176">
        <f>+IF($C$5&lt;$D$2,+'Total Linen March 31st'!$N$22,0)</f>
        <v>0</v>
      </c>
      <c r="D94" s="184"/>
      <c r="E94" s="185"/>
      <c r="F94" s="186">
        <f>+IF($F$5&lt;$D$2,+'Total Linen June 30th'!$R$12,0)</f>
        <v>37.5</v>
      </c>
      <c r="G94" s="180">
        <f>+F94-C94</f>
        <v>37.5</v>
      </c>
      <c r="H94" s="185"/>
      <c r="I94" s="176">
        <f>+IF($I$5&lt;$D$2,+'Total Linen Sept 30th'!$S$13,0)</f>
        <v>-22.5</v>
      </c>
      <c r="J94" s="181">
        <f>+I94-F94</f>
        <v>-60</v>
      </c>
      <c r="K94" s="185"/>
      <c r="L94" s="186">
        <f>+IF($L$5&lt;$D$2,+'Total Linen Dec 31st'!$S$13,0)</f>
        <v>0</v>
      </c>
      <c r="M94" s="182">
        <f>+L94-I94</f>
        <v>22.5</v>
      </c>
      <c r="N94" s="183">
        <f>+C94+F94+I94+L94</f>
        <v>15</v>
      </c>
      <c r="P94" s="631"/>
      <c r="Q94" s="631"/>
      <c r="R94" s="631"/>
      <c r="S94" s="631"/>
      <c r="T94" s="631"/>
      <c r="U94" s="631"/>
    </row>
    <row r="95" spans="1:21" ht="16.5" thickBot="1" x14ac:dyDescent="0.3">
      <c r="A95" s="57" t="s">
        <v>223</v>
      </c>
      <c r="C95" s="187">
        <f>+IF($C$5&lt;$D$2,+'Total Linen March 31st'!$O$22,0)</f>
        <v>0</v>
      </c>
      <c r="D95" s="188"/>
      <c r="E95" s="189"/>
      <c r="F95" s="190" t="e">
        <f>+IF($F$5&lt;$D$2,+'Total Linen June 30th'!#REF!,0)</f>
        <v>#REF!</v>
      </c>
      <c r="G95" s="199" t="e">
        <f>+F95-C95</f>
        <v>#REF!</v>
      </c>
      <c r="H95" s="189"/>
      <c r="I95" s="187" t="e">
        <f>+IF($I$5&lt;$D$2,+'Total Linen Sept 30th'!#REF!,0)</f>
        <v>#REF!</v>
      </c>
      <c r="J95" s="200" t="e">
        <f>+I95-F95</f>
        <v>#REF!</v>
      </c>
      <c r="K95" s="189"/>
      <c r="L95" s="190">
        <f>+IF($L$5&lt;$D$2,+'Total Linen Dec 31st'!#REF!,0)</f>
        <v>0</v>
      </c>
      <c r="M95" s="201" t="e">
        <f>+L95-I95</f>
        <v>#REF!</v>
      </c>
      <c r="N95" s="194" t="e">
        <f>+C95+F95+I95+L95</f>
        <v>#REF!</v>
      </c>
      <c r="P95" s="631"/>
      <c r="Q95" s="631"/>
      <c r="R95" s="631"/>
      <c r="S95" s="631"/>
      <c r="T95" s="631"/>
      <c r="U95" s="631"/>
    </row>
    <row r="96" spans="1:21" ht="15.75" x14ac:dyDescent="0.25">
      <c r="A96" s="57"/>
      <c r="C96" s="202"/>
      <c r="D96" s="202"/>
      <c r="E96" s="202"/>
      <c r="F96" s="202"/>
      <c r="G96" s="202"/>
      <c r="H96" s="202"/>
      <c r="I96" s="202"/>
      <c r="J96" s="202"/>
      <c r="K96" s="202"/>
      <c r="L96" s="202"/>
      <c r="M96" s="202"/>
      <c r="N96" s="202"/>
      <c r="P96" s="158"/>
      <c r="Q96" s="158"/>
      <c r="R96" s="158"/>
      <c r="S96" s="158"/>
      <c r="T96" s="158"/>
      <c r="U96" s="158"/>
    </row>
    <row r="97" spans="1:21" ht="18" customHeight="1" thickBot="1" x14ac:dyDescent="0.35">
      <c r="A97" s="81" t="s">
        <v>104</v>
      </c>
      <c r="C97" s="119"/>
      <c r="D97" s="120"/>
      <c r="E97" s="119"/>
      <c r="F97" s="119"/>
      <c r="G97" s="120"/>
      <c r="H97" s="119"/>
      <c r="I97" s="119"/>
      <c r="J97" s="120"/>
      <c r="K97" s="119"/>
      <c r="L97" s="119"/>
      <c r="M97" s="120"/>
      <c r="N97" s="121"/>
      <c r="P97" s="158"/>
      <c r="Q97" s="158"/>
      <c r="R97" s="158"/>
      <c r="S97" s="158"/>
      <c r="T97" s="158"/>
      <c r="U97" s="158"/>
    </row>
    <row r="98" spans="1:21" ht="18" customHeight="1" x14ac:dyDescent="0.25">
      <c r="A98" s="57" t="s">
        <v>114</v>
      </c>
      <c r="C98" s="122">
        <f>+IF($C$5&lt;$D$2,+'Total Linen March 31st'!$Q$13,0)</f>
        <v>-22.5</v>
      </c>
      <c r="D98" s="123"/>
      <c r="E98" s="124"/>
      <c r="F98" s="125" t="e">
        <f>+IF($F$5&lt;$D$2,+'Total Linen June 30th'!#REF!,0)</f>
        <v>#REF!</v>
      </c>
      <c r="G98" s="126" t="e">
        <f>+F98-C98</f>
        <v>#REF!</v>
      </c>
      <c r="H98" s="124"/>
      <c r="I98" s="122" t="e">
        <f>+IF($I$5&lt;$D$2,+'Total Linen Sept 30th'!#REF!,0)</f>
        <v>#REF!</v>
      </c>
      <c r="J98" s="127" t="e">
        <f>+I98-F98</f>
        <v>#REF!</v>
      </c>
      <c r="K98" s="124"/>
      <c r="L98" s="125">
        <f>+IF($L$5&lt;$D$2,+'Total Linen Dec 31st'!#REF!,0)</f>
        <v>0</v>
      </c>
      <c r="M98" s="126" t="e">
        <f>+L98-I98</f>
        <v>#REF!</v>
      </c>
      <c r="N98" s="175" t="e">
        <f>+C98+F98+I98+L98</f>
        <v>#REF!</v>
      </c>
      <c r="P98" s="158"/>
      <c r="Q98" s="158"/>
      <c r="R98" s="158"/>
      <c r="S98" s="158"/>
      <c r="T98" s="158"/>
      <c r="U98" s="158"/>
    </row>
    <row r="99" spans="1:21" ht="18" customHeight="1" x14ac:dyDescent="0.25">
      <c r="A99" s="57" t="s">
        <v>115</v>
      </c>
      <c r="C99" s="128">
        <f>+IF($C$5&lt;$D$2,+'Total Linen March 31st'!$S$13,0)</f>
        <v>-22.5</v>
      </c>
      <c r="D99" s="129"/>
      <c r="E99" s="119"/>
      <c r="F99" s="130" t="e">
        <f>+IF($F$5&lt;$D$2,+'Total Linen June 30th'!#REF!,0)</f>
        <v>#REF!</v>
      </c>
      <c r="G99" s="131" t="e">
        <f>+F99-C99</f>
        <v>#REF!</v>
      </c>
      <c r="H99" s="119"/>
      <c r="I99" s="128" t="e">
        <f>+IF($I$5&lt;$D$2,+'Total Linen Sept 30th'!#REF!,0)</f>
        <v>#REF!</v>
      </c>
      <c r="J99" s="132" t="e">
        <f>+I99-F99</f>
        <v>#REF!</v>
      </c>
      <c r="K99" s="119"/>
      <c r="L99" s="130">
        <f>+IF($L$5&lt;$D$2,+'Total Linen Dec 31st'!#REF!,0)</f>
        <v>0</v>
      </c>
      <c r="M99" s="131" t="e">
        <f>+L99-I99</f>
        <v>#REF!</v>
      </c>
      <c r="N99" s="183" t="e">
        <f>+C99+F99+I99+L99</f>
        <v>#REF!</v>
      </c>
      <c r="P99" s="158"/>
      <c r="Q99" s="158"/>
      <c r="R99" s="158"/>
      <c r="S99" s="158"/>
      <c r="T99" s="158"/>
      <c r="U99" s="158"/>
    </row>
    <row r="100" spans="1:21" ht="18" customHeight="1" thickBot="1" x14ac:dyDescent="0.3">
      <c r="A100" s="57" t="s">
        <v>224</v>
      </c>
      <c r="C100" s="133" t="e">
        <f>+IF($C$5&lt;$D$2,+'Total Linen March 31st'!#REF!,0)</f>
        <v>#REF!</v>
      </c>
      <c r="D100" s="134"/>
      <c r="E100" s="135"/>
      <c r="F100" s="136" t="e">
        <f>+IF($F$5&lt;$D$2,+'Total Linen June 30th'!#REF!,0)</f>
        <v>#REF!</v>
      </c>
      <c r="G100" s="137" t="e">
        <f>+F100-C100</f>
        <v>#REF!</v>
      </c>
      <c r="H100" s="135"/>
      <c r="I100" s="133" t="e">
        <f>+IF($I$5&lt;$D$2,+'Total Linen Sept 30th'!#REF!,0)</f>
        <v>#REF!</v>
      </c>
      <c r="J100" s="138" t="e">
        <f>+I100-F100</f>
        <v>#REF!</v>
      </c>
      <c r="K100" s="135"/>
      <c r="L100" s="136">
        <f>+IF($L$5&lt;$D$2,+'Total Linen Dec 31st'!#REF!,0)</f>
        <v>0</v>
      </c>
      <c r="M100" s="137" t="e">
        <f>+L100-I100</f>
        <v>#REF!</v>
      </c>
      <c r="N100" s="194" t="e">
        <f>+C100+F100+I100+L100</f>
        <v>#REF!</v>
      </c>
      <c r="P100" s="158"/>
      <c r="Q100" s="158"/>
      <c r="R100" s="158"/>
      <c r="S100" s="158"/>
      <c r="T100" s="158"/>
      <c r="U100" s="158"/>
    </row>
    <row r="101" spans="1:21" x14ac:dyDescent="0.2">
      <c r="C101" s="121"/>
      <c r="D101" s="121"/>
      <c r="E101" s="121"/>
      <c r="F101" s="121"/>
      <c r="G101" s="121"/>
      <c r="H101" s="121"/>
      <c r="I101" s="121"/>
      <c r="J101" s="121"/>
      <c r="K101" s="121"/>
      <c r="L101" s="121"/>
      <c r="M101" s="121"/>
      <c r="N101" s="121"/>
    </row>
    <row r="102" spans="1:21" ht="18" customHeight="1" thickBot="1" x14ac:dyDescent="0.35">
      <c r="A102" s="81" t="s">
        <v>225</v>
      </c>
      <c r="C102" s="119"/>
      <c r="D102" s="120"/>
      <c r="E102" s="119"/>
      <c r="F102" s="119"/>
      <c r="G102" s="120"/>
      <c r="H102" s="119"/>
      <c r="I102" s="119"/>
      <c r="J102" s="120"/>
      <c r="K102" s="119"/>
      <c r="L102" s="119"/>
      <c r="M102" s="120"/>
      <c r="N102" s="121"/>
    </row>
    <row r="103" spans="1:21" ht="18" customHeight="1" x14ac:dyDescent="0.25">
      <c r="A103" s="57" t="s">
        <v>226</v>
      </c>
      <c r="C103" s="122" t="e">
        <f>+IF($C$5&lt;$D$2,+'Total Linen March 31st'!#REF!,0)</f>
        <v>#REF!</v>
      </c>
      <c r="D103" s="123"/>
      <c r="E103" s="124"/>
      <c r="F103" s="125" t="e">
        <f>+IF($F$5&lt;$D$2,+'Total Linen June 30th'!#REF!,0)</f>
        <v>#REF!</v>
      </c>
      <c r="G103" s="126" t="e">
        <f>+F103-C103</f>
        <v>#REF!</v>
      </c>
      <c r="H103" s="124"/>
      <c r="I103" s="122" t="e">
        <f>+IF($I$5&lt;$D$2,+'Total Linen Sept 30th'!#REF!,0)</f>
        <v>#REF!</v>
      </c>
      <c r="J103" s="127" t="e">
        <f>+I103-F103</f>
        <v>#REF!</v>
      </c>
      <c r="K103" s="124"/>
      <c r="L103" s="125">
        <f>+IF($L$5&lt;$D$2,+'Total Linen Dec 31st'!#REF!,0)</f>
        <v>0</v>
      </c>
      <c r="M103" s="126" t="e">
        <f>+L103-I103</f>
        <v>#REF!</v>
      </c>
      <c r="N103" s="175" t="e">
        <f>+C103+F103+I103+L103</f>
        <v>#REF!</v>
      </c>
    </row>
    <row r="104" spans="1:21" ht="18" customHeight="1" x14ac:dyDescent="0.25">
      <c r="A104" s="57" t="s">
        <v>227</v>
      </c>
      <c r="C104" s="128" t="e">
        <f>+IF($C$5&lt;$D$2,+'Total Linen March 31st'!#REF!,0)</f>
        <v>#REF!</v>
      </c>
      <c r="D104" s="129"/>
      <c r="E104" s="119"/>
      <c r="F104" s="130" t="e">
        <f>+IF($F$5&lt;$D$2,+'Total Linen June 30th'!#REF!,0)</f>
        <v>#REF!</v>
      </c>
      <c r="G104" s="131" t="e">
        <f>+F104-C104</f>
        <v>#REF!</v>
      </c>
      <c r="H104" s="119"/>
      <c r="I104" s="128" t="e">
        <f>+IF($I$5&lt;$D$2,+'Total Linen Sept 30th'!#REF!,0)</f>
        <v>#REF!</v>
      </c>
      <c r="J104" s="132" t="e">
        <f>+I104-F104</f>
        <v>#REF!</v>
      </c>
      <c r="K104" s="119"/>
      <c r="L104" s="130">
        <f>+IF($L$5&lt;$D$2,+'Total Linen Dec 31st'!#REF!,0)</f>
        <v>0</v>
      </c>
      <c r="M104" s="131" t="e">
        <f>+L104-I104</f>
        <v>#REF!</v>
      </c>
      <c r="N104" s="183" t="e">
        <f>+C104+F104+I104+L104</f>
        <v>#REF!</v>
      </c>
    </row>
    <row r="105" spans="1:21" ht="18" customHeight="1" x14ac:dyDescent="0.25">
      <c r="A105" s="57" t="s">
        <v>228</v>
      </c>
      <c r="C105" s="128">
        <f>+IF($C$5&lt;$D$2,+'Total Linen March 31st'!$W$13,0)</f>
        <v>0</v>
      </c>
      <c r="D105" s="129"/>
      <c r="E105" s="119"/>
      <c r="F105" s="130" t="e">
        <f>+IF($F$5&lt;$D$2,+'Total Linen June 30th'!#REF!,0)</f>
        <v>#REF!</v>
      </c>
      <c r="G105" s="131" t="e">
        <f>+F105-C105</f>
        <v>#REF!</v>
      </c>
      <c r="H105" s="119"/>
      <c r="I105" s="128" t="e">
        <f>+IF($I$5&lt;$D$2,+'Total Linen Sept 30th'!#REF!,0)</f>
        <v>#REF!</v>
      </c>
      <c r="J105" s="132" t="e">
        <f>+I105-F105</f>
        <v>#REF!</v>
      </c>
      <c r="K105" s="119"/>
      <c r="L105" s="130">
        <f>+IF($L$5&lt;$D$2,+'Total Linen Dec 31st'!#REF!,0)</f>
        <v>0</v>
      </c>
      <c r="M105" s="131" t="e">
        <f>+L105-I105</f>
        <v>#REF!</v>
      </c>
      <c r="N105" s="183" t="e">
        <f>+C105+F105+I105+L105</f>
        <v>#REF!</v>
      </c>
    </row>
    <row r="106" spans="1:21" ht="18" customHeight="1" thickBot="1" x14ac:dyDescent="0.3">
      <c r="A106" s="57" t="s">
        <v>229</v>
      </c>
      <c r="C106" s="133">
        <f>+IF($C$5&lt;$D$2,+'Total Linen March 31st'!$X$13,0)</f>
        <v>-22.5</v>
      </c>
      <c r="D106" s="134"/>
      <c r="E106" s="135"/>
      <c r="F106" s="136" t="e">
        <f>+IF($F$5&lt;$D$2,+'Total Linen June 30th'!#REF!,0)</f>
        <v>#REF!</v>
      </c>
      <c r="G106" s="137" t="e">
        <f>+F106-C106</f>
        <v>#REF!</v>
      </c>
      <c r="H106" s="135"/>
      <c r="I106" s="133" t="e">
        <f>+IF($I$5&lt;$D$2,+'Total Linen Sept 30th'!#REF!,0)</f>
        <v>#REF!</v>
      </c>
      <c r="J106" s="138" t="e">
        <f>+I106-F106</f>
        <v>#REF!</v>
      </c>
      <c r="K106" s="135"/>
      <c r="L106" s="136">
        <f>+IF($L$5&lt;$D$2,+'Total Linen Dec 31st'!#REF!,0)</f>
        <v>0</v>
      </c>
      <c r="M106" s="137" t="e">
        <f>+L106-I106</f>
        <v>#REF!</v>
      </c>
      <c r="N106" s="194" t="e">
        <f>+C106+F106+I106+L106</f>
        <v>#REF!</v>
      </c>
    </row>
    <row r="107" spans="1:21" ht="16.5" thickBot="1" x14ac:dyDescent="0.3">
      <c r="A107" s="57"/>
      <c r="C107" s="203"/>
      <c r="D107" s="203"/>
      <c r="E107" s="203"/>
      <c r="F107" s="203"/>
      <c r="G107" s="203"/>
      <c r="H107" s="203"/>
      <c r="I107" s="203"/>
      <c r="J107" s="203"/>
      <c r="K107" s="203"/>
      <c r="L107" s="203"/>
      <c r="M107" s="203"/>
      <c r="N107" s="203"/>
      <c r="P107" s="158"/>
      <c r="Q107" s="158"/>
      <c r="R107" s="158"/>
      <c r="S107" s="158"/>
      <c r="T107" s="158"/>
      <c r="U107" s="158"/>
    </row>
    <row r="108" spans="1:21" ht="28.5" customHeight="1" thickTop="1" thickBot="1" x14ac:dyDescent="0.25">
      <c r="C108" s="139" t="e">
        <f>SUM(C77:C95)</f>
        <v>#REF!</v>
      </c>
      <c r="D108" s="140"/>
      <c r="E108" s="141"/>
      <c r="F108" s="142" t="e">
        <f>SUM(F77:F95)</f>
        <v>#REF!</v>
      </c>
      <c r="G108" s="142" t="e">
        <f>SUM(G77:G95)</f>
        <v>#REF!</v>
      </c>
      <c r="H108" s="141"/>
      <c r="I108" s="139" t="e">
        <f>SUM(I77:I95)</f>
        <v>#REF!</v>
      </c>
      <c r="J108" s="139" t="e">
        <f>SUM(J77:J95)</f>
        <v>#REF!</v>
      </c>
      <c r="K108" s="141"/>
      <c r="L108" s="142">
        <f>SUM(L77:L95)</f>
        <v>0</v>
      </c>
      <c r="M108" s="143" t="e">
        <f>SUM(M77:M95)</f>
        <v>#REF!</v>
      </c>
      <c r="N108" s="144" t="e">
        <f>SUM(N77:N95)</f>
        <v>#REF!</v>
      </c>
    </row>
  </sheetData>
  <sheetProtection password="E9E9" sheet="1"/>
  <protectedRanges>
    <protectedRange password="C752" sqref="D2" name="Quarter_Selection_Box"/>
  </protectedRanges>
  <mergeCells count="39">
    <mergeCell ref="N75:N76"/>
    <mergeCell ref="J75:J76"/>
    <mergeCell ref="L75:L76"/>
    <mergeCell ref="C73:M73"/>
    <mergeCell ref="P77:U95"/>
    <mergeCell ref="M75:M76"/>
    <mergeCell ref="J5:J6"/>
    <mergeCell ref="L5:L6"/>
    <mergeCell ref="M5:M6"/>
    <mergeCell ref="C74:M74"/>
    <mergeCell ref="C75:C76"/>
    <mergeCell ref="D75:D76"/>
    <mergeCell ref="F75:F76"/>
    <mergeCell ref="G75:G76"/>
    <mergeCell ref="I75:I76"/>
    <mergeCell ref="C5:C6"/>
    <mergeCell ref="D5:D6"/>
    <mergeCell ref="F5:F6"/>
    <mergeCell ref="G5:G6"/>
    <mergeCell ref="I5:I6"/>
    <mergeCell ref="P7:U26"/>
    <mergeCell ref="C38:M38"/>
    <mergeCell ref="C39:M39"/>
    <mergeCell ref="N40:N41"/>
    <mergeCell ref="P42:U60"/>
    <mergeCell ref="C40:C41"/>
    <mergeCell ref="D40:D41"/>
    <mergeCell ref="F40:F41"/>
    <mergeCell ref="G40:G41"/>
    <mergeCell ref="I40:I41"/>
    <mergeCell ref="J40:J41"/>
    <mergeCell ref="L40:L41"/>
    <mergeCell ref="M40:M41"/>
    <mergeCell ref="C4:M4"/>
    <mergeCell ref="A1:M1"/>
    <mergeCell ref="A2:C2"/>
    <mergeCell ref="D2:F2"/>
    <mergeCell ref="G2:M2"/>
    <mergeCell ref="C3:M3"/>
  </mergeCells>
  <dataValidations count="1">
    <dataValidation type="list" allowBlank="1" showInputMessage="1" showErrorMessage="1" sqref="D2:F2" xr:uid="{00000000-0002-0000-0900-000000000000}">
      <formula1>$AA$10:$AA$13</formula1>
    </dataValidation>
  </dataValidations>
  <pageMargins left="0.7" right="0.7" top="0.75" bottom="0.75" header="0.3" footer="0.3"/>
  <pageSetup orientation="landscape" horizontalDpi="4294967295"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18C806A80A094DBA32E0C7D0805B50" ma:contentTypeVersion="13" ma:contentTypeDescription="Create a new document." ma:contentTypeScope="" ma:versionID="723101d36dfe86dcf4755d3dec95d20b">
  <xsd:schema xmlns:xsd="http://www.w3.org/2001/XMLSchema" xmlns:xs="http://www.w3.org/2001/XMLSchema" xmlns:p="http://schemas.microsoft.com/office/2006/metadata/properties" xmlns:ns2="8356745f-be2b-4426-b37c-6796f5e9d124" xmlns:ns3="da0961b5-e0aa-4d26-8959-e6635ae3a8c8" targetNamespace="http://schemas.microsoft.com/office/2006/metadata/properties" ma:root="true" ma:fieldsID="9fc3ea8bf774da2ae8a797abe2d5a396" ns2:_="" ns3:_="">
    <xsd:import namespace="8356745f-be2b-4426-b37c-6796f5e9d124"/>
    <xsd:import namespace="da0961b5-e0aa-4d26-8959-e6635ae3a8c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56745f-be2b-4426-b37c-6796f5e9d1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6030a11-5023-496e-bf3f-f9e2f55d7b1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0961b5-e0aa-4d26-8959-e6635ae3a8c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01d6a2a-e828-4776-8c80-1e1742e69010}" ma:internalName="TaxCatchAll" ma:showField="CatchAllData" ma:web="da0961b5-e0aa-4d26-8959-e6635ae3a8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a0961b5-e0aa-4d26-8959-e6635ae3a8c8" xsi:nil="true"/>
    <lcf76f155ced4ddcb4097134ff3c332f xmlns="8356745f-be2b-4426-b37c-6796f5e9d12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6BD324E-F876-4B95-B978-CAC9F79488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56745f-be2b-4426-b37c-6796f5e9d124"/>
    <ds:schemaRef ds:uri="da0961b5-e0aa-4d26-8959-e6635ae3a8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68A8E9-6439-479F-865C-C3AC8EDAAB70}">
  <ds:schemaRefs>
    <ds:schemaRef ds:uri="http://schemas.microsoft.com/sharepoint/v3/contenttype/forms"/>
  </ds:schemaRefs>
</ds:datastoreItem>
</file>

<file path=customXml/itemProps3.xml><?xml version="1.0" encoding="utf-8"?>
<ds:datastoreItem xmlns:ds="http://schemas.openxmlformats.org/officeDocument/2006/customXml" ds:itemID="{89CA5166-A3D8-453B-B7B2-DB83F0540621}">
  <ds:schemaRefs>
    <ds:schemaRef ds:uri="http://www.w3.org/XML/1998/namespace"/>
    <ds:schemaRef ds:uri="http://purl.org/dc/elements/1.1/"/>
    <ds:schemaRef ds:uri="http://schemas.microsoft.com/office/2006/documentManagement/types"/>
    <ds:schemaRef ds:uri="http://purl.org/dc/dcmitype/"/>
    <ds:schemaRef ds:uri="8356745f-be2b-4426-b37c-6796f5e9d124"/>
    <ds:schemaRef ds:uri="http://schemas.openxmlformats.org/package/2006/metadata/core-properties"/>
    <ds:schemaRef ds:uri="http://purl.org/dc/terms/"/>
    <ds:schemaRef ds:uri="http://schemas.microsoft.com/office/infopath/2007/PartnerControls"/>
    <ds:schemaRef ds:uri="da0961b5-e0aa-4d26-8959-e6635ae3a8c8"/>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Hotel Set up</vt:lpstr>
      <vt:lpstr>Purchase Log</vt:lpstr>
      <vt:lpstr>Storage Count Form</vt:lpstr>
      <vt:lpstr>Total Linen March 31st</vt:lpstr>
      <vt:lpstr>Total Linen June 30th</vt:lpstr>
      <vt:lpstr>Total Linen Sept 30th</vt:lpstr>
      <vt:lpstr>Total Linen Dec 31st</vt:lpstr>
      <vt:lpstr>Reports</vt:lpstr>
    </vt:vector>
  </TitlesOfParts>
  <Manager/>
  <Company>InterContinental Hotels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RiveraJ</dc:creator>
  <cp:keywords/>
  <dc:description/>
  <cp:lastModifiedBy>Bill Michaud</cp:lastModifiedBy>
  <cp:revision/>
  <dcterms:created xsi:type="dcterms:W3CDTF">2004-10-15T00:45:43Z</dcterms:created>
  <dcterms:modified xsi:type="dcterms:W3CDTF">2026-09-02T15:47:08Z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0x0101009F18C806A80A094DBA32E0C7D0805B50</vt:lpwstr>
  </property>
  <property fmtid="{D5CDD505-2E9C-101B-9397-08002B2CF9AE}" pid="3" name="MediaServiceImageTags">
    <vt:lpwstr/>
  </property>
</Properties>
</file>