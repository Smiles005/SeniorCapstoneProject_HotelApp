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ajamgmt.sharepoint.com/sites/allcompany/Shared Documents/Housekeeping/"/>
    </mc:Choice>
  </mc:AlternateContent>
  <xr:revisionPtr revIDLastSave="0" documentId="8_{F8D2FEFB-9E21-4CC4-8869-31A01AC4DE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F10" i="1"/>
  <c r="G10" i="1"/>
  <c r="H10" i="1"/>
  <c r="I10" i="1"/>
  <c r="J10" i="1"/>
  <c r="D10" i="1"/>
  <c r="D8" i="1"/>
  <c r="D11" i="1" s="1"/>
  <c r="E8" i="1"/>
  <c r="E11" i="1" s="1"/>
  <c r="F8" i="1"/>
  <c r="F11" i="1" s="1"/>
  <c r="G8" i="1"/>
  <c r="G11" i="1" s="1"/>
  <c r="H8" i="1"/>
  <c r="H11" i="1" s="1"/>
  <c r="I8" i="1"/>
  <c r="I11" i="1" s="1"/>
  <c r="J8" i="1"/>
  <c r="J11" i="1" s="1"/>
  <c r="B5" i="1"/>
  <c r="E5" i="1"/>
  <c r="F5" i="1"/>
  <c r="G5" i="1"/>
  <c r="H5" i="1"/>
  <c r="I5" i="1"/>
  <c r="J5" i="1"/>
  <c r="D5" i="1"/>
  <c r="G18" i="1" l="1"/>
  <c r="J18" i="1"/>
  <c r="F14" i="1"/>
  <c r="F15" i="1" s="1"/>
  <c r="F19" i="1" s="1"/>
  <c r="F20" i="1" s="1"/>
  <c r="E14" i="1"/>
  <c r="F18" i="1"/>
  <c r="E18" i="1"/>
  <c r="D18" i="1"/>
  <c r="I18" i="1"/>
  <c r="H18" i="1"/>
  <c r="G14" i="1"/>
  <c r="D14" i="1"/>
  <c r="D15" i="1" s="1"/>
  <c r="D19" i="1" s="1"/>
  <c r="D20" i="1" s="1"/>
  <c r="I14" i="1"/>
  <c r="I15" i="1" s="1"/>
  <c r="I19" i="1" s="1"/>
  <c r="I20" i="1" s="1"/>
  <c r="H14" i="1"/>
  <c r="H15" i="1" s="1"/>
  <c r="H19" i="1" s="1"/>
  <c r="H20" i="1" s="1"/>
  <c r="J14" i="1"/>
  <c r="J15" i="1" s="1"/>
  <c r="J19" i="1" s="1"/>
  <c r="J20" i="1" s="1"/>
  <c r="E15" i="1"/>
  <c r="E19" i="1" s="1"/>
  <c r="E20" i="1" s="1"/>
  <c r="G15" i="1"/>
  <c r="G19" i="1" s="1"/>
  <c r="G2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Bill Michaud</author>
  </authors>
  <commentList>
    <comment ref="A14" authorId="0" shapeId="0" xr:uid="{05FAC846-1749-4005-828E-54F595AEA8D3}">
      <text>
        <r>
          <rPr>
            <b/>
            <sz val="9"/>
            <color indexed="81"/>
            <rFont val="Tahoma"/>
            <family val="2"/>
          </rPr>
          <t>Bill Michaud:</t>
        </r>
        <r>
          <rPr>
            <sz val="9"/>
            <color indexed="81"/>
            <rFont val="Tahoma"/>
            <family val="2"/>
          </rPr>
          <t xml:space="preserve">
Formula uses 38 minutes per check out and 23 minutes per stayover projected to clean</t>
        </r>
      </text>
    </comment>
    <comment ref="A15" authorId="0" shapeId="0" xr:uid="{93FA97C3-3AB8-40F8-993A-5A8B5835F338}">
      <text>
        <r>
          <rPr>
            <b/>
            <sz val="9"/>
            <color indexed="81"/>
            <rFont val="Tahoma"/>
            <family val="2"/>
          </rPr>
          <t>Bill Michaud:</t>
        </r>
        <r>
          <rPr>
            <sz val="9"/>
            <color indexed="81"/>
            <rFont val="Tahoma"/>
            <family val="2"/>
          </rPr>
          <t xml:space="preserve">
Filter Paycor schedule by Job and review hours per day on schedule vs what is projected on this line</t>
        </r>
      </text>
    </comment>
    <comment ref="A18" authorId="0" shapeId="0" xr:uid="{F64DA87C-0472-4014-80D1-F4F4D3F0C76C}">
      <text>
        <r>
          <rPr>
            <b/>
            <sz val="9"/>
            <color indexed="81"/>
            <rFont val="Tahoma"/>
            <family val="2"/>
          </rPr>
          <t>Bill Michaud:</t>
        </r>
        <r>
          <rPr>
            <sz val="9"/>
            <color indexed="81"/>
            <rFont val="Tahoma"/>
            <family val="2"/>
          </rPr>
          <t xml:space="preserve">
Cells will turn red if the number of rooms per room attendant is lower than 7 or higher than 14</t>
        </r>
      </text>
    </comment>
  </commentList>
</comments>
</file>

<file path=xl/sharedStrings.xml><?xml version="1.0" encoding="utf-8"?>
<sst xmlns="http://schemas.openxmlformats.org/spreadsheetml/2006/main" count="39" uniqueCount="38">
  <si>
    <t>Week of:</t>
  </si>
  <si>
    <t>Room Attendant Schedule Forecasting Tool</t>
  </si>
  <si>
    <t>Description</t>
  </si>
  <si>
    <t>Thursday</t>
  </si>
  <si>
    <t>Friday</t>
  </si>
  <si>
    <t>Saturday</t>
  </si>
  <si>
    <t>Sunday</t>
  </si>
  <si>
    <t>Monday</t>
  </si>
  <si>
    <t>Tuesday</t>
  </si>
  <si>
    <t>Wednesday</t>
  </si>
  <si>
    <t>Current Occpied Rooms</t>
  </si>
  <si>
    <t>Additional Pickup</t>
  </si>
  <si>
    <t>Occ Rooms Forecast incl Pickup</t>
  </si>
  <si>
    <t>Current Check Outs</t>
  </si>
  <si>
    <t>Current Stayovers</t>
  </si>
  <si>
    <t>Forecasted Check Outs</t>
  </si>
  <si>
    <t>Forecasted Stayovers</t>
  </si>
  <si>
    <t>% of Stayover Cleans</t>
  </si>
  <si>
    <t>Total allowed minutes</t>
  </si>
  <si>
    <t>Total Time (hours)</t>
  </si>
  <si>
    <t>Housekeepers Scheduled</t>
  </si>
  <si>
    <t>Rooms per Room Attendant</t>
  </si>
  <si>
    <t>Hours per Room Attendant</t>
  </si>
  <si>
    <t>Expected Finish Time</t>
  </si>
  <si>
    <t>pw="enterinfo"</t>
  </si>
  <si>
    <t>Start time</t>
  </si>
  <si>
    <t>Staff Roster</t>
  </si>
  <si>
    <t>Staff Member Selection</t>
  </si>
  <si>
    <t>Donna W</t>
  </si>
  <si>
    <t>Tammy</t>
  </si>
  <si>
    <t>Donna G</t>
  </si>
  <si>
    <t>Denise</t>
  </si>
  <si>
    <t>Barbie</t>
  </si>
  <si>
    <t>Grace</t>
  </si>
  <si>
    <t>Kelsey</t>
  </si>
  <si>
    <t>Laikyn</t>
  </si>
  <si>
    <t>Alyssa</t>
  </si>
  <si>
    <t>Joe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</si>
</sst>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09]h:mm\ AM/PM;@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rgb="FF00B05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22"/>
      <color theme="1"/>
      <name val="Calibri"/>
      <family val="2"/>
      <scheme val="minor"/>
    </font>
    <font>
      <sz val="14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3" fillId="0" borderId="0" xfId="0" applyFont="1"/>
    <xf numFmtId="0" fontId="5" fillId="2" borderId="2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3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0" fontId="3" fillId="0" borderId="8" xfId="0" applyFont="1" applyBorder="1"/>
    <xf numFmtId="0" fontId="5" fillId="2" borderId="9" xfId="0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0" xfId="0" applyFont="1" applyBorder="1"/>
    <xf numFmtId="1" fontId="3" fillId="0" borderId="0" xfId="0" applyNumberFormat="1" applyFont="1" applyAlignment="1">
      <alignment horizontal="center"/>
    </xf>
    <xf numFmtId="1" fontId="3" fillId="0" borderId="10" xfId="0" applyNumberFormat="1" applyFont="1" applyBorder="1" applyAlignment="1">
      <alignment horizontal="center"/>
    </xf>
    <xf numFmtId="2" fontId="3" fillId="0" borderId="0" xfId="0" applyNumberFormat="1" applyFont="1" applyAlignment="1">
      <alignment horizontal="center"/>
    </xf>
    <xf numFmtId="2" fontId="3" fillId="0" borderId="10" xfId="0" applyNumberFormat="1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10" xfId="0" applyNumberFormat="1" applyFont="1" applyBorder="1" applyAlignment="1">
      <alignment horizontal="center"/>
    </xf>
    <xf numFmtId="164" fontId="3" fillId="0" borderId="12" xfId="0" applyNumberFormat="1" applyFont="1" applyBorder="1" applyAlignment="1">
      <alignment horizontal="center"/>
    </xf>
    <xf numFmtId="164" fontId="3" fillId="0" borderId="13" xfId="0" applyNumberFormat="1" applyFont="1" applyBorder="1" applyAlignment="1">
      <alignment horizontal="center"/>
    </xf>
    <xf numFmtId="0" fontId="4" fillId="0" borderId="0" xfId="0" applyFont="1" applyAlignment="1">
      <alignment horizontal="right"/>
    </xf>
    <xf numFmtId="0" fontId="10" fillId="3" borderId="0" xfId="0" applyFont="1" applyFill="1" applyAlignment="1">
      <alignment horizontal="center"/>
    </xf>
    <xf numFmtId="0" fontId="10" fillId="3" borderId="10" xfId="0" applyFont="1" applyFill="1" applyBorder="1" applyAlignment="1">
      <alignment horizontal="center"/>
    </xf>
    <xf numFmtId="0" fontId="6" fillId="0" borderId="11" xfId="0" applyFont="1" applyBorder="1"/>
    <xf numFmtId="1" fontId="5" fillId="2" borderId="1" xfId="0" applyNumberFormat="1" applyFont="1" applyFill="1" applyBorder="1" applyAlignment="1">
      <alignment horizontal="center"/>
    </xf>
    <xf numFmtId="1" fontId="5" fillId="2" borderId="9" xfId="0" applyNumberFormat="1" applyFont="1" applyFill="1" applyBorder="1" applyAlignment="1">
      <alignment horizontal="center"/>
    </xf>
    <xf numFmtId="9" fontId="5" fillId="2" borderId="1" xfId="1" applyFont="1" applyFill="1" applyBorder="1" applyAlignment="1">
      <alignment horizontal="center"/>
    </xf>
    <xf numFmtId="9" fontId="5" fillId="2" borderId="9" xfId="1" applyFont="1" applyFill="1" applyBorder="1" applyAlignment="1">
      <alignment horizontal="center"/>
    </xf>
    <xf numFmtId="0" fontId="3" fillId="0" borderId="8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1" fillId="0" borderId="0" xfId="0" applyFont="1"/>
    <xf numFmtId="0" fontId="0" fillId="4" borderId="14" xfId="0" applyFill="1" applyBorder="1"/>
    <xf numFmtId="164" fontId="3" fillId="0" borderId="0" xfId="0" applyNumberFormat="1" applyFont="1" applyAlignment="1">
      <alignment horizontal="center"/>
    </xf>
    <xf numFmtId="0" fontId="3" fillId="0" borderId="8" xfId="0" applyFont="1" applyBorder="1" applyAlignment="1">
      <alignment horizontal="right"/>
    </xf>
    <xf numFmtId="0" fontId="3" fillId="0" borderId="0" xfId="0" applyFont="1" applyAlignment="1">
      <alignment horizontal="right"/>
    </xf>
    <xf numFmtId="18" fontId="3" fillId="2" borderId="1" xfId="0" applyNumberFormat="1" applyFont="1" applyFill="1" applyBorder="1" applyAlignment="1">
      <alignment horizontal="center"/>
    </xf>
    <xf numFmtId="0" fontId="6" fillId="0" borderId="12" xfId="0" applyFont="1" applyBorder="1" applyAlignment="1">
      <alignment horizontal="center" vertical="top"/>
    </xf>
    <xf numFmtId="0" fontId="9" fillId="0" borderId="12" xfId="0" applyFont="1" applyBorder="1" applyAlignment="1">
      <alignment horizontal="right" wrapText="1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5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1089558</xdr:colOff>
      <xdr:row>0</xdr:row>
      <xdr:rowOff>13703</xdr:rowOff>
    </xdr:from>
    <xdr:to>
      <xdr:col>2</xdr:col>
      <xdr:colOff>130205</xdr:colOff>
      <xdr:row>1</xdr:row>
      <xdr:rowOff>11793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42C3DE-8702-C5CF-D3B7-1C280A18CD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635"/>
        <a:stretch>
          <a:fillRect/>
        </a:stretch>
      </xdr:blipFill>
      <xdr:spPr>
        <a:xfrm>
          <a:off x="1089558" y="13703"/>
          <a:ext cx="1946115" cy="7107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zoomScale="139" workbookViewId="0">
      <selection activeCell="D36" sqref="D36"/>
    </sheetView>
  </sheetViews>
  <sheetFormatPr defaultRowHeight="15"/>
  <cols>
    <col min="1" max="1" width="37.28515625" customWidth="1"/>
    <col min="2" max="2" width="6.28515625" customWidth="1"/>
    <col min="3" max="3" width="6.7109375" customWidth="1"/>
    <col min="4" max="5" width="15.85546875" bestFit="1" customWidth="1"/>
    <col min="6" max="6" width="14.28515625" bestFit="1" customWidth="1"/>
    <col min="7" max="7" width="14.42578125" bestFit="1" customWidth="1"/>
    <col min="8" max="8" width="15.7109375" bestFit="1" customWidth="1"/>
    <col min="9" max="9" width="14.85546875" bestFit="1" customWidth="1"/>
    <col min="10" max="10" width="14.42578125" bestFit="1" customWidth="1"/>
    <col min="12" max="12" width="12" bestFit="1" customWidth="1"/>
  </cols>
  <sheetData>
    <row r="1" spans="1:10" ht="56.25" customHeight="1" thickBot="1">
      <c r="D1" s="21" t="s">
        <v>0</v>
      </c>
      <c r="G1" s="40" t="s">
        <v>1</v>
      </c>
      <c r="H1" s="40"/>
      <c r="I1" s="40"/>
      <c r="J1" s="40"/>
    </row>
    <row r="2" spans="1:10" ht="18.75">
      <c r="A2" s="4" t="s">
        <v>2</v>
      </c>
      <c r="B2" s="41" t="s">
        <v>3</v>
      </c>
      <c r="C2" s="42"/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6" t="s">
        <v>3</v>
      </c>
    </row>
    <row r="3" spans="1:10" ht="18.75">
      <c r="A3" s="7" t="s">
        <v>10</v>
      </c>
      <c r="B3" s="43">
        <v>25</v>
      </c>
      <c r="C3" s="43"/>
      <c r="D3" s="31">
        <v>42</v>
      </c>
      <c r="E3" s="31">
        <v>18</v>
      </c>
      <c r="F3" s="31">
        <v>9</v>
      </c>
      <c r="G3" s="31">
        <v>21</v>
      </c>
      <c r="H3" s="31">
        <v>24</v>
      </c>
      <c r="I3" s="31">
        <v>23</v>
      </c>
      <c r="J3" s="8">
        <v>20</v>
      </c>
    </row>
    <row r="4" spans="1:10" ht="18.75">
      <c r="A4" s="7" t="s">
        <v>11</v>
      </c>
      <c r="B4" s="43">
        <v>5</v>
      </c>
      <c r="C4" s="43"/>
      <c r="D4" s="31">
        <v>3</v>
      </c>
      <c r="E4" s="31">
        <v>5</v>
      </c>
      <c r="F4" s="31">
        <v>2</v>
      </c>
      <c r="G4" s="31">
        <v>15</v>
      </c>
      <c r="H4" s="31">
        <v>12</v>
      </c>
      <c r="I4" s="31">
        <v>10</v>
      </c>
      <c r="J4" s="8">
        <v>8</v>
      </c>
    </row>
    <row r="5" spans="1:10" ht="18.75">
      <c r="A5" s="7" t="s">
        <v>12</v>
      </c>
      <c r="B5" s="44">
        <f>+B3+B4</f>
        <v>30</v>
      </c>
      <c r="C5" s="44"/>
      <c r="D5" s="32">
        <f>+D4+D3</f>
        <v>45</v>
      </c>
      <c r="E5" s="32">
        <f t="shared" ref="E5:J5" si="0">+E4+E3</f>
        <v>23</v>
      </c>
      <c r="F5" s="32">
        <f t="shared" si="0"/>
        <v>11</v>
      </c>
      <c r="G5" s="32">
        <f t="shared" si="0"/>
        <v>36</v>
      </c>
      <c r="H5" s="32">
        <f t="shared" si="0"/>
        <v>36</v>
      </c>
      <c r="I5" s="32">
        <f t="shared" si="0"/>
        <v>33</v>
      </c>
      <c r="J5" s="9">
        <f t="shared" si="0"/>
        <v>28</v>
      </c>
    </row>
    <row r="6" spans="1:10" ht="7.5" customHeight="1">
      <c r="A6" s="7"/>
      <c r="B6" s="1"/>
      <c r="C6" s="1"/>
      <c r="D6" s="1"/>
      <c r="E6" s="1"/>
      <c r="F6" s="1"/>
      <c r="G6" s="1"/>
      <c r="H6" s="1"/>
      <c r="I6" s="1"/>
      <c r="J6" s="10"/>
    </row>
    <row r="7" spans="1:10" ht="18.75">
      <c r="A7" s="36" t="s">
        <v>13</v>
      </c>
      <c r="B7" s="37"/>
      <c r="C7" s="1"/>
      <c r="D7" s="2">
        <v>20</v>
      </c>
      <c r="E7" s="31">
        <v>10</v>
      </c>
      <c r="F7" s="31">
        <v>16</v>
      </c>
      <c r="G7" s="31">
        <v>3</v>
      </c>
      <c r="H7" s="31">
        <v>9</v>
      </c>
      <c r="I7" s="31">
        <v>6</v>
      </c>
      <c r="J7" s="8">
        <v>8</v>
      </c>
    </row>
    <row r="8" spans="1:10" ht="18.75">
      <c r="A8" s="36" t="s">
        <v>14</v>
      </c>
      <c r="B8" s="37"/>
      <c r="C8" s="3"/>
      <c r="D8" s="22">
        <f>+B3-D7</f>
        <v>5</v>
      </c>
      <c r="E8" s="22">
        <f t="shared" ref="E8:J8" si="1">+D3-E7</f>
        <v>32</v>
      </c>
      <c r="F8" s="22">
        <f t="shared" si="1"/>
        <v>2</v>
      </c>
      <c r="G8" s="22">
        <f t="shared" si="1"/>
        <v>6</v>
      </c>
      <c r="H8" s="22">
        <f t="shared" si="1"/>
        <v>12</v>
      </c>
      <c r="I8" s="22">
        <f t="shared" si="1"/>
        <v>18</v>
      </c>
      <c r="J8" s="23">
        <f t="shared" si="1"/>
        <v>15</v>
      </c>
    </row>
    <row r="9" spans="1:10" ht="5.25" customHeight="1">
      <c r="A9" s="29"/>
      <c r="B9" s="30"/>
      <c r="C9" s="1"/>
      <c r="D9" s="1"/>
      <c r="E9" s="1"/>
      <c r="F9" s="1"/>
      <c r="G9" s="1"/>
      <c r="H9" s="1"/>
      <c r="I9" s="1"/>
      <c r="J9" s="10"/>
    </row>
    <row r="10" spans="1:10" ht="18.75">
      <c r="A10" s="36" t="s">
        <v>15</v>
      </c>
      <c r="B10" s="37"/>
      <c r="C10" s="1"/>
      <c r="D10" s="11">
        <f>+(B4*0.5)+D7</f>
        <v>22.5</v>
      </c>
      <c r="E10" s="11">
        <f t="shared" ref="E10:J10" si="2">+(D4*0.5)+E7</f>
        <v>11.5</v>
      </c>
      <c r="F10" s="11">
        <f t="shared" si="2"/>
        <v>18.5</v>
      </c>
      <c r="G10" s="11">
        <f t="shared" si="2"/>
        <v>4</v>
      </c>
      <c r="H10" s="11">
        <f t="shared" si="2"/>
        <v>16.5</v>
      </c>
      <c r="I10" s="11">
        <f t="shared" si="2"/>
        <v>12</v>
      </c>
      <c r="J10" s="12">
        <f t="shared" si="2"/>
        <v>13</v>
      </c>
    </row>
    <row r="11" spans="1:10" ht="18.75">
      <c r="A11" s="36" t="s">
        <v>16</v>
      </c>
      <c r="B11" s="37"/>
      <c r="C11" s="1"/>
      <c r="D11" s="11">
        <f>+(B4*0.5)+D8</f>
        <v>7.5</v>
      </c>
      <c r="E11" s="11">
        <f t="shared" ref="E11:J11" si="3">+(D4*0.5)+E8</f>
        <v>33.5</v>
      </c>
      <c r="F11" s="11">
        <f t="shared" si="3"/>
        <v>4.5</v>
      </c>
      <c r="G11" s="11">
        <f t="shared" si="3"/>
        <v>7</v>
      </c>
      <c r="H11" s="11">
        <f t="shared" si="3"/>
        <v>19.5</v>
      </c>
      <c r="I11" s="11">
        <f t="shared" si="3"/>
        <v>24</v>
      </c>
      <c r="J11" s="12">
        <f t="shared" si="3"/>
        <v>20</v>
      </c>
    </row>
    <row r="12" spans="1:10" ht="18.75">
      <c r="A12" s="36" t="s">
        <v>17</v>
      </c>
      <c r="B12" s="37"/>
      <c r="C12" s="1"/>
      <c r="D12" s="27">
        <v>1</v>
      </c>
      <c r="E12" s="27">
        <v>1</v>
      </c>
      <c r="F12" s="27">
        <v>1</v>
      </c>
      <c r="G12" s="27">
        <v>1</v>
      </c>
      <c r="H12" s="27">
        <v>1</v>
      </c>
      <c r="I12" s="27">
        <v>1</v>
      </c>
      <c r="J12" s="28">
        <v>1</v>
      </c>
    </row>
    <row r="13" spans="1:10" ht="9" customHeight="1">
      <c r="A13" s="29"/>
      <c r="B13" s="30"/>
      <c r="C13" s="1"/>
      <c r="D13" s="1"/>
      <c r="E13" s="1"/>
      <c r="F13" s="1"/>
      <c r="G13" s="1"/>
      <c r="H13" s="1"/>
      <c r="I13" s="1"/>
      <c r="J13" s="10"/>
    </row>
    <row r="14" spans="1:10" ht="18.75" hidden="1">
      <c r="A14" s="36" t="s">
        <v>18</v>
      </c>
      <c r="B14" s="37"/>
      <c r="C14" s="1"/>
      <c r="D14" s="11">
        <f>+(D10*38)+(D11*D12*23)</f>
        <v>1027.5</v>
      </c>
      <c r="E14" s="11">
        <f t="shared" ref="E14:J14" si="4">+(E10*38)+(E11*E12*23)</f>
        <v>1207.5</v>
      </c>
      <c r="F14" s="11">
        <f t="shared" si="4"/>
        <v>806.5</v>
      </c>
      <c r="G14" s="11">
        <f t="shared" si="4"/>
        <v>313</v>
      </c>
      <c r="H14" s="11">
        <f t="shared" si="4"/>
        <v>1075.5</v>
      </c>
      <c r="I14" s="11">
        <f t="shared" si="4"/>
        <v>1008</v>
      </c>
      <c r="J14" s="12">
        <f t="shared" si="4"/>
        <v>954</v>
      </c>
    </row>
    <row r="15" spans="1:10" ht="18.75">
      <c r="A15" s="36" t="s">
        <v>19</v>
      </c>
      <c r="B15" s="37"/>
      <c r="C15" s="1"/>
      <c r="D15" s="15">
        <f>+D14/60</f>
        <v>17.125</v>
      </c>
      <c r="E15" s="15">
        <f t="shared" ref="E15:J15" si="5">+E14/60</f>
        <v>20.125</v>
      </c>
      <c r="F15" s="15">
        <f t="shared" si="5"/>
        <v>13.441666666666666</v>
      </c>
      <c r="G15" s="15">
        <f t="shared" si="5"/>
        <v>5.2166666666666668</v>
      </c>
      <c r="H15" s="15">
        <f t="shared" si="5"/>
        <v>17.925000000000001</v>
      </c>
      <c r="I15" s="15">
        <f t="shared" si="5"/>
        <v>16.8</v>
      </c>
      <c r="J15" s="16">
        <f t="shared" si="5"/>
        <v>15.9</v>
      </c>
    </row>
    <row r="16" spans="1:10" ht="4.5" customHeight="1">
      <c r="A16" s="29"/>
      <c r="B16" s="30"/>
      <c r="C16" s="1"/>
      <c r="D16" s="15"/>
      <c r="E16" s="15"/>
      <c r="F16" s="15"/>
      <c r="G16" s="15"/>
      <c r="H16" s="15"/>
      <c r="I16" s="15"/>
      <c r="J16" s="16"/>
    </row>
    <row r="17" spans="1:10" ht="18.75">
      <c r="A17" s="36" t="s">
        <v>20</v>
      </c>
      <c r="B17" s="37"/>
      <c r="C17" s="1"/>
      <c r="D17" s="25">
        <v>3</v>
      </c>
      <c r="E17" s="25">
        <v>4</v>
      </c>
      <c r="F17" s="25">
        <v>2</v>
      </c>
      <c r="G17" s="25">
        <v>1</v>
      </c>
      <c r="H17" s="25">
        <v>3</v>
      </c>
      <c r="I17" s="25">
        <v>4</v>
      </c>
      <c r="J17" s="26">
        <v>3</v>
      </c>
    </row>
    <row r="18" spans="1:10" ht="21" customHeight="1">
      <c r="A18" s="36" t="s">
        <v>21</v>
      </c>
      <c r="B18" s="37"/>
      <c r="C18" s="1"/>
      <c r="D18" s="15">
        <f>(+D10+(D11*D12))/D17</f>
        <v>10</v>
      </c>
      <c r="E18" s="15">
        <f t="shared" ref="E18:J18" si="6">(+E10+(E11*E12))/E17</f>
        <v>11.25</v>
      </c>
      <c r="F18" s="15">
        <f t="shared" si="6"/>
        <v>11.5</v>
      </c>
      <c r="G18" s="15">
        <f t="shared" si="6"/>
        <v>11</v>
      </c>
      <c r="H18" s="15">
        <f t="shared" si="6"/>
        <v>12</v>
      </c>
      <c r="I18" s="15">
        <f t="shared" si="6"/>
        <v>9</v>
      </c>
      <c r="J18" s="16">
        <f t="shared" si="6"/>
        <v>11</v>
      </c>
    </row>
    <row r="19" spans="1:10" ht="18.75">
      <c r="A19" s="36" t="s">
        <v>22</v>
      </c>
      <c r="B19" s="37"/>
      <c r="C19" s="1"/>
      <c r="D19" s="13">
        <f>+D15/D17</f>
        <v>5.708333333333333</v>
      </c>
      <c r="E19" s="13">
        <f t="shared" ref="E19:J19" si="7">+E15/E17</f>
        <v>5.03125</v>
      </c>
      <c r="F19" s="13">
        <f t="shared" si="7"/>
        <v>6.7208333333333332</v>
      </c>
      <c r="G19" s="13">
        <f t="shared" si="7"/>
        <v>5.2166666666666668</v>
      </c>
      <c r="H19" s="13">
        <f t="shared" si="7"/>
        <v>5.9750000000000005</v>
      </c>
      <c r="I19" s="13">
        <f t="shared" si="7"/>
        <v>4.2</v>
      </c>
      <c r="J19" s="14">
        <f t="shared" si="7"/>
        <v>5.3</v>
      </c>
    </row>
    <row r="20" spans="1:10" ht="18.75">
      <c r="A20" s="29" t="s">
        <v>23</v>
      </c>
      <c r="B20" s="38">
        <v>0.375</v>
      </c>
      <c r="C20" s="38"/>
      <c r="D20" s="17">
        <f t="shared" ref="D20:J20" si="8">+$B$20+(D19/24)</f>
        <v>0.61284722222222221</v>
      </c>
      <c r="E20" s="17">
        <f t="shared" si="8"/>
        <v>0.58463541666666663</v>
      </c>
      <c r="F20" s="17">
        <f t="shared" si="8"/>
        <v>0.65503472222222214</v>
      </c>
      <c r="G20" s="17">
        <f t="shared" si="8"/>
        <v>0.59236111111111112</v>
      </c>
      <c r="H20" s="17">
        <f t="shared" si="8"/>
        <v>0.62395833333333339</v>
      </c>
      <c r="I20" s="17">
        <f t="shared" si="8"/>
        <v>0.55000000000000004</v>
      </c>
      <c r="J20" s="18">
        <f t="shared" si="8"/>
        <v>0.59583333333333333</v>
      </c>
    </row>
    <row r="21" spans="1:10" ht="19.5" thickBot="1">
      <c r="A21" s="24" t="s">
        <v>24</v>
      </c>
      <c r="B21" s="39" t="s">
        <v>25</v>
      </c>
      <c r="C21" s="39"/>
      <c r="D21" s="19"/>
      <c r="E21" s="19"/>
      <c r="F21" s="19"/>
      <c r="G21" s="19"/>
      <c r="H21" s="19"/>
      <c r="I21" s="19"/>
      <c r="J21" s="20"/>
    </row>
    <row r="22" spans="1:10" ht="18.75">
      <c r="A22" s="1"/>
      <c r="B22" s="1"/>
      <c r="C22" s="1"/>
      <c r="D22" s="15"/>
      <c r="E22" s="15"/>
      <c r="F22" s="15"/>
      <c r="G22" s="15"/>
      <c r="H22" s="15"/>
      <c r="I22" s="15"/>
      <c r="J22" s="15"/>
    </row>
    <row r="23" spans="1:10" ht="18.75">
      <c r="A23" s="33" t="s">
        <v>26</v>
      </c>
      <c r="D23" s="35" t="s">
        <v>27</v>
      </c>
      <c r="E23" s="35"/>
      <c r="F23" s="35"/>
      <c r="G23" s="35"/>
      <c r="H23" s="35"/>
      <c r="I23" s="35"/>
      <c r="J23" s="35"/>
    </row>
    <row r="24" spans="1:10">
      <c r="A24" s="34" t="s">
        <v>28</v>
      </c>
      <c r="D24" s="34"/>
      <c r="E24" s="34"/>
      <c r="F24" s="34"/>
      <c r="G24" s="34"/>
      <c r="H24" s="34"/>
      <c r="I24" s="34"/>
      <c r="J24" s="34"/>
    </row>
    <row r="25" spans="1:10">
      <c r="A25" s="34" t="s">
        <v>29</v>
      </c>
      <c r="D25" s="34"/>
      <c r="E25" s="34"/>
      <c r="F25" s="34"/>
      <c r="G25" s="34"/>
      <c r="H25" s="34"/>
      <c r="I25" s="34"/>
      <c r="J25" s="34"/>
    </row>
    <row r="26" spans="1:10">
      <c r="A26" s="34" t="s">
        <v>30</v>
      </c>
      <c r="D26" s="34"/>
      <c r="E26" s="34"/>
      <c r="F26" s="34"/>
      <c r="G26" s="34"/>
      <c r="H26" s="34"/>
      <c r="I26" s="34"/>
      <c r="J26" s="34"/>
    </row>
    <row r="27" spans="1:10">
      <c r="A27" s="34" t="s">
        <v>31</v>
      </c>
      <c r="D27" s="34"/>
      <c r="E27" s="34"/>
      <c r="F27" s="34"/>
      <c r="G27" s="34"/>
      <c r="H27" s="34"/>
      <c r="I27" s="34"/>
      <c r="J27" s="34"/>
    </row>
    <row r="28" spans="1:10">
      <c r="A28" s="34" t="s">
        <v>32</v>
      </c>
      <c r="D28" s="34"/>
      <c r="E28" s="34"/>
      <c r="F28" s="34"/>
      <c r="G28" s="34"/>
      <c r="H28" s="34"/>
      <c r="I28" s="34"/>
      <c r="J28" s="34"/>
    </row>
    <row r="29" spans="1:10">
      <c r="A29" s="34" t="s">
        <v>33</v>
      </c>
      <c r="D29" s="34"/>
      <c r="E29" s="34"/>
      <c r="F29" s="34"/>
      <c r="G29" s="34"/>
      <c r="H29" s="34"/>
      <c r="I29" s="34"/>
      <c r="J29" s="34"/>
    </row>
    <row r="30" spans="1:10">
      <c r="A30" s="34" t="s">
        <v>34</v>
      </c>
      <c r="D30" s="34"/>
      <c r="E30" s="34"/>
      <c r="F30" s="34"/>
      <c r="G30" s="34"/>
      <c r="H30" s="34"/>
      <c r="I30" s="34"/>
      <c r="J30" s="34"/>
    </row>
    <row r="31" spans="1:10">
      <c r="A31" s="34" t="s">
        <v>35</v>
      </c>
      <c r="D31" s="34"/>
      <c r="E31" s="34"/>
      <c r="F31" s="34"/>
      <c r="G31" s="34"/>
      <c r="H31" s="34"/>
      <c r="I31" s="34"/>
      <c r="J31" s="34"/>
    </row>
    <row r="32" spans="1:10">
      <c r="A32" s="34" t="s">
        <v>36</v>
      </c>
      <c r="D32" s="34"/>
      <c r="E32" s="34"/>
      <c r="F32" s="34"/>
      <c r="G32" s="34"/>
      <c r="H32" s="34"/>
      <c r="I32" s="34"/>
      <c r="J32" s="34"/>
    </row>
    <row r="33" spans="1:1">
      <c r="A33" s="34" t="s">
        <v>37</v>
      </c>
    </row>
    <row r="34" spans="1:1">
      <c r="A34" s="34"/>
    </row>
    <row r="35" spans="1:1">
      <c r="A35" s="34"/>
    </row>
    <row r="36" spans="1:1">
      <c r="A36" s="34"/>
    </row>
    <row r="37" spans="1:1">
      <c r="A37" s="34"/>
    </row>
    <row r="38" spans="1:1">
      <c r="A38" s="34"/>
    </row>
  </sheetData>
  <protectedRanges>
    <protectedRange algorithmName="SHA-512" hashValue="A0j3I2d6nrQNBrQ5nhkKEzm9BhK2bYkA3d6POHD0lEgQB6Pp2FSasebonBiHHMtND6YLuEI4RUUEEOKHkNEEcw==" saltValue="17zrbgavDZTHY8d/jldSjQ==" spinCount="100000" sqref="B20" name="StartTime"/>
    <protectedRange algorithmName="SHA-512" hashValue="8n1y6hOTXOLaRB6kl0M+15NdlotqI9Js6shwd7wFY78NpKMSyEPbMMHXeh0X/Vp3zhBPxfguuw44ev0mT2geQg==" saltValue="ZC5x0xTOvcWFmTrjScz8vQ==" spinCount="100000" sqref="B3:J4" name="Rows3_4"/>
    <protectedRange algorithmName="SHA-512" hashValue="pt5j4nHTpHwtWw1Xdic6Yo92EubuI/s7h/ydqgK4Onr9+dVmYlNPS9sYNqRiCkNlNQFUqfiqjkJ3xQMwqrAjHQ==" saltValue="i08kwCXWyE5QsexBhIHv4w==" spinCount="100000" sqref="D7:J7" name="Row7"/>
    <protectedRange algorithmName="SHA-512" hashValue="UCb5A/m7jbZgBXgX//HWx1SK/+f4GbmUuJ4B+Ij9t2DLHfmMYu7Pj2AzrRzp/sr1HMNTgkcrcEvSmeJnfGjNTg==" saltValue="ZFSaFZzkpa5ZyUPFpM/UQg==" spinCount="100000" sqref="D12:J12" name="Row12"/>
    <protectedRange algorithmName="SHA-512" hashValue="87eHsJennXT5i628pgyqwcLGKK+p5Mjph+QHDnvm2v/H3QDY8CKpDxQ4teaN/AUSUnLwlwfIcAWIt2s/eQ7YSw==" saltValue="ySndHldPRZPlOL7lN5Z0aw==" spinCount="100000" sqref="D17:J17" name="Row17"/>
  </protectedRanges>
  <mergeCells count="18">
    <mergeCell ref="A14:B14"/>
    <mergeCell ref="A15:B15"/>
    <mergeCell ref="A17:B17"/>
    <mergeCell ref="A8:B8"/>
    <mergeCell ref="A10:B10"/>
    <mergeCell ref="A11:B11"/>
    <mergeCell ref="G1:J1"/>
    <mergeCell ref="A12:B12"/>
    <mergeCell ref="B2:C2"/>
    <mergeCell ref="B3:C3"/>
    <mergeCell ref="B4:C4"/>
    <mergeCell ref="B5:C5"/>
    <mergeCell ref="A7:B7"/>
    <mergeCell ref="D23:J23"/>
    <mergeCell ref="A18:B18"/>
    <mergeCell ref="A19:B19"/>
    <mergeCell ref="B20:C20"/>
    <mergeCell ref="B21:C21"/>
  </mergeCells>
  <conditionalFormatting sqref="D18:J18">
    <cfRule type="cellIs" dxfId="1" priority="1" operator="lessThan">
      <formula>7</formula>
    </cfRule>
    <cfRule type="cellIs" dxfId="0" priority="2" operator="greaterThan">
      <formula>14</formula>
    </cfRule>
  </conditionalFormatting>
  <dataValidations count="1">
    <dataValidation type="list" allowBlank="1" showInputMessage="1" showErrorMessage="1" sqref="D25:J32 D24:J24" xr:uid="{90601C34-33E8-4534-AFB0-60A46D43E6A0}">
      <formula1>$A$24:$A$38</formula1>
    </dataValidation>
  </dataValidations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18C806A80A094DBA32E0C7D0805B50" ma:contentTypeVersion="13" ma:contentTypeDescription="Create a new document." ma:contentTypeScope="" ma:versionID="5c7b94174631d9ff875f7741a557eea5">
  <xsd:schema xmlns:xsd="http://www.w3.org/2001/XMLSchema" xmlns:xs="http://www.w3.org/2001/XMLSchema" xmlns:p="http://schemas.microsoft.com/office/2006/metadata/properties" xmlns:ns2="8356745f-be2b-4426-b37c-6796f5e9d124" xmlns:ns3="da0961b5-e0aa-4d26-8959-e6635ae3a8c8" targetNamespace="http://schemas.microsoft.com/office/2006/metadata/properties" ma:root="true" ma:fieldsID="80c2d4f8061983b27857cc84e6c87ee2" ns2:_="" ns3:_="">
    <xsd:import namespace="8356745f-be2b-4426-b37c-6796f5e9d124"/>
    <xsd:import namespace="da0961b5-e0aa-4d26-8959-e6635ae3a8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56745f-be2b-4426-b37c-6796f5e9d1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6030a11-5023-496e-bf3f-f9e2f55d7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0961b5-e0aa-4d26-8959-e6635ae3a8c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4aa9add-8591-4aed-b8b5-8e929a535b29}" ma:internalName="TaxCatchAll" ma:showField="CatchAllData" ma:web="da0961b5-e0aa-4d26-8959-e6635ae3a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a0961b5-e0aa-4d26-8959-e6635ae3a8c8"/>
    <lcf76f155ced4ddcb4097134ff3c332f xmlns="8356745f-be2b-4426-b37c-6796f5e9d12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333AA6-D085-400F-92B3-305EE446671A}"/>
</file>

<file path=customXml/itemProps2.xml><?xml version="1.0" encoding="utf-8"?>
<ds:datastoreItem xmlns:ds="http://schemas.openxmlformats.org/officeDocument/2006/customXml" ds:itemID="{40477D26-8AF3-48BA-9E91-88D48882A247}"/>
</file>

<file path=customXml/itemProps3.xml><?xml version="1.0" encoding="utf-8"?>
<ds:datastoreItem xmlns:ds="http://schemas.openxmlformats.org/officeDocument/2006/customXml" ds:itemID="{FF3121AA-B333-4A50-A3A5-C724D9825B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Bill Michaud</dc:creator>
  <cp:keywords/>
  <dc:description/>
  <cp:lastModifiedBy/>
  <cp:revision/>
  <dcterms:created xsi:type="dcterms:W3CDTF">2025-06-07T17:46:21Z</dcterms:created>
  <dcterms:modified xsi:type="dcterms:W3CDTF">2026-09-02T16:07:06Z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0x0101009F18C806A80A094DBA32E0C7D0805B50</vt:lpwstr>
  </property>
</Properties>
</file>