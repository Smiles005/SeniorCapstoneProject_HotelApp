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3.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drawings/drawing4.xml" ContentType="application/vnd.openxmlformats-officedocument.drawing+xml"/>
  <Override PartName="/xl/drawings/drawing5.xml" ContentType="application/vnd.openxmlformats-officedocument.drawing+xml"/>
  <Override PartName="/xl/comments2.xml" ContentType="application/vnd.openxmlformats-officedocument.spreadsheetml.comments+xml"/>
  <Override PartName="/xl/drawings/drawing6.xml" ContentType="application/vnd.openxmlformats-officedocument.drawing+xml"/>
  <Override PartName="/xl/comments3.xml" ContentType="application/vnd.openxmlformats-officedocument.spreadsheetml.comments+xml"/>
  <Override PartName="/xl/drawings/drawing7.xml" ContentType="application/vnd.openxmlformats-officedocument.drawing+xml"/>
  <Override PartName="/xl/comments4.xml" ContentType="application/vnd.openxmlformats-officedocument.spreadsheetml.comments+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drawings/drawing10.xml" ContentType="application/vnd.openxmlformats-officedocument.drawing+xml"/>
  <Override PartName="/xl/comments7.xml" ContentType="application/vnd.openxmlformats-officedocument.spreadsheetml.comments+xml"/>
  <Override PartName="/xl/drawings/drawing11.xml" ContentType="application/vnd.openxmlformats-officedocument.drawing+xml"/>
  <Override PartName="/xl/comments8.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charts/chart5.xml" ContentType="application/vnd.openxmlformats-officedocument.drawingml.chart+xml"/>
  <Override PartName="/xl/charts/style1.xml" ContentType="application/vnd.ms-office.chartstyle+xml"/>
  <Override PartName="/xl/charts/colors1.xml" ContentType="application/vnd.ms-office.chartcolorstyle+xml"/>
  <Override PartName="/xl/charts/chart6.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5.xml" ContentType="application/vnd.openxmlformats-officedocument.drawing+xml"/>
  <Override PartName="/xl/comments9.xml" ContentType="application/vnd.openxmlformats-officedocument.spreadsheetml.comments+xml"/>
  <Override PartName="/xl/drawings/drawing16.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hidePivotFieldList="1"/>
  <mc:AlternateContent xmlns:mc="http://schemas.openxmlformats.org/markup-compatibility/2006">
    <mc:Choice Requires="x15">
      <x15ac:absPath xmlns:x15ac="http://schemas.microsoft.com/office/spreadsheetml/2010/11/ac" url="https://d.docs.live.net/124a89ea743a1d64/Desktop/SoftwareProject/"/>
    </mc:Choice>
  </mc:AlternateContent>
  <xr:revisionPtr revIDLastSave="0" documentId="8_{6C4810B1-AE69-4756-B590-BC24BEDDC8E0}" xr6:coauthVersionLast="47" xr6:coauthVersionMax="47" xr10:uidLastSave="{00000000-0000-0000-0000-000000000000}"/>
  <bookViews>
    <workbookView xWindow="-120" yWindow="-120" windowWidth="29040" windowHeight="15720" tabRatio="808" firstSheet="2" activeTab="3" xr2:uid="{00000000-000D-0000-FFFF-FFFF00000000}"/>
  </bookViews>
  <sheets>
    <sheet name="Attendant_Data" sheetId="42" state="hidden" r:id="rId1"/>
    <sheet name="Inspector_Data" sheetId="43" state="hidden" r:id="rId2"/>
    <sheet name="Setup_and_Criteria" sheetId="24" r:id="rId3"/>
    <sheet name="Attendant_Dashboard" sheetId="40" r:id="rId4"/>
    <sheet name="Inspector_Dashboard" sheetId="44" r:id="rId5"/>
    <sheet name="RA_DailySheet" sheetId="45" r:id="rId6"/>
    <sheet name="M1_1-15th" sheetId="27" r:id="rId7"/>
    <sheet name="M1_16-EOM" sheetId="29" r:id="rId8"/>
    <sheet name="M2_1-15th" sheetId="30" r:id="rId9"/>
    <sheet name="M2_16-EOM" sheetId="31" r:id="rId10"/>
    <sheet name="M3_1-15th" sheetId="32" r:id="rId11"/>
    <sheet name="M3_16-EOM" sheetId="33" r:id="rId12"/>
    <sheet name="Payroll_Reconciliation" sheetId="34" r:id="rId13"/>
    <sheet name="WeeklyPerformanceReport" sheetId="16" state="hidden" r:id="rId14"/>
    <sheet name="RoomAttendant_MTD_LeaderBoard" sheetId="36" state="hidden" r:id="rId15"/>
    <sheet name="WeeklyPerformanceChart" sheetId="38" state="hidden" r:id="rId16"/>
    <sheet name="LeaderBoard" sheetId="22" state="hidden" r:id="rId17"/>
    <sheet name="Corrections" sheetId="26" state="hidden" r:id="rId18"/>
    <sheet name="MonthlyReports" sheetId="25" state="hidden" r:id="rId19"/>
    <sheet name="TeamMember 1" sheetId="6" state="hidden" r:id="rId20"/>
    <sheet name="TeamMember 2" sheetId="3" state="hidden" r:id="rId21"/>
  </sheets>
  <definedNames>
    <definedName name="_xlnm._FilterDatabase" localSheetId="3" hidden="1">Attendant_Dashboard!$A$12:$K$15</definedName>
    <definedName name="_xlnm.Print_Area" localSheetId="3">Attendant_Dashboard!$A$35:$M$50</definedName>
    <definedName name="_xlnm.Print_Area" localSheetId="12">Payroll_Reconciliation!$A$1:$T$32</definedName>
    <definedName name="_xlnm.Print_Area" localSheetId="14">RoomAttendant_MTD_LeaderBoard!$A$1:$AL$16</definedName>
    <definedName name="_xlnm.Print_Area" localSheetId="13">WeeklyPerformanceReport!$A$49:$P$71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16" i="45" l="1"/>
  <c r="F17" i="45"/>
  <c r="F18" i="45"/>
  <c r="F15" i="45"/>
  <c r="F36" i="45"/>
  <c r="F35" i="45"/>
  <c r="F34" i="45"/>
  <c r="F33" i="45"/>
  <c r="O90" i="30" l="1"/>
  <c r="O89" i="30"/>
  <c r="O88" i="30"/>
  <c r="O87" i="30"/>
  <c r="O86" i="30"/>
  <c r="Q86" i="30" s="1"/>
  <c r="Q88" i="30"/>
  <c r="O138" i="31"/>
  <c r="O139" i="31"/>
  <c r="O140" i="31"/>
  <c r="O141" i="31"/>
  <c r="O34" i="31"/>
  <c r="Q34" i="31" s="1"/>
  <c r="O35" i="31"/>
  <c r="O36" i="31"/>
  <c r="N208" i="33"/>
  <c r="N207" i="33"/>
  <c r="N206" i="33"/>
  <c r="N205" i="33"/>
  <c r="N204" i="33"/>
  <c r="N203" i="33"/>
  <c r="N195" i="33"/>
  <c r="N194" i="33"/>
  <c r="N193" i="33"/>
  <c r="N192" i="33"/>
  <c r="N191" i="33"/>
  <c r="N190" i="33"/>
  <c r="P190" i="33" s="1"/>
  <c r="N182" i="33"/>
  <c r="P182" i="33" s="1"/>
  <c r="N181" i="33"/>
  <c r="N180" i="33"/>
  <c r="N179" i="33"/>
  <c r="N178" i="33"/>
  <c r="N177" i="33"/>
  <c r="N169" i="33"/>
  <c r="N168" i="33"/>
  <c r="N167" i="33"/>
  <c r="N166" i="33"/>
  <c r="N165" i="33"/>
  <c r="N164" i="33"/>
  <c r="N156" i="33"/>
  <c r="N155" i="33"/>
  <c r="N154" i="33"/>
  <c r="N153" i="33"/>
  <c r="N152" i="33"/>
  <c r="N151" i="33"/>
  <c r="N143" i="33"/>
  <c r="N142" i="33"/>
  <c r="N141" i="33"/>
  <c r="N140" i="33"/>
  <c r="N139" i="33"/>
  <c r="N138" i="33"/>
  <c r="N130" i="33"/>
  <c r="N129" i="33"/>
  <c r="N128" i="33"/>
  <c r="N127" i="33"/>
  <c r="N126" i="33"/>
  <c r="N125" i="33"/>
  <c r="N117" i="33"/>
  <c r="N116" i="33"/>
  <c r="N115" i="33"/>
  <c r="N114" i="33"/>
  <c r="N113" i="33"/>
  <c r="N112" i="33"/>
  <c r="N104" i="33"/>
  <c r="N103" i="33"/>
  <c r="N102" i="33"/>
  <c r="N101" i="33"/>
  <c r="N100" i="33"/>
  <c r="N99" i="33"/>
  <c r="N91" i="33"/>
  <c r="N90" i="33"/>
  <c r="N89" i="33"/>
  <c r="N88" i="33"/>
  <c r="N87" i="33"/>
  <c r="N86" i="33"/>
  <c r="N78" i="33"/>
  <c r="N77" i="33"/>
  <c r="N76" i="33"/>
  <c r="N75" i="33"/>
  <c r="N74" i="33"/>
  <c r="N73" i="33"/>
  <c r="N65" i="33"/>
  <c r="N64" i="33"/>
  <c r="N63" i="33"/>
  <c r="N62" i="33"/>
  <c r="N61" i="33"/>
  <c r="N60" i="33"/>
  <c r="N52" i="33"/>
  <c r="N51" i="33"/>
  <c r="N50" i="33"/>
  <c r="N49" i="33"/>
  <c r="N48" i="33"/>
  <c r="N47" i="33"/>
  <c r="N39" i="33"/>
  <c r="N38" i="33"/>
  <c r="N37" i="33"/>
  <c r="N36" i="33"/>
  <c r="N35" i="33"/>
  <c r="N34" i="33"/>
  <c r="N26" i="33"/>
  <c r="N25" i="33"/>
  <c r="N24" i="33"/>
  <c r="N23" i="33"/>
  <c r="N22" i="33"/>
  <c r="P22" i="33" s="1"/>
  <c r="N21" i="33"/>
  <c r="N13" i="33"/>
  <c r="N12" i="33"/>
  <c r="N11" i="33"/>
  <c r="N10" i="33"/>
  <c r="N9" i="33"/>
  <c r="N8" i="33"/>
  <c r="N195" i="32"/>
  <c r="N194" i="32"/>
  <c r="N193" i="32"/>
  <c r="N192" i="32"/>
  <c r="N191" i="32"/>
  <c r="N190" i="32"/>
  <c r="N182" i="32"/>
  <c r="N181" i="32"/>
  <c r="N180" i="32"/>
  <c r="N179" i="32"/>
  <c r="N178" i="32"/>
  <c r="N177" i="32"/>
  <c r="N169" i="32"/>
  <c r="N168" i="32"/>
  <c r="N167" i="32"/>
  <c r="N166" i="32"/>
  <c r="N165" i="32"/>
  <c r="N164" i="32"/>
  <c r="N156" i="32"/>
  <c r="N155" i="32"/>
  <c r="N154" i="32"/>
  <c r="N153" i="32"/>
  <c r="N152" i="32"/>
  <c r="N151" i="32"/>
  <c r="N143" i="32"/>
  <c r="N142" i="32"/>
  <c r="N141" i="32"/>
  <c r="N140" i="32"/>
  <c r="N139" i="32"/>
  <c r="N138" i="32"/>
  <c r="P138" i="32" s="1"/>
  <c r="N130" i="32"/>
  <c r="N129" i="32"/>
  <c r="N128" i="32"/>
  <c r="N127" i="32"/>
  <c r="N126" i="32"/>
  <c r="N125" i="32"/>
  <c r="N117" i="32"/>
  <c r="N116" i="32"/>
  <c r="N115" i="32"/>
  <c r="N114" i="32"/>
  <c r="N113" i="32"/>
  <c r="N112" i="32"/>
  <c r="N104" i="32"/>
  <c r="N103" i="32"/>
  <c r="N102" i="32"/>
  <c r="N101" i="32"/>
  <c r="N100" i="32"/>
  <c r="N99" i="32"/>
  <c r="N91" i="32"/>
  <c r="N90" i="32"/>
  <c r="N89" i="32"/>
  <c r="N88" i="32"/>
  <c r="N87" i="32"/>
  <c r="N86" i="32"/>
  <c r="P86" i="32" s="1"/>
  <c r="N78" i="32"/>
  <c r="N77" i="32"/>
  <c r="N76" i="32"/>
  <c r="N75" i="32"/>
  <c r="N74" i="32"/>
  <c r="N73" i="32"/>
  <c r="N65" i="32"/>
  <c r="N64" i="32"/>
  <c r="N63" i="32"/>
  <c r="N62" i="32"/>
  <c r="N61" i="32"/>
  <c r="N60" i="32"/>
  <c r="N52" i="32"/>
  <c r="N51" i="32"/>
  <c r="N50" i="32"/>
  <c r="N49" i="32"/>
  <c r="N48" i="32"/>
  <c r="P48" i="32" s="1"/>
  <c r="N47" i="32"/>
  <c r="N39" i="32"/>
  <c r="N38" i="32"/>
  <c r="N37" i="32"/>
  <c r="N36" i="32"/>
  <c r="N35" i="32"/>
  <c r="N34" i="32"/>
  <c r="N26" i="32"/>
  <c r="N25" i="32"/>
  <c r="N24" i="32"/>
  <c r="N23" i="32"/>
  <c r="N22" i="32"/>
  <c r="P22" i="32" s="1"/>
  <c r="N21" i="32"/>
  <c r="N13" i="32"/>
  <c r="N12" i="32"/>
  <c r="N11" i="32"/>
  <c r="N10" i="32"/>
  <c r="N9" i="32"/>
  <c r="N8" i="32"/>
  <c r="N169" i="31"/>
  <c r="N168" i="31"/>
  <c r="N167" i="31"/>
  <c r="N166" i="31"/>
  <c r="N165" i="31"/>
  <c r="N164" i="31"/>
  <c r="N156" i="31"/>
  <c r="N155" i="31"/>
  <c r="N154" i="31"/>
  <c r="N153" i="31"/>
  <c r="N152" i="31"/>
  <c r="N151" i="31"/>
  <c r="N143" i="31"/>
  <c r="N142" i="31"/>
  <c r="N141" i="31"/>
  <c r="N140" i="31"/>
  <c r="N139" i="31"/>
  <c r="P139" i="31" s="1"/>
  <c r="N138" i="31"/>
  <c r="N130" i="31"/>
  <c r="N129" i="31"/>
  <c r="N128" i="31"/>
  <c r="N127" i="31"/>
  <c r="N126" i="31"/>
  <c r="P126" i="31" s="1"/>
  <c r="N125" i="31"/>
  <c r="N117" i="31"/>
  <c r="N116" i="31"/>
  <c r="N115" i="31"/>
  <c r="N114" i="31"/>
  <c r="N113" i="31"/>
  <c r="N112" i="31"/>
  <c r="N104" i="31"/>
  <c r="N103" i="31"/>
  <c r="P103" i="31" s="1"/>
  <c r="N102" i="31"/>
  <c r="P102" i="31" s="1"/>
  <c r="N101" i="31"/>
  <c r="N100" i="31"/>
  <c r="N99" i="31"/>
  <c r="N91" i="31"/>
  <c r="N90" i="31"/>
  <c r="N89" i="31"/>
  <c r="N88" i="31"/>
  <c r="N87" i="31"/>
  <c r="N86" i="31"/>
  <c r="N78" i="31"/>
  <c r="N77" i="31"/>
  <c r="N76" i="31"/>
  <c r="N75" i="31"/>
  <c r="N74" i="31"/>
  <c r="N73" i="31"/>
  <c r="O73" i="31"/>
  <c r="P73" i="31"/>
  <c r="Q73" i="31"/>
  <c r="N65" i="31"/>
  <c r="P65" i="31" s="1"/>
  <c r="N64" i="31"/>
  <c r="N63" i="31"/>
  <c r="N62" i="31"/>
  <c r="N61" i="31"/>
  <c r="N60" i="31"/>
  <c r="N52" i="31"/>
  <c r="N51" i="31"/>
  <c r="N50" i="31"/>
  <c r="N49" i="31"/>
  <c r="N48" i="31"/>
  <c r="P48" i="31" s="1"/>
  <c r="N47" i="31"/>
  <c r="N39" i="31"/>
  <c r="N38" i="31"/>
  <c r="P38" i="31" s="1"/>
  <c r="N37" i="31"/>
  <c r="N36" i="31"/>
  <c r="N35" i="31"/>
  <c r="N34" i="31"/>
  <c r="N26" i="31"/>
  <c r="N25" i="31"/>
  <c r="N24" i="31"/>
  <c r="N23" i="31"/>
  <c r="N22" i="31"/>
  <c r="N21" i="31"/>
  <c r="N13" i="31"/>
  <c r="N12" i="31"/>
  <c r="N11" i="31"/>
  <c r="N10" i="31"/>
  <c r="N9" i="31"/>
  <c r="N8" i="31"/>
  <c r="N195" i="30"/>
  <c r="N194" i="30"/>
  <c r="N193" i="30"/>
  <c r="N192" i="30"/>
  <c r="N191" i="30"/>
  <c r="N190" i="30"/>
  <c r="N182" i="30"/>
  <c r="N181" i="30"/>
  <c r="N180" i="30"/>
  <c r="N179" i="30"/>
  <c r="N178" i="30"/>
  <c r="N177" i="30"/>
  <c r="N169" i="30"/>
  <c r="N168" i="30"/>
  <c r="N167" i="30"/>
  <c r="N166" i="30"/>
  <c r="N165" i="30"/>
  <c r="N164" i="30"/>
  <c r="N156" i="30"/>
  <c r="N155" i="30"/>
  <c r="N154" i="30"/>
  <c r="N153" i="30"/>
  <c r="N152" i="30"/>
  <c r="N151" i="30"/>
  <c r="N143" i="30"/>
  <c r="N142" i="30"/>
  <c r="N141" i="30"/>
  <c r="N140" i="30"/>
  <c r="P140" i="30" s="1"/>
  <c r="N139" i="30"/>
  <c r="N138" i="30"/>
  <c r="N130" i="30"/>
  <c r="N129" i="30"/>
  <c r="N128" i="30"/>
  <c r="N127" i="30"/>
  <c r="N126" i="30"/>
  <c r="N125" i="30"/>
  <c r="P125" i="30" s="1"/>
  <c r="N117" i="30"/>
  <c r="N116" i="30"/>
  <c r="P116" i="30" s="1"/>
  <c r="N115" i="30"/>
  <c r="N114" i="30"/>
  <c r="N113" i="30"/>
  <c r="N112" i="30"/>
  <c r="N104" i="30"/>
  <c r="N103" i="30"/>
  <c r="N102" i="30"/>
  <c r="N101" i="30"/>
  <c r="N100" i="30"/>
  <c r="N99" i="30"/>
  <c r="N91" i="30"/>
  <c r="N90" i="30"/>
  <c r="N89" i="30"/>
  <c r="P89" i="30" s="1"/>
  <c r="N88" i="30"/>
  <c r="N87" i="30"/>
  <c r="N86" i="30"/>
  <c r="N78" i="30"/>
  <c r="N77" i="30"/>
  <c r="N76" i="30"/>
  <c r="P76" i="30" s="1"/>
  <c r="N75" i="30"/>
  <c r="N74" i="30"/>
  <c r="N73" i="30"/>
  <c r="P73" i="30" s="1"/>
  <c r="N65" i="30"/>
  <c r="N64" i="30"/>
  <c r="N63" i="30"/>
  <c r="N62" i="30"/>
  <c r="N61" i="30"/>
  <c r="N60" i="30"/>
  <c r="N52" i="30"/>
  <c r="N51" i="30"/>
  <c r="N50" i="30"/>
  <c r="N49" i="30"/>
  <c r="N48" i="30"/>
  <c r="N47" i="30"/>
  <c r="N39" i="30"/>
  <c r="N38" i="30"/>
  <c r="N37" i="30"/>
  <c r="N36" i="30"/>
  <c r="N35" i="30"/>
  <c r="N34" i="30"/>
  <c r="N26" i="30"/>
  <c r="N25" i="30"/>
  <c r="N24" i="30"/>
  <c r="N23" i="30"/>
  <c r="P23" i="30" s="1"/>
  <c r="N22" i="30"/>
  <c r="N21" i="30"/>
  <c r="N13" i="30"/>
  <c r="N12" i="30"/>
  <c r="N11" i="30"/>
  <c r="N10" i="30"/>
  <c r="N9" i="30"/>
  <c r="N8" i="30"/>
  <c r="N208" i="29"/>
  <c r="N207" i="29"/>
  <c r="N206" i="29"/>
  <c r="N205" i="29"/>
  <c r="N204" i="29"/>
  <c r="N203" i="29"/>
  <c r="N195" i="29"/>
  <c r="N194" i="29"/>
  <c r="N193" i="29"/>
  <c r="N192" i="29"/>
  <c r="N191" i="29"/>
  <c r="N190" i="29"/>
  <c r="N182" i="29"/>
  <c r="N181" i="29"/>
  <c r="N180" i="29"/>
  <c r="N179" i="29"/>
  <c r="N178" i="29"/>
  <c r="N177" i="29"/>
  <c r="N169" i="29"/>
  <c r="N168" i="29"/>
  <c r="N167" i="29"/>
  <c r="N166" i="29"/>
  <c r="N165" i="29"/>
  <c r="N164" i="29"/>
  <c r="N156" i="29"/>
  <c r="N155" i="29"/>
  <c r="N154" i="29"/>
  <c r="N153" i="29"/>
  <c r="N152" i="29"/>
  <c r="N151" i="29"/>
  <c r="N143" i="29"/>
  <c r="N142" i="29"/>
  <c r="N141" i="29"/>
  <c r="N140" i="29"/>
  <c r="N139" i="29"/>
  <c r="N138" i="29"/>
  <c r="N130" i="29"/>
  <c r="N129" i="29"/>
  <c r="N128" i="29"/>
  <c r="N127" i="29"/>
  <c r="N126" i="29"/>
  <c r="N125" i="29"/>
  <c r="N117" i="29"/>
  <c r="N116" i="29"/>
  <c r="N115" i="29"/>
  <c r="N114" i="29"/>
  <c r="N113" i="29"/>
  <c r="N112" i="29"/>
  <c r="N104" i="29"/>
  <c r="N103" i="29"/>
  <c r="N102" i="29"/>
  <c r="N101" i="29"/>
  <c r="N100" i="29"/>
  <c r="N99" i="29"/>
  <c r="N91" i="29"/>
  <c r="N90" i="29"/>
  <c r="N89" i="29"/>
  <c r="N88" i="29"/>
  <c r="N87" i="29"/>
  <c r="N86" i="29"/>
  <c r="N78" i="29"/>
  <c r="N77" i="29"/>
  <c r="N76" i="29"/>
  <c r="N75" i="29"/>
  <c r="N74" i="29"/>
  <c r="N73" i="29"/>
  <c r="N65" i="29"/>
  <c r="N64" i="29"/>
  <c r="N63" i="29"/>
  <c r="N62" i="29"/>
  <c r="N61" i="29"/>
  <c r="N60" i="29"/>
  <c r="N66" i="29" s="1"/>
  <c r="N52" i="29"/>
  <c r="N51" i="29"/>
  <c r="N50" i="29"/>
  <c r="N49" i="29"/>
  <c r="N48" i="29"/>
  <c r="N47" i="29"/>
  <c r="N39" i="29"/>
  <c r="N38" i="29"/>
  <c r="N37" i="29"/>
  <c r="N36" i="29"/>
  <c r="N35" i="29"/>
  <c r="N34" i="29"/>
  <c r="N26" i="29"/>
  <c r="N25" i="29"/>
  <c r="N24" i="29"/>
  <c r="N23" i="29"/>
  <c r="N22" i="29"/>
  <c r="N21" i="29"/>
  <c r="N13" i="29"/>
  <c r="N12" i="29"/>
  <c r="N11" i="29"/>
  <c r="N10" i="29"/>
  <c r="N9" i="29"/>
  <c r="N8" i="29"/>
  <c r="N195" i="27"/>
  <c r="N194" i="27"/>
  <c r="N193" i="27"/>
  <c r="N192" i="27"/>
  <c r="N191" i="27"/>
  <c r="N190" i="27"/>
  <c r="N182" i="27"/>
  <c r="N181" i="27"/>
  <c r="N180" i="27"/>
  <c r="N179" i="27"/>
  <c r="N178" i="27"/>
  <c r="N177" i="27"/>
  <c r="N169" i="27"/>
  <c r="N168" i="27"/>
  <c r="N167" i="27"/>
  <c r="N166" i="27"/>
  <c r="N165" i="27"/>
  <c r="N164" i="27"/>
  <c r="N156" i="27"/>
  <c r="N155" i="27"/>
  <c r="N154" i="27"/>
  <c r="N153" i="27"/>
  <c r="N152" i="27"/>
  <c r="N151" i="27"/>
  <c r="N143" i="27"/>
  <c r="N142" i="27"/>
  <c r="N141" i="27"/>
  <c r="N140" i="27"/>
  <c r="N139" i="27"/>
  <c r="N138" i="27"/>
  <c r="N130" i="27"/>
  <c r="N129" i="27"/>
  <c r="N128" i="27"/>
  <c r="N127" i="27"/>
  <c r="N126" i="27"/>
  <c r="N125" i="27"/>
  <c r="N117" i="27"/>
  <c r="N116" i="27"/>
  <c r="N115" i="27"/>
  <c r="N114" i="27"/>
  <c r="N113" i="27"/>
  <c r="N112" i="27"/>
  <c r="N104" i="27"/>
  <c r="N103" i="27"/>
  <c r="N102" i="27"/>
  <c r="N101" i="27"/>
  <c r="N100" i="27"/>
  <c r="N99" i="27"/>
  <c r="N91" i="27"/>
  <c r="N90" i="27"/>
  <c r="N89" i="27"/>
  <c r="N88" i="27"/>
  <c r="N87" i="27"/>
  <c r="N86" i="27"/>
  <c r="N78" i="27"/>
  <c r="N77" i="27"/>
  <c r="N76" i="27"/>
  <c r="N75" i="27"/>
  <c r="N74" i="27"/>
  <c r="N73" i="27"/>
  <c r="N65" i="27"/>
  <c r="N64" i="27"/>
  <c r="N63" i="27"/>
  <c r="N62" i="27"/>
  <c r="N61" i="27"/>
  <c r="N60" i="27"/>
  <c r="N52" i="27"/>
  <c r="N51" i="27"/>
  <c r="N50" i="27"/>
  <c r="N49" i="27"/>
  <c r="N48" i="27"/>
  <c r="N47" i="27"/>
  <c r="N39" i="27"/>
  <c r="N38" i="27"/>
  <c r="N37" i="27"/>
  <c r="N36" i="27"/>
  <c r="N35" i="27"/>
  <c r="N34" i="27"/>
  <c r="N26" i="27"/>
  <c r="N25" i="27"/>
  <c r="N24" i="27"/>
  <c r="N23" i="27"/>
  <c r="N22" i="27"/>
  <c r="N21" i="27"/>
  <c r="N13" i="27"/>
  <c r="N12" i="27"/>
  <c r="N11" i="27"/>
  <c r="N10" i="27"/>
  <c r="N9" i="27"/>
  <c r="N8" i="27"/>
  <c r="O8" i="30"/>
  <c r="Q8" i="30" s="1"/>
  <c r="O9" i="30"/>
  <c r="O10" i="30"/>
  <c r="O11" i="30"/>
  <c r="BF5" i="24"/>
  <c r="BF6" i="24"/>
  <c r="BF7" i="24"/>
  <c r="BF8" i="24"/>
  <c r="BF9" i="24"/>
  <c r="BF10" i="24"/>
  <c r="BF11" i="24"/>
  <c r="BF12" i="24"/>
  <c r="R7" i="27"/>
  <c r="M102" i="3"/>
  <c r="L102" i="3"/>
  <c r="K102" i="3"/>
  <c r="J102" i="3"/>
  <c r="I102" i="3"/>
  <c r="H102" i="3"/>
  <c r="G102" i="3"/>
  <c r="F102" i="3"/>
  <c r="E102" i="3"/>
  <c r="D102" i="3"/>
  <c r="C102" i="3"/>
  <c r="B102" i="3"/>
  <c r="M101" i="3"/>
  <c r="L101" i="3"/>
  <c r="M100" i="3"/>
  <c r="L100" i="3"/>
  <c r="M99" i="3"/>
  <c r="L99" i="3"/>
  <c r="K98" i="3"/>
  <c r="J98" i="3"/>
  <c r="I98" i="3"/>
  <c r="H98" i="3"/>
  <c r="G98" i="3"/>
  <c r="F98" i="3"/>
  <c r="E98" i="3"/>
  <c r="D98" i="3"/>
  <c r="C98" i="3"/>
  <c r="B98" i="3"/>
  <c r="U96" i="3"/>
  <c r="T96" i="3"/>
  <c r="S96" i="3"/>
  <c r="K96" i="3"/>
  <c r="H96" i="3"/>
  <c r="F96" i="3"/>
  <c r="E96" i="3"/>
  <c r="U95" i="3"/>
  <c r="T95" i="3"/>
  <c r="S95" i="3"/>
  <c r="K95" i="3"/>
  <c r="H95" i="3"/>
  <c r="G95" i="3"/>
  <c r="I95" i="3" s="1"/>
  <c r="F95" i="3"/>
  <c r="U94" i="3"/>
  <c r="T94" i="3"/>
  <c r="S94" i="3"/>
  <c r="K94" i="3"/>
  <c r="H94" i="3"/>
  <c r="G94" i="3"/>
  <c r="J94" i="3" s="1"/>
  <c r="F94" i="3"/>
  <c r="U93" i="3"/>
  <c r="T93" i="3"/>
  <c r="S93" i="3"/>
  <c r="K93" i="3"/>
  <c r="H93" i="3"/>
  <c r="G93" i="3"/>
  <c r="F93" i="3"/>
  <c r="A91" i="3"/>
  <c r="A98" i="3" s="1"/>
  <c r="M88" i="3"/>
  <c r="L88" i="3"/>
  <c r="K88" i="3"/>
  <c r="J88" i="3"/>
  <c r="I88" i="3"/>
  <c r="H88" i="3"/>
  <c r="G88" i="3"/>
  <c r="F88" i="3"/>
  <c r="E88" i="3"/>
  <c r="D88" i="3"/>
  <c r="C88" i="3"/>
  <c r="B88" i="3"/>
  <c r="M87" i="3"/>
  <c r="L87" i="3"/>
  <c r="M86" i="3"/>
  <c r="L86" i="3"/>
  <c r="M85" i="3"/>
  <c r="L85" i="3"/>
  <c r="M84" i="3"/>
  <c r="L84" i="3"/>
  <c r="M83" i="3"/>
  <c r="L83" i="3"/>
  <c r="M82" i="3"/>
  <c r="L82" i="3"/>
  <c r="M81" i="3"/>
  <c r="L81" i="3"/>
  <c r="K80" i="3"/>
  <c r="J80" i="3"/>
  <c r="I80" i="3"/>
  <c r="H80" i="3"/>
  <c r="G80" i="3"/>
  <c r="F80" i="3"/>
  <c r="E80" i="3"/>
  <c r="D80" i="3"/>
  <c r="C80" i="3"/>
  <c r="B80" i="3"/>
  <c r="U78" i="3"/>
  <c r="T78" i="3"/>
  <c r="S78" i="3"/>
  <c r="K78" i="3"/>
  <c r="H78" i="3"/>
  <c r="F78" i="3"/>
  <c r="E78" i="3"/>
  <c r="U77" i="3"/>
  <c r="T77" i="3"/>
  <c r="S77" i="3"/>
  <c r="K77" i="3"/>
  <c r="H77" i="3"/>
  <c r="G77" i="3"/>
  <c r="F77" i="3"/>
  <c r="U76" i="3"/>
  <c r="T76" i="3"/>
  <c r="S76" i="3"/>
  <c r="K76" i="3"/>
  <c r="H76" i="3"/>
  <c r="G76" i="3"/>
  <c r="J76" i="3" s="1"/>
  <c r="F76" i="3"/>
  <c r="U75" i="3"/>
  <c r="T75" i="3"/>
  <c r="S75" i="3"/>
  <c r="K75" i="3"/>
  <c r="H75" i="3"/>
  <c r="G75" i="3"/>
  <c r="F75" i="3"/>
  <c r="U74" i="3"/>
  <c r="T74" i="3"/>
  <c r="S74" i="3"/>
  <c r="K74" i="3"/>
  <c r="H74" i="3"/>
  <c r="G74" i="3"/>
  <c r="J74" i="3" s="1"/>
  <c r="F74" i="3"/>
  <c r="U73" i="3"/>
  <c r="T73" i="3"/>
  <c r="S73" i="3"/>
  <c r="K73" i="3"/>
  <c r="H73" i="3"/>
  <c r="G73" i="3"/>
  <c r="J73" i="3" s="1"/>
  <c r="F73" i="3"/>
  <c r="U72" i="3"/>
  <c r="T72" i="3"/>
  <c r="S72" i="3"/>
  <c r="K72" i="3"/>
  <c r="H72" i="3"/>
  <c r="G72" i="3"/>
  <c r="I72" i="3" s="1"/>
  <c r="F72" i="3"/>
  <c r="U71" i="3"/>
  <c r="T71" i="3"/>
  <c r="S71" i="3"/>
  <c r="K71" i="3"/>
  <c r="H71" i="3"/>
  <c r="G71" i="3"/>
  <c r="F71" i="3"/>
  <c r="A69" i="3"/>
  <c r="M66" i="3"/>
  <c r="L66" i="3"/>
  <c r="K66" i="3"/>
  <c r="J66" i="3"/>
  <c r="I66" i="3"/>
  <c r="H66" i="3"/>
  <c r="G66" i="3"/>
  <c r="F66" i="3"/>
  <c r="E66" i="3"/>
  <c r="D66" i="3"/>
  <c r="C66" i="3"/>
  <c r="B66" i="3"/>
  <c r="M65" i="3"/>
  <c r="L65" i="3"/>
  <c r="M64" i="3"/>
  <c r="L64" i="3"/>
  <c r="M63" i="3"/>
  <c r="L63" i="3"/>
  <c r="M62" i="3"/>
  <c r="L62" i="3"/>
  <c r="M61" i="3"/>
  <c r="L61" i="3"/>
  <c r="M60" i="3"/>
  <c r="L60" i="3"/>
  <c r="M59" i="3"/>
  <c r="L59" i="3"/>
  <c r="K58" i="3"/>
  <c r="J58" i="3"/>
  <c r="I58" i="3"/>
  <c r="H58" i="3"/>
  <c r="G58" i="3"/>
  <c r="F58" i="3"/>
  <c r="E58" i="3"/>
  <c r="D58" i="3"/>
  <c r="C58" i="3"/>
  <c r="B58" i="3"/>
  <c r="U56" i="3"/>
  <c r="T56" i="3"/>
  <c r="S56" i="3"/>
  <c r="K56" i="3"/>
  <c r="H56" i="3"/>
  <c r="F56" i="3"/>
  <c r="E56" i="3"/>
  <c r="U55" i="3"/>
  <c r="T55" i="3"/>
  <c r="S55" i="3"/>
  <c r="K55" i="3"/>
  <c r="H55" i="3"/>
  <c r="G55" i="3"/>
  <c r="F55" i="3"/>
  <c r="U54" i="3"/>
  <c r="T54" i="3"/>
  <c r="S54" i="3"/>
  <c r="K54" i="3"/>
  <c r="H54" i="3"/>
  <c r="G54" i="3"/>
  <c r="I54" i="3" s="1"/>
  <c r="F54" i="3"/>
  <c r="U53" i="3"/>
  <c r="T53" i="3"/>
  <c r="S53" i="3"/>
  <c r="K53" i="3"/>
  <c r="H53" i="3"/>
  <c r="G53" i="3"/>
  <c r="J53" i="3" s="1"/>
  <c r="F53" i="3"/>
  <c r="U52" i="3"/>
  <c r="T52" i="3"/>
  <c r="S52" i="3"/>
  <c r="K52" i="3"/>
  <c r="J52" i="3"/>
  <c r="H52" i="3"/>
  <c r="G52" i="3"/>
  <c r="I52" i="3" s="1"/>
  <c r="F52" i="3"/>
  <c r="U51" i="3"/>
  <c r="T51" i="3"/>
  <c r="S51" i="3"/>
  <c r="K51" i="3"/>
  <c r="H51" i="3"/>
  <c r="G51" i="3"/>
  <c r="F51" i="3"/>
  <c r="U50" i="3"/>
  <c r="T50" i="3"/>
  <c r="S50" i="3"/>
  <c r="K50" i="3"/>
  <c r="H50" i="3"/>
  <c r="G50" i="3"/>
  <c r="J50" i="3" s="1"/>
  <c r="F50" i="3"/>
  <c r="U49" i="3"/>
  <c r="T49" i="3"/>
  <c r="S49" i="3"/>
  <c r="K49" i="3"/>
  <c r="H49" i="3"/>
  <c r="G49" i="3"/>
  <c r="I49" i="3" s="1"/>
  <c r="F49" i="3"/>
  <c r="A47" i="3"/>
  <c r="M44" i="3"/>
  <c r="L44" i="3"/>
  <c r="K44" i="3"/>
  <c r="J44" i="3"/>
  <c r="I44" i="3"/>
  <c r="H44" i="3"/>
  <c r="G44" i="3"/>
  <c r="F44" i="3"/>
  <c r="E44" i="3"/>
  <c r="D44" i="3"/>
  <c r="C44" i="3"/>
  <c r="B44" i="3"/>
  <c r="M43" i="3"/>
  <c r="L43" i="3"/>
  <c r="M42" i="3"/>
  <c r="L42" i="3"/>
  <c r="M41" i="3"/>
  <c r="L41" i="3"/>
  <c r="M40" i="3"/>
  <c r="L40" i="3"/>
  <c r="M39" i="3"/>
  <c r="L39" i="3"/>
  <c r="M38" i="3"/>
  <c r="L38" i="3"/>
  <c r="M37" i="3"/>
  <c r="L37" i="3"/>
  <c r="K36" i="3"/>
  <c r="J36" i="3"/>
  <c r="I36" i="3"/>
  <c r="H36" i="3"/>
  <c r="G36" i="3"/>
  <c r="F36" i="3"/>
  <c r="E36" i="3"/>
  <c r="D36" i="3"/>
  <c r="C36" i="3"/>
  <c r="B36" i="3"/>
  <c r="A36" i="3"/>
  <c r="U34" i="3"/>
  <c r="T34" i="3"/>
  <c r="S34" i="3"/>
  <c r="K34" i="3"/>
  <c r="H34" i="3"/>
  <c r="F34" i="3"/>
  <c r="E34" i="3"/>
  <c r="U33" i="3"/>
  <c r="T33" i="3"/>
  <c r="S33" i="3"/>
  <c r="K33" i="3"/>
  <c r="J33" i="3"/>
  <c r="H33" i="3"/>
  <c r="G33" i="3"/>
  <c r="I33" i="3" s="1"/>
  <c r="F33" i="3"/>
  <c r="U32" i="3"/>
  <c r="T32" i="3"/>
  <c r="S32" i="3"/>
  <c r="K32" i="3"/>
  <c r="H32" i="3"/>
  <c r="G32" i="3"/>
  <c r="F32" i="3"/>
  <c r="U31" i="3"/>
  <c r="T31" i="3"/>
  <c r="S31" i="3"/>
  <c r="K31" i="3"/>
  <c r="H31" i="3"/>
  <c r="G31" i="3"/>
  <c r="I31" i="3" s="1"/>
  <c r="F31" i="3"/>
  <c r="U30" i="3"/>
  <c r="T30" i="3"/>
  <c r="S30" i="3"/>
  <c r="K30" i="3"/>
  <c r="H30" i="3"/>
  <c r="G30" i="3"/>
  <c r="J30" i="3" s="1"/>
  <c r="F30" i="3"/>
  <c r="U29" i="3"/>
  <c r="T29" i="3"/>
  <c r="S29" i="3"/>
  <c r="K29" i="3"/>
  <c r="H29" i="3"/>
  <c r="G29" i="3"/>
  <c r="I29" i="3" s="1"/>
  <c r="F29" i="3"/>
  <c r="U28" i="3"/>
  <c r="T28" i="3"/>
  <c r="S28" i="3"/>
  <c r="K28" i="3"/>
  <c r="H28" i="3"/>
  <c r="G28" i="3"/>
  <c r="F28" i="3"/>
  <c r="U27" i="3"/>
  <c r="T27" i="3"/>
  <c r="S27" i="3"/>
  <c r="K27" i="3"/>
  <c r="H27" i="3"/>
  <c r="G27" i="3"/>
  <c r="J27" i="3" s="1"/>
  <c r="F27" i="3"/>
  <c r="A25" i="3"/>
  <c r="M22" i="3"/>
  <c r="L22" i="3"/>
  <c r="K22" i="3"/>
  <c r="J22" i="3"/>
  <c r="I22" i="3"/>
  <c r="H22" i="3"/>
  <c r="G22" i="3"/>
  <c r="F22" i="3"/>
  <c r="E22" i="3"/>
  <c r="D22" i="3"/>
  <c r="C22" i="3"/>
  <c r="B22" i="3"/>
  <c r="M21" i="3"/>
  <c r="L21" i="3"/>
  <c r="M20" i="3"/>
  <c r="L20" i="3"/>
  <c r="M19" i="3"/>
  <c r="L19" i="3"/>
  <c r="M18" i="3"/>
  <c r="L18" i="3"/>
  <c r="M17" i="3"/>
  <c r="L17" i="3"/>
  <c r="M16" i="3"/>
  <c r="L16" i="3"/>
  <c r="M15" i="3"/>
  <c r="L15" i="3"/>
  <c r="K14" i="3"/>
  <c r="J14" i="3"/>
  <c r="I14" i="3"/>
  <c r="H14" i="3"/>
  <c r="G14" i="3"/>
  <c r="F14" i="3"/>
  <c r="E14" i="3"/>
  <c r="D14" i="3"/>
  <c r="C14" i="3"/>
  <c r="B14" i="3"/>
  <c r="A14" i="3"/>
  <c r="U12" i="3"/>
  <c r="T12" i="3"/>
  <c r="S12" i="3"/>
  <c r="K12" i="3"/>
  <c r="H12" i="3"/>
  <c r="F12" i="3"/>
  <c r="E12" i="3"/>
  <c r="U11" i="3"/>
  <c r="T11" i="3"/>
  <c r="S11" i="3"/>
  <c r="K11" i="3"/>
  <c r="H11" i="3"/>
  <c r="G11" i="3"/>
  <c r="J11" i="3" s="1"/>
  <c r="F11" i="3"/>
  <c r="U10" i="3"/>
  <c r="T10" i="3"/>
  <c r="S10" i="3"/>
  <c r="K10" i="3"/>
  <c r="H10" i="3"/>
  <c r="G10" i="3"/>
  <c r="I10" i="3" s="1"/>
  <c r="F10" i="3"/>
  <c r="U9" i="3"/>
  <c r="T9" i="3"/>
  <c r="S9" i="3"/>
  <c r="K9" i="3"/>
  <c r="H9" i="3"/>
  <c r="G9" i="3"/>
  <c r="F9" i="3"/>
  <c r="U8" i="3"/>
  <c r="T8" i="3"/>
  <c r="S8" i="3"/>
  <c r="K8" i="3"/>
  <c r="H8" i="3"/>
  <c r="G8" i="3"/>
  <c r="J8" i="3" s="1"/>
  <c r="F8" i="3"/>
  <c r="U7" i="3"/>
  <c r="T7" i="3"/>
  <c r="S7" i="3"/>
  <c r="K7" i="3"/>
  <c r="H7" i="3"/>
  <c r="G7" i="3"/>
  <c r="J7" i="3" s="1"/>
  <c r="F7" i="3"/>
  <c r="U6" i="3"/>
  <c r="T6" i="3"/>
  <c r="S6" i="3"/>
  <c r="K6" i="3"/>
  <c r="H6" i="3"/>
  <c r="G6" i="3"/>
  <c r="I6" i="3" s="1"/>
  <c r="F6" i="3"/>
  <c r="U5" i="3"/>
  <c r="T5" i="3"/>
  <c r="S5" i="3"/>
  <c r="K5" i="3"/>
  <c r="H5" i="3"/>
  <c r="G5" i="3"/>
  <c r="F5" i="3"/>
  <c r="A3" i="3"/>
  <c r="B2" i="3" a="1"/>
  <c r="B24" i="3" s="1"/>
  <c r="B46" i="3" s="1"/>
  <c r="B68" i="3" s="1"/>
  <c r="B90" i="3" s="1"/>
  <c r="M102" i="6"/>
  <c r="L102" i="6"/>
  <c r="K102" i="6"/>
  <c r="J102" i="6"/>
  <c r="I102" i="6"/>
  <c r="H102" i="6"/>
  <c r="G102" i="6"/>
  <c r="F102" i="6"/>
  <c r="E102" i="6"/>
  <c r="D102" i="6"/>
  <c r="C102" i="6"/>
  <c r="B102" i="6"/>
  <c r="M101" i="6"/>
  <c r="L101" i="6"/>
  <c r="M100" i="6"/>
  <c r="L100" i="6"/>
  <c r="M99" i="6"/>
  <c r="L99" i="6"/>
  <c r="K98" i="6"/>
  <c r="J98" i="6"/>
  <c r="I98" i="6"/>
  <c r="H98" i="6"/>
  <c r="G98" i="6"/>
  <c r="F98" i="6"/>
  <c r="E98" i="6"/>
  <c r="D98" i="6"/>
  <c r="C98" i="6"/>
  <c r="B98" i="6"/>
  <c r="U96" i="6"/>
  <c r="T96" i="6"/>
  <c r="S96" i="6"/>
  <c r="K96" i="6"/>
  <c r="H96" i="6"/>
  <c r="F96" i="6"/>
  <c r="E96" i="6"/>
  <c r="U95" i="6"/>
  <c r="T95" i="6"/>
  <c r="S95" i="6"/>
  <c r="K95" i="6"/>
  <c r="J95" i="6"/>
  <c r="H95" i="6"/>
  <c r="G95" i="6"/>
  <c r="I95" i="6" s="1"/>
  <c r="F95" i="6"/>
  <c r="U94" i="6"/>
  <c r="T94" i="6"/>
  <c r="S94" i="6"/>
  <c r="K94" i="6"/>
  <c r="H94" i="6"/>
  <c r="G94" i="6"/>
  <c r="J94" i="6" s="1"/>
  <c r="F94" i="6"/>
  <c r="U93" i="6"/>
  <c r="T93" i="6"/>
  <c r="S93" i="6"/>
  <c r="K93" i="6"/>
  <c r="H93" i="6"/>
  <c r="G93" i="6"/>
  <c r="J93" i="6" s="1"/>
  <c r="F93" i="6"/>
  <c r="A91" i="6"/>
  <c r="A98" i="6" s="1"/>
  <c r="M88" i="6"/>
  <c r="L88" i="6"/>
  <c r="K88" i="6"/>
  <c r="J88" i="6"/>
  <c r="I88" i="6"/>
  <c r="H88" i="6"/>
  <c r="G88" i="6"/>
  <c r="F88" i="6"/>
  <c r="E88" i="6"/>
  <c r="D88" i="6"/>
  <c r="C88" i="6"/>
  <c r="B88" i="6"/>
  <c r="M87" i="6"/>
  <c r="L87" i="6"/>
  <c r="M86" i="6"/>
  <c r="L86" i="6"/>
  <c r="M85" i="6"/>
  <c r="L85" i="6"/>
  <c r="M84" i="6"/>
  <c r="L84" i="6"/>
  <c r="M83" i="6"/>
  <c r="L83" i="6"/>
  <c r="M82" i="6"/>
  <c r="L82" i="6"/>
  <c r="M81" i="6"/>
  <c r="L81" i="6"/>
  <c r="K80" i="6"/>
  <c r="J80" i="6"/>
  <c r="I80" i="6"/>
  <c r="H80" i="6"/>
  <c r="G80" i="6"/>
  <c r="F80" i="6"/>
  <c r="E80" i="6"/>
  <c r="D80" i="6"/>
  <c r="C80" i="6"/>
  <c r="B80" i="6"/>
  <c r="U78" i="6"/>
  <c r="T78" i="6"/>
  <c r="S78" i="6"/>
  <c r="K78" i="6"/>
  <c r="H78" i="6"/>
  <c r="F78" i="6"/>
  <c r="E78" i="6"/>
  <c r="U77" i="6"/>
  <c r="T77" i="6"/>
  <c r="S77" i="6"/>
  <c r="K77" i="6"/>
  <c r="H77" i="6"/>
  <c r="G77" i="6"/>
  <c r="F77" i="6"/>
  <c r="U76" i="6"/>
  <c r="T76" i="6"/>
  <c r="S76" i="6"/>
  <c r="K76" i="6"/>
  <c r="H76" i="6"/>
  <c r="G76" i="6"/>
  <c r="J76" i="6" s="1"/>
  <c r="F76" i="6"/>
  <c r="U75" i="6"/>
  <c r="T75" i="6"/>
  <c r="S75" i="6"/>
  <c r="K75" i="6"/>
  <c r="H75" i="6"/>
  <c r="G75" i="6"/>
  <c r="I75" i="6" s="1"/>
  <c r="F75" i="6"/>
  <c r="U74" i="6"/>
  <c r="T74" i="6"/>
  <c r="S74" i="6"/>
  <c r="K74" i="6"/>
  <c r="H74" i="6"/>
  <c r="G74" i="6"/>
  <c r="I74" i="6" s="1"/>
  <c r="F74" i="6"/>
  <c r="U73" i="6"/>
  <c r="T73" i="6"/>
  <c r="S73" i="6"/>
  <c r="K73" i="6"/>
  <c r="H73" i="6"/>
  <c r="G73" i="6"/>
  <c r="F73" i="6"/>
  <c r="U72" i="6"/>
  <c r="T72" i="6"/>
  <c r="S72" i="6"/>
  <c r="K72" i="6"/>
  <c r="H72" i="6"/>
  <c r="G72" i="6"/>
  <c r="J72" i="6" s="1"/>
  <c r="F72" i="6"/>
  <c r="U71" i="6"/>
  <c r="T71" i="6"/>
  <c r="S71" i="6"/>
  <c r="K71" i="6"/>
  <c r="H71" i="6"/>
  <c r="G71" i="6"/>
  <c r="I71" i="6" s="1"/>
  <c r="F71" i="6"/>
  <c r="A69" i="6"/>
  <c r="M66" i="6"/>
  <c r="L66" i="6"/>
  <c r="K66" i="6"/>
  <c r="J66" i="6"/>
  <c r="I66" i="6"/>
  <c r="H66" i="6"/>
  <c r="G66" i="6"/>
  <c r="F66" i="6"/>
  <c r="E66" i="6"/>
  <c r="D66" i="6"/>
  <c r="C66" i="6"/>
  <c r="B66" i="6"/>
  <c r="M65" i="6"/>
  <c r="L65" i="6"/>
  <c r="M64" i="6"/>
  <c r="L64" i="6"/>
  <c r="M63" i="6"/>
  <c r="L63" i="6"/>
  <c r="M62" i="6"/>
  <c r="L62" i="6"/>
  <c r="M61" i="6"/>
  <c r="L61" i="6"/>
  <c r="M60" i="6"/>
  <c r="L60" i="6"/>
  <c r="M59" i="6"/>
  <c r="L59" i="6"/>
  <c r="K58" i="6"/>
  <c r="J58" i="6"/>
  <c r="I58" i="6"/>
  <c r="H58" i="6"/>
  <c r="G58" i="6"/>
  <c r="F58" i="6"/>
  <c r="E58" i="6"/>
  <c r="D58" i="6"/>
  <c r="C58" i="6"/>
  <c r="B58" i="6"/>
  <c r="U56" i="6"/>
  <c r="T56" i="6"/>
  <c r="S56" i="6"/>
  <c r="K56" i="6"/>
  <c r="H56" i="6"/>
  <c r="F56" i="6"/>
  <c r="E56" i="6"/>
  <c r="U55" i="6"/>
  <c r="T55" i="6"/>
  <c r="S55" i="6"/>
  <c r="K55" i="6"/>
  <c r="H55" i="6"/>
  <c r="G55" i="6"/>
  <c r="J55" i="6" s="1"/>
  <c r="F55" i="6"/>
  <c r="U54" i="6"/>
  <c r="T54" i="6"/>
  <c r="S54" i="6"/>
  <c r="K54" i="6"/>
  <c r="H54" i="6"/>
  <c r="G54" i="6"/>
  <c r="I54" i="6" s="1"/>
  <c r="F54" i="6"/>
  <c r="U53" i="6"/>
  <c r="T53" i="6"/>
  <c r="S53" i="6"/>
  <c r="K53" i="6"/>
  <c r="H53" i="6"/>
  <c r="G53" i="6"/>
  <c r="F53" i="6"/>
  <c r="U52" i="6"/>
  <c r="T52" i="6"/>
  <c r="S52" i="6"/>
  <c r="K52" i="6"/>
  <c r="H52" i="6"/>
  <c r="G52" i="6"/>
  <c r="J52" i="6" s="1"/>
  <c r="F52" i="6"/>
  <c r="U51" i="6"/>
  <c r="T51" i="6"/>
  <c r="S51" i="6"/>
  <c r="K51" i="6"/>
  <c r="H51" i="6"/>
  <c r="G51" i="6"/>
  <c r="J51" i="6" s="1"/>
  <c r="F51" i="6"/>
  <c r="U50" i="6"/>
  <c r="T50" i="6"/>
  <c r="S50" i="6"/>
  <c r="K50" i="6"/>
  <c r="H50" i="6"/>
  <c r="G50" i="6"/>
  <c r="I50" i="6" s="1"/>
  <c r="F50" i="6"/>
  <c r="U49" i="6"/>
  <c r="T49" i="6"/>
  <c r="S49" i="6"/>
  <c r="K49" i="6"/>
  <c r="H49" i="6"/>
  <c r="G49" i="6"/>
  <c r="F49" i="6"/>
  <c r="A47" i="6"/>
  <c r="M44" i="6"/>
  <c r="L44" i="6"/>
  <c r="K44" i="6"/>
  <c r="J44" i="6"/>
  <c r="I44" i="6"/>
  <c r="H44" i="6"/>
  <c r="G44" i="6"/>
  <c r="F44" i="6"/>
  <c r="E44" i="6"/>
  <c r="D44" i="6"/>
  <c r="C44" i="6"/>
  <c r="B44" i="6"/>
  <c r="M43" i="6"/>
  <c r="L43" i="6"/>
  <c r="M42" i="6"/>
  <c r="L42" i="6"/>
  <c r="M41" i="6"/>
  <c r="L41" i="6"/>
  <c r="M40" i="6"/>
  <c r="L40" i="6"/>
  <c r="M39" i="6"/>
  <c r="L39" i="6"/>
  <c r="M38" i="6"/>
  <c r="L38" i="6"/>
  <c r="M37" i="6"/>
  <c r="L37" i="6"/>
  <c r="K36" i="6"/>
  <c r="J36" i="6"/>
  <c r="I36" i="6"/>
  <c r="H36" i="6"/>
  <c r="G36" i="6"/>
  <c r="F36" i="6"/>
  <c r="E36" i="6"/>
  <c r="D36" i="6"/>
  <c r="C36" i="6"/>
  <c r="B36" i="6"/>
  <c r="A36" i="6"/>
  <c r="U34" i="6"/>
  <c r="T34" i="6"/>
  <c r="S34" i="6"/>
  <c r="K34" i="6"/>
  <c r="H34" i="6"/>
  <c r="F34" i="6"/>
  <c r="E34" i="6"/>
  <c r="U33" i="6"/>
  <c r="T33" i="6"/>
  <c r="S33" i="6"/>
  <c r="K33" i="6"/>
  <c r="H33" i="6"/>
  <c r="G33" i="6"/>
  <c r="J33" i="6" s="1"/>
  <c r="F33" i="6"/>
  <c r="U32" i="6"/>
  <c r="T32" i="6"/>
  <c r="S32" i="6"/>
  <c r="K32" i="6"/>
  <c r="I32" i="6"/>
  <c r="H32" i="6"/>
  <c r="G32" i="6"/>
  <c r="J32" i="6" s="1"/>
  <c r="F32" i="6"/>
  <c r="U31" i="6"/>
  <c r="T31" i="6"/>
  <c r="S31" i="6"/>
  <c r="K31" i="6"/>
  <c r="H31" i="6"/>
  <c r="G31" i="6"/>
  <c r="I31" i="6" s="1"/>
  <c r="F31" i="6"/>
  <c r="U30" i="6"/>
  <c r="T30" i="6"/>
  <c r="S30" i="6"/>
  <c r="K30" i="6"/>
  <c r="H30" i="6"/>
  <c r="G30" i="6"/>
  <c r="F30" i="6"/>
  <c r="U29" i="6"/>
  <c r="T29" i="6"/>
  <c r="S29" i="6"/>
  <c r="K29" i="6"/>
  <c r="H29" i="6"/>
  <c r="G29" i="6"/>
  <c r="J29" i="6" s="1"/>
  <c r="F29" i="6"/>
  <c r="U28" i="6"/>
  <c r="T28" i="6"/>
  <c r="S28" i="6"/>
  <c r="K28" i="6"/>
  <c r="H28" i="6"/>
  <c r="G28" i="6"/>
  <c r="I28" i="6" s="1"/>
  <c r="F28" i="6"/>
  <c r="U27" i="6"/>
  <c r="T27" i="6"/>
  <c r="S27" i="6"/>
  <c r="K27" i="6"/>
  <c r="H27" i="6"/>
  <c r="G27" i="6"/>
  <c r="I27" i="6" s="1"/>
  <c r="F27" i="6"/>
  <c r="A25" i="6"/>
  <c r="M22" i="6"/>
  <c r="L22" i="6"/>
  <c r="K22" i="6"/>
  <c r="J22" i="6"/>
  <c r="I22" i="6"/>
  <c r="H22" i="6"/>
  <c r="G22" i="6"/>
  <c r="F22" i="6"/>
  <c r="E22" i="6"/>
  <c r="D22" i="6"/>
  <c r="C22" i="6"/>
  <c r="B22" i="6"/>
  <c r="M21" i="6"/>
  <c r="L21" i="6"/>
  <c r="M20" i="6"/>
  <c r="L20" i="6"/>
  <c r="M19" i="6"/>
  <c r="L19" i="6"/>
  <c r="M18" i="6"/>
  <c r="L18" i="6"/>
  <c r="M17" i="6"/>
  <c r="L17" i="6"/>
  <c r="M16" i="6"/>
  <c r="L16" i="6"/>
  <c r="M15" i="6"/>
  <c r="L15" i="6"/>
  <c r="K14" i="6"/>
  <c r="J14" i="6"/>
  <c r="I14" i="6"/>
  <c r="H14" i="6"/>
  <c r="G14" i="6"/>
  <c r="F14" i="6"/>
  <c r="E14" i="6"/>
  <c r="D14" i="6"/>
  <c r="C14" i="6"/>
  <c r="B14" i="6"/>
  <c r="A14" i="6"/>
  <c r="U12" i="6"/>
  <c r="T12" i="6"/>
  <c r="S12" i="6"/>
  <c r="K12" i="6"/>
  <c r="H12" i="6"/>
  <c r="F12" i="6"/>
  <c r="E12" i="6"/>
  <c r="U11" i="6"/>
  <c r="T11" i="6"/>
  <c r="S11" i="6"/>
  <c r="K11" i="6"/>
  <c r="H11" i="6"/>
  <c r="G11" i="6"/>
  <c r="F11" i="6"/>
  <c r="U10" i="6"/>
  <c r="T10" i="6"/>
  <c r="S10" i="6"/>
  <c r="K10" i="6"/>
  <c r="H10" i="6"/>
  <c r="G10" i="6"/>
  <c r="J10" i="6" s="1"/>
  <c r="F10" i="6"/>
  <c r="U9" i="6"/>
  <c r="T9" i="6"/>
  <c r="S9" i="6"/>
  <c r="K9" i="6"/>
  <c r="H9" i="6"/>
  <c r="G9" i="6"/>
  <c r="J9" i="6" s="1"/>
  <c r="F9" i="6"/>
  <c r="U8" i="6"/>
  <c r="T8" i="6"/>
  <c r="S8" i="6"/>
  <c r="K8" i="6"/>
  <c r="H8" i="6"/>
  <c r="G8" i="6"/>
  <c r="I8" i="6" s="1"/>
  <c r="F8" i="6"/>
  <c r="U7" i="6"/>
  <c r="T7" i="6"/>
  <c r="S7" i="6"/>
  <c r="K7" i="6"/>
  <c r="H7" i="6"/>
  <c r="G7" i="6"/>
  <c r="F7" i="6"/>
  <c r="U6" i="6"/>
  <c r="T6" i="6"/>
  <c r="S6" i="6"/>
  <c r="K6" i="6"/>
  <c r="J6" i="6"/>
  <c r="I6" i="6"/>
  <c r="H6" i="6"/>
  <c r="G6" i="6"/>
  <c r="F6" i="6"/>
  <c r="U5" i="6"/>
  <c r="T5" i="6"/>
  <c r="S5" i="6"/>
  <c r="K5" i="6"/>
  <c r="H5" i="6"/>
  <c r="G5" i="6"/>
  <c r="F5" i="6"/>
  <c r="A3" i="6"/>
  <c r="B2" i="6" a="1"/>
  <c r="B24" i="6" s="1"/>
  <c r="B46" i="6" s="1"/>
  <c r="B68" i="6" s="1"/>
  <c r="B90" i="6" s="1"/>
  <c r="J26" i="25"/>
  <c r="D26" i="25"/>
  <c r="B26" i="25"/>
  <c r="J24" i="25"/>
  <c r="D24" i="25"/>
  <c r="B24" i="25"/>
  <c r="J22" i="25"/>
  <c r="D22" i="25"/>
  <c r="B22" i="25"/>
  <c r="J20" i="25"/>
  <c r="D20" i="25"/>
  <c r="B20" i="25"/>
  <c r="J18" i="25"/>
  <c r="D18" i="25"/>
  <c r="B18" i="25"/>
  <c r="J16" i="25"/>
  <c r="D16" i="25"/>
  <c r="B16" i="25"/>
  <c r="J14" i="25"/>
  <c r="D14" i="25"/>
  <c r="B14" i="25"/>
  <c r="J12" i="25"/>
  <c r="D12" i="25"/>
  <c r="B12" i="25"/>
  <c r="J10" i="25"/>
  <c r="D10" i="25"/>
  <c r="B10" i="25"/>
  <c r="J8" i="25"/>
  <c r="D8" i="25"/>
  <c r="D29" i="25" s="1"/>
  <c r="B8" i="25"/>
  <c r="B29" i="25" s="1"/>
  <c r="J6" i="25"/>
  <c r="D6" i="25"/>
  <c r="B6" i="25"/>
  <c r="J4" i="25"/>
  <c r="D4" i="25"/>
  <c r="B4" i="25"/>
  <c r="N2" i="25"/>
  <c r="G2" i="25"/>
  <c r="BI32" i="26"/>
  <c r="BH32" i="26"/>
  <c r="BG32" i="26"/>
  <c r="BF32" i="26"/>
  <c r="BE32" i="26"/>
  <c r="BC32" i="26"/>
  <c r="BB32" i="26"/>
  <c r="BA32" i="26"/>
  <c r="AZ32" i="26"/>
  <c r="AY32" i="26"/>
  <c r="AW32" i="26"/>
  <c r="AV32" i="26"/>
  <c r="AU32" i="26"/>
  <c r="AT32" i="26"/>
  <c r="AS32" i="26"/>
  <c r="AQ32" i="26"/>
  <c r="AP32" i="26"/>
  <c r="AO32" i="26"/>
  <c r="AN32" i="26"/>
  <c r="AM32" i="26"/>
  <c r="AK32" i="26"/>
  <c r="AJ32" i="26"/>
  <c r="AI32" i="26"/>
  <c r="AH32" i="26"/>
  <c r="AG32" i="26"/>
  <c r="AE32" i="26"/>
  <c r="AD32" i="26"/>
  <c r="AC32" i="26"/>
  <c r="AB32" i="26"/>
  <c r="AA32" i="26"/>
  <c r="Y32" i="26"/>
  <c r="X32" i="26"/>
  <c r="W32" i="26"/>
  <c r="V32" i="26"/>
  <c r="U32" i="26"/>
  <c r="S32" i="26"/>
  <c r="R32" i="26"/>
  <c r="Q32" i="26"/>
  <c r="P32" i="26"/>
  <c r="O32" i="26"/>
  <c r="M32" i="26"/>
  <c r="L32" i="26"/>
  <c r="K32" i="26"/>
  <c r="J32" i="26"/>
  <c r="I32" i="26"/>
  <c r="G32" i="26"/>
  <c r="F32" i="26"/>
  <c r="E32" i="26"/>
  <c r="D32" i="26"/>
  <c r="C32" i="26"/>
  <c r="BI30" i="26"/>
  <c r="BH30" i="26"/>
  <c r="BG30" i="26"/>
  <c r="BF30" i="26"/>
  <c r="BE30" i="26"/>
  <c r="BC30" i="26"/>
  <c r="BB30" i="26"/>
  <c r="BA30" i="26"/>
  <c r="AZ30" i="26"/>
  <c r="AY30" i="26"/>
  <c r="AW30" i="26"/>
  <c r="AV30" i="26"/>
  <c r="AU30" i="26"/>
  <c r="AT30" i="26"/>
  <c r="AS30" i="26"/>
  <c r="AQ30" i="26"/>
  <c r="AP30" i="26"/>
  <c r="AO30" i="26"/>
  <c r="AN30" i="26"/>
  <c r="AM30" i="26"/>
  <c r="AK30" i="26"/>
  <c r="AJ30" i="26"/>
  <c r="AI30" i="26"/>
  <c r="AH30" i="26"/>
  <c r="AG30" i="26"/>
  <c r="AE30" i="26"/>
  <c r="AD30" i="26"/>
  <c r="AC30" i="26"/>
  <c r="AB30" i="26"/>
  <c r="AA30" i="26"/>
  <c r="Y30" i="26"/>
  <c r="X30" i="26"/>
  <c r="W30" i="26"/>
  <c r="V30" i="26"/>
  <c r="U30" i="26"/>
  <c r="S30" i="26"/>
  <c r="R30" i="26"/>
  <c r="Q30" i="26"/>
  <c r="P30" i="26"/>
  <c r="O30" i="26"/>
  <c r="M30" i="26"/>
  <c r="L30" i="26"/>
  <c r="K30" i="26"/>
  <c r="J30" i="26"/>
  <c r="I30" i="26"/>
  <c r="G30" i="26"/>
  <c r="F30" i="26"/>
  <c r="E30" i="26"/>
  <c r="D30" i="26"/>
  <c r="C30" i="26"/>
  <c r="BI28" i="26"/>
  <c r="BH28" i="26"/>
  <c r="BG28" i="26"/>
  <c r="BF28" i="26"/>
  <c r="BE28" i="26"/>
  <c r="BC28" i="26"/>
  <c r="BB28" i="26"/>
  <c r="BA28" i="26"/>
  <c r="AZ28" i="26"/>
  <c r="AY28" i="26"/>
  <c r="AW28" i="26"/>
  <c r="AV28" i="26"/>
  <c r="AU28" i="26"/>
  <c r="AT28" i="26"/>
  <c r="AS28" i="26"/>
  <c r="AQ28" i="26"/>
  <c r="AP28" i="26"/>
  <c r="AO28" i="26"/>
  <c r="AN28" i="26"/>
  <c r="AM28" i="26"/>
  <c r="AK28" i="26"/>
  <c r="AJ28" i="26"/>
  <c r="AI28" i="26"/>
  <c r="AH28" i="26"/>
  <c r="AG28" i="26"/>
  <c r="AE28" i="26"/>
  <c r="AD28" i="26"/>
  <c r="AC28" i="26"/>
  <c r="AB28" i="26"/>
  <c r="AA28" i="26"/>
  <c r="Y28" i="26"/>
  <c r="X28" i="26"/>
  <c r="W28" i="26"/>
  <c r="V28" i="26"/>
  <c r="U28" i="26"/>
  <c r="S28" i="26"/>
  <c r="R28" i="26"/>
  <c r="Q28" i="26"/>
  <c r="P28" i="26"/>
  <c r="O28" i="26"/>
  <c r="M28" i="26"/>
  <c r="L28" i="26"/>
  <c r="K28" i="26"/>
  <c r="J28" i="26"/>
  <c r="I28" i="26"/>
  <c r="G28" i="26"/>
  <c r="F28" i="26"/>
  <c r="E28" i="26"/>
  <c r="D28" i="26"/>
  <c r="C28" i="26"/>
  <c r="BI26" i="26"/>
  <c r="BH26" i="26"/>
  <c r="BG26" i="26"/>
  <c r="BF26" i="26"/>
  <c r="BE26" i="26"/>
  <c r="BC26" i="26"/>
  <c r="BB26" i="26"/>
  <c r="BA26" i="26"/>
  <c r="AZ26" i="26"/>
  <c r="AY26" i="26"/>
  <c r="AW26" i="26"/>
  <c r="AV26" i="26"/>
  <c r="AU26" i="26"/>
  <c r="AT26" i="26"/>
  <c r="AS26" i="26"/>
  <c r="AQ26" i="26"/>
  <c r="AP26" i="26"/>
  <c r="AO26" i="26"/>
  <c r="AN26" i="26"/>
  <c r="AM26" i="26"/>
  <c r="AK26" i="26"/>
  <c r="AJ26" i="26"/>
  <c r="AI26" i="26"/>
  <c r="AH26" i="26"/>
  <c r="AG26" i="26"/>
  <c r="AE26" i="26"/>
  <c r="AD26" i="26"/>
  <c r="AC26" i="26"/>
  <c r="AB26" i="26"/>
  <c r="AA26" i="26"/>
  <c r="Y26" i="26"/>
  <c r="X26" i="26"/>
  <c r="W26" i="26"/>
  <c r="V26" i="26"/>
  <c r="U26" i="26"/>
  <c r="S26" i="26"/>
  <c r="R26" i="26"/>
  <c r="Q26" i="26"/>
  <c r="P26" i="26"/>
  <c r="O26" i="26"/>
  <c r="M26" i="26"/>
  <c r="L26" i="26"/>
  <c r="K26" i="26"/>
  <c r="J26" i="26"/>
  <c r="I26" i="26"/>
  <c r="G26" i="26"/>
  <c r="F26" i="26"/>
  <c r="E26" i="26"/>
  <c r="D26" i="26"/>
  <c r="C26" i="26"/>
  <c r="BI24" i="26"/>
  <c r="BH24" i="26"/>
  <c r="BG24" i="26"/>
  <c r="BF24" i="26"/>
  <c r="BE24" i="26"/>
  <c r="BC24" i="26"/>
  <c r="BB24" i="26"/>
  <c r="BA24" i="26"/>
  <c r="AZ24" i="26"/>
  <c r="AY24" i="26"/>
  <c r="AW24" i="26"/>
  <c r="AV24" i="26"/>
  <c r="AU24" i="26"/>
  <c r="AT24" i="26"/>
  <c r="AS24" i="26"/>
  <c r="AQ24" i="26"/>
  <c r="AP24" i="26"/>
  <c r="AO24" i="26"/>
  <c r="AN24" i="26"/>
  <c r="AM24" i="26"/>
  <c r="AK24" i="26"/>
  <c r="AJ24" i="26"/>
  <c r="AI24" i="26"/>
  <c r="AH24" i="26"/>
  <c r="AG24" i="26"/>
  <c r="AE24" i="26"/>
  <c r="AD24" i="26"/>
  <c r="AC24" i="26"/>
  <c r="AB24" i="26"/>
  <c r="AA24" i="26"/>
  <c r="Y24" i="26"/>
  <c r="X24" i="26"/>
  <c r="W24" i="26"/>
  <c r="V24" i="26"/>
  <c r="U24" i="26"/>
  <c r="S24" i="26"/>
  <c r="R24" i="26"/>
  <c r="Q24" i="26"/>
  <c r="P24" i="26"/>
  <c r="O24" i="26"/>
  <c r="M24" i="26"/>
  <c r="L24" i="26"/>
  <c r="K24" i="26"/>
  <c r="J24" i="26"/>
  <c r="I24" i="26"/>
  <c r="G24" i="26"/>
  <c r="F24" i="26"/>
  <c r="E24" i="26"/>
  <c r="D24" i="26"/>
  <c r="C24" i="26"/>
  <c r="BI22" i="26"/>
  <c r="BH22" i="26"/>
  <c r="BG22" i="26"/>
  <c r="BF22" i="26"/>
  <c r="BE22" i="26"/>
  <c r="BC22" i="26"/>
  <c r="BB22" i="26"/>
  <c r="BA22" i="26"/>
  <c r="AZ22" i="26"/>
  <c r="AY22" i="26"/>
  <c r="AW22" i="26"/>
  <c r="AV22" i="26"/>
  <c r="AU22" i="26"/>
  <c r="AT22" i="26"/>
  <c r="AS22" i="26"/>
  <c r="AQ22" i="26"/>
  <c r="AP22" i="26"/>
  <c r="AO22" i="26"/>
  <c r="AN22" i="26"/>
  <c r="AM22" i="26"/>
  <c r="AK22" i="26"/>
  <c r="AJ22" i="26"/>
  <c r="AI22" i="26"/>
  <c r="AH22" i="26"/>
  <c r="AG22" i="26"/>
  <c r="AE22" i="26"/>
  <c r="AD22" i="26"/>
  <c r="AC22" i="26"/>
  <c r="AB22" i="26"/>
  <c r="AA22" i="26"/>
  <c r="Y22" i="26"/>
  <c r="X22" i="26"/>
  <c r="W22" i="26"/>
  <c r="V22" i="26"/>
  <c r="U22" i="26"/>
  <c r="S22" i="26"/>
  <c r="R22" i="26"/>
  <c r="Q22" i="26"/>
  <c r="P22" i="26"/>
  <c r="O22" i="26"/>
  <c r="M22" i="26"/>
  <c r="L22" i="26"/>
  <c r="K22" i="26"/>
  <c r="J22" i="26"/>
  <c r="I22" i="26"/>
  <c r="G22" i="26"/>
  <c r="F22" i="26"/>
  <c r="E22" i="26"/>
  <c r="D22" i="26"/>
  <c r="C22" i="26"/>
  <c r="BI20" i="26"/>
  <c r="BH20" i="26"/>
  <c r="BG20" i="26"/>
  <c r="BF20" i="26"/>
  <c r="BE20" i="26"/>
  <c r="BC20" i="26"/>
  <c r="BB20" i="26"/>
  <c r="BA20" i="26"/>
  <c r="AZ20" i="26"/>
  <c r="AY20" i="26"/>
  <c r="AW20" i="26"/>
  <c r="AV20" i="26"/>
  <c r="AU20" i="26"/>
  <c r="AT20" i="26"/>
  <c r="AS20" i="26"/>
  <c r="AQ20" i="26"/>
  <c r="AP20" i="26"/>
  <c r="AO20" i="26"/>
  <c r="AN20" i="26"/>
  <c r="AM20" i="26"/>
  <c r="AK20" i="26"/>
  <c r="AJ20" i="26"/>
  <c r="AI20" i="26"/>
  <c r="AH20" i="26"/>
  <c r="AG20" i="26"/>
  <c r="AE20" i="26"/>
  <c r="AD20" i="26"/>
  <c r="AC20" i="26"/>
  <c r="AB20" i="26"/>
  <c r="AA20" i="26"/>
  <c r="Y20" i="26"/>
  <c r="X20" i="26"/>
  <c r="W20" i="26"/>
  <c r="V20" i="26"/>
  <c r="U20" i="26"/>
  <c r="S20" i="26"/>
  <c r="R20" i="26"/>
  <c r="Q20" i="26"/>
  <c r="P20" i="26"/>
  <c r="O20" i="26"/>
  <c r="M20" i="26"/>
  <c r="L20" i="26"/>
  <c r="K20" i="26"/>
  <c r="J20" i="26"/>
  <c r="I20" i="26"/>
  <c r="G20" i="26"/>
  <c r="F20" i="26"/>
  <c r="E20" i="26"/>
  <c r="D20" i="26"/>
  <c r="C20" i="26"/>
  <c r="BI18" i="26"/>
  <c r="BH18" i="26"/>
  <c r="BG18" i="26"/>
  <c r="BF18" i="26"/>
  <c r="BE18" i="26"/>
  <c r="BC18" i="26"/>
  <c r="BB18" i="26"/>
  <c r="BA18" i="26"/>
  <c r="AZ18" i="26"/>
  <c r="AY18" i="26"/>
  <c r="AW18" i="26"/>
  <c r="AV18" i="26"/>
  <c r="AU18" i="26"/>
  <c r="AT18" i="26"/>
  <c r="AS18" i="26"/>
  <c r="AQ18" i="26"/>
  <c r="AP18" i="26"/>
  <c r="AO18" i="26"/>
  <c r="AN18" i="26"/>
  <c r="AM18" i="26"/>
  <c r="AK18" i="26"/>
  <c r="AJ18" i="26"/>
  <c r="AI18" i="26"/>
  <c r="AH18" i="26"/>
  <c r="AG18" i="26"/>
  <c r="AE18" i="26"/>
  <c r="AD18" i="26"/>
  <c r="AC18" i="26"/>
  <c r="AB18" i="26"/>
  <c r="AA18" i="26"/>
  <c r="Y18" i="26"/>
  <c r="X18" i="26"/>
  <c r="W18" i="26"/>
  <c r="V18" i="26"/>
  <c r="U18" i="26"/>
  <c r="S18" i="26"/>
  <c r="R18" i="26"/>
  <c r="Q18" i="26"/>
  <c r="P18" i="26"/>
  <c r="O18" i="26"/>
  <c r="M18" i="26"/>
  <c r="L18" i="26"/>
  <c r="K18" i="26"/>
  <c r="J18" i="26"/>
  <c r="I18" i="26"/>
  <c r="G18" i="26"/>
  <c r="F18" i="26"/>
  <c r="E18" i="26"/>
  <c r="D18" i="26"/>
  <c r="C18" i="26"/>
  <c r="BI16" i="26"/>
  <c r="BH16" i="26"/>
  <c r="BG16" i="26"/>
  <c r="BF16" i="26"/>
  <c r="BE16" i="26"/>
  <c r="BC16" i="26"/>
  <c r="BB16" i="26"/>
  <c r="BA16" i="26"/>
  <c r="AZ16" i="26"/>
  <c r="AY16" i="26"/>
  <c r="AW16" i="26"/>
  <c r="AV16" i="26"/>
  <c r="AU16" i="26"/>
  <c r="AT16" i="26"/>
  <c r="AS16" i="26"/>
  <c r="AQ16" i="26"/>
  <c r="AP16" i="26"/>
  <c r="AO16" i="26"/>
  <c r="AN16" i="26"/>
  <c r="AM16" i="26"/>
  <c r="AK16" i="26"/>
  <c r="AJ16" i="26"/>
  <c r="AI16" i="26"/>
  <c r="AH16" i="26"/>
  <c r="AG16" i="26"/>
  <c r="AE16" i="26"/>
  <c r="AD16" i="26"/>
  <c r="AC16" i="26"/>
  <c r="AB16" i="26"/>
  <c r="AA16" i="26"/>
  <c r="Y16" i="26"/>
  <c r="X16" i="26"/>
  <c r="W16" i="26"/>
  <c r="V16" i="26"/>
  <c r="U16" i="26"/>
  <c r="S16" i="26"/>
  <c r="R16" i="26"/>
  <c r="Q16" i="26"/>
  <c r="P16" i="26"/>
  <c r="O16" i="26"/>
  <c r="M16" i="26"/>
  <c r="L16" i="26"/>
  <c r="K16" i="26"/>
  <c r="J16" i="26"/>
  <c r="I16" i="26"/>
  <c r="G16" i="26"/>
  <c r="F16" i="26"/>
  <c r="E16" i="26"/>
  <c r="D16" i="26"/>
  <c r="C16" i="26"/>
  <c r="BI14" i="26"/>
  <c r="BI35" i="26" s="1"/>
  <c r="BH14" i="26"/>
  <c r="BH35" i="26" s="1"/>
  <c r="BG14" i="26"/>
  <c r="BG35" i="26" s="1"/>
  <c r="BF14" i="26"/>
  <c r="BF35" i="26" s="1"/>
  <c r="BE14" i="26"/>
  <c r="BE35" i="26" s="1"/>
  <c r="BC14" i="26"/>
  <c r="BC35" i="26" s="1"/>
  <c r="BB14" i="26"/>
  <c r="BB35" i="26" s="1"/>
  <c r="BA14" i="26"/>
  <c r="BA35" i="26" s="1"/>
  <c r="AZ14" i="26"/>
  <c r="AZ35" i="26" s="1"/>
  <c r="AY14" i="26"/>
  <c r="AY35" i="26" s="1"/>
  <c r="AW14" i="26"/>
  <c r="AW35" i="26" s="1"/>
  <c r="AV14" i="26"/>
  <c r="AV35" i="26" s="1"/>
  <c r="AU14" i="26"/>
  <c r="AU35" i="26" s="1"/>
  <c r="AT14" i="26"/>
  <c r="AT35" i="26" s="1"/>
  <c r="AS14" i="26"/>
  <c r="AS35" i="26" s="1"/>
  <c r="AQ14" i="26"/>
  <c r="AQ35" i="26" s="1"/>
  <c r="AP14" i="26"/>
  <c r="AP35" i="26" s="1"/>
  <c r="AO14" i="26"/>
  <c r="AO35" i="26" s="1"/>
  <c r="AN14" i="26"/>
  <c r="AN35" i="26" s="1"/>
  <c r="AM14" i="26"/>
  <c r="AM35" i="26" s="1"/>
  <c r="AK14" i="26"/>
  <c r="AK35" i="26" s="1"/>
  <c r="AJ14" i="26"/>
  <c r="AJ35" i="26" s="1"/>
  <c r="AI14" i="26"/>
  <c r="AI35" i="26" s="1"/>
  <c r="AH14" i="26"/>
  <c r="AH35" i="26" s="1"/>
  <c r="AG14" i="26"/>
  <c r="AG35" i="26" s="1"/>
  <c r="AE14" i="26"/>
  <c r="AE35" i="26" s="1"/>
  <c r="AD14" i="26"/>
  <c r="AD35" i="26" s="1"/>
  <c r="AC14" i="26"/>
  <c r="AC35" i="26" s="1"/>
  <c r="AB14" i="26"/>
  <c r="AB35" i="26" s="1"/>
  <c r="AA14" i="26"/>
  <c r="AA35" i="26" s="1"/>
  <c r="Y14" i="26"/>
  <c r="Y35" i="26" s="1"/>
  <c r="X14" i="26"/>
  <c r="X35" i="26" s="1"/>
  <c r="W14" i="26"/>
  <c r="W35" i="26" s="1"/>
  <c r="V14" i="26"/>
  <c r="V35" i="26" s="1"/>
  <c r="U14" i="26"/>
  <c r="U35" i="26" s="1"/>
  <c r="S14" i="26"/>
  <c r="S35" i="26" s="1"/>
  <c r="R14" i="26"/>
  <c r="R35" i="26" s="1"/>
  <c r="Q14" i="26"/>
  <c r="Q35" i="26" s="1"/>
  <c r="P14" i="26"/>
  <c r="P35" i="26" s="1"/>
  <c r="O14" i="26"/>
  <c r="O35" i="26" s="1"/>
  <c r="M14" i="26"/>
  <c r="M35" i="26" s="1"/>
  <c r="L14" i="26"/>
  <c r="L35" i="26" s="1"/>
  <c r="K14" i="26"/>
  <c r="K35" i="26" s="1"/>
  <c r="J14" i="26"/>
  <c r="J35" i="26" s="1"/>
  <c r="I14" i="26"/>
  <c r="I35" i="26" s="1"/>
  <c r="G14" i="26"/>
  <c r="G35" i="26" s="1"/>
  <c r="F14" i="26"/>
  <c r="F35" i="26" s="1"/>
  <c r="E14" i="26"/>
  <c r="E35" i="26" s="1"/>
  <c r="D14" i="26"/>
  <c r="D35" i="26" s="1"/>
  <c r="C14" i="26"/>
  <c r="C35" i="26" s="1"/>
  <c r="BI12" i="26"/>
  <c r="BH12" i="26"/>
  <c r="BG12" i="26"/>
  <c r="BF12" i="26"/>
  <c r="BE12" i="26"/>
  <c r="BC12" i="26"/>
  <c r="BB12" i="26"/>
  <c r="BA12" i="26"/>
  <c r="AZ12" i="26"/>
  <c r="AY12" i="26"/>
  <c r="AW12" i="26"/>
  <c r="AV12" i="26"/>
  <c r="AU12" i="26"/>
  <c r="AT12" i="26"/>
  <c r="AS12" i="26"/>
  <c r="AQ12" i="26"/>
  <c r="AP12" i="26"/>
  <c r="AO12" i="26"/>
  <c r="AN12" i="26"/>
  <c r="AM12" i="26"/>
  <c r="AK12" i="26"/>
  <c r="AJ12" i="26"/>
  <c r="AI12" i="26"/>
  <c r="AH12" i="26"/>
  <c r="AG12" i="26"/>
  <c r="AE12" i="26"/>
  <c r="AD12" i="26"/>
  <c r="AC12" i="26"/>
  <c r="AB12" i="26"/>
  <c r="AA12" i="26"/>
  <c r="Y12" i="26"/>
  <c r="X12" i="26"/>
  <c r="W12" i="26"/>
  <c r="V12" i="26"/>
  <c r="U12" i="26"/>
  <c r="S12" i="26"/>
  <c r="R12" i="26"/>
  <c r="Q12" i="26"/>
  <c r="P12" i="26"/>
  <c r="O12" i="26"/>
  <c r="M12" i="26"/>
  <c r="L12" i="26"/>
  <c r="K12" i="26"/>
  <c r="J12" i="26"/>
  <c r="I12" i="26"/>
  <c r="G12" i="26"/>
  <c r="F12" i="26"/>
  <c r="E12" i="26"/>
  <c r="D12" i="26"/>
  <c r="C12" i="26"/>
  <c r="BI10" i="26"/>
  <c r="BH10" i="26"/>
  <c r="BG10" i="26"/>
  <c r="BF10" i="26"/>
  <c r="BE10" i="26"/>
  <c r="BC10" i="26"/>
  <c r="BB10" i="26"/>
  <c r="BA10" i="26"/>
  <c r="AZ10" i="26"/>
  <c r="AY10" i="26"/>
  <c r="AW10" i="26"/>
  <c r="AV10" i="26"/>
  <c r="AU10" i="26"/>
  <c r="AT10" i="26"/>
  <c r="AS10" i="26"/>
  <c r="AQ10" i="26"/>
  <c r="AP10" i="26"/>
  <c r="AO10" i="26"/>
  <c r="AN10" i="26"/>
  <c r="AM10" i="26"/>
  <c r="AK10" i="26"/>
  <c r="AJ10" i="26"/>
  <c r="AI10" i="26"/>
  <c r="AH10" i="26"/>
  <c r="AG10" i="26"/>
  <c r="AE10" i="26"/>
  <c r="AD10" i="26"/>
  <c r="AC10" i="26"/>
  <c r="AB10" i="26"/>
  <c r="AA10" i="26"/>
  <c r="Y10" i="26"/>
  <c r="X10" i="26"/>
  <c r="W10" i="26"/>
  <c r="V10" i="26"/>
  <c r="U10" i="26"/>
  <c r="S10" i="26"/>
  <c r="R10" i="26"/>
  <c r="Q10" i="26"/>
  <c r="P10" i="26"/>
  <c r="O10" i="26"/>
  <c r="M10" i="26"/>
  <c r="L10" i="26"/>
  <c r="K10" i="26"/>
  <c r="J10" i="26"/>
  <c r="I10" i="26"/>
  <c r="G10" i="26"/>
  <c r="F10" i="26"/>
  <c r="E10" i="26"/>
  <c r="D10" i="26"/>
  <c r="C10" i="26"/>
  <c r="BA3" i="26"/>
  <c r="E43" i="38"/>
  <c r="H4" i="38"/>
  <c r="E4" i="38"/>
  <c r="G212" i="33"/>
  <c r="H212" i="33" s="1"/>
  <c r="P212" i="33" s="1"/>
  <c r="AA209" i="33"/>
  <c r="Z209" i="33"/>
  <c r="Y209" i="33"/>
  <c r="X209" i="33"/>
  <c r="W209" i="33"/>
  <c r="V209" i="33"/>
  <c r="U209" i="33"/>
  <c r="T209" i="33"/>
  <c r="S209" i="33"/>
  <c r="AB209" i="33" s="1"/>
  <c r="R209" i="33"/>
  <c r="M209" i="33"/>
  <c r="L209" i="33"/>
  <c r="K209" i="33"/>
  <c r="J209" i="33"/>
  <c r="AB208" i="33"/>
  <c r="AC208" i="33" s="1"/>
  <c r="G208" i="33"/>
  <c r="H208" i="33" s="1"/>
  <c r="O208" i="33" s="1"/>
  <c r="Q208" i="33" s="1"/>
  <c r="AC207" i="33"/>
  <c r="AB207" i="33"/>
  <c r="O207" i="33"/>
  <c r="Q207" i="33" s="1"/>
  <c r="G207" i="33"/>
  <c r="H207" i="33" s="1"/>
  <c r="AB206" i="33"/>
  <c r="AC206" i="33" s="1"/>
  <c r="G206" i="33"/>
  <c r="H206" i="33" s="1"/>
  <c r="O206" i="33" s="1"/>
  <c r="Q206" i="33" s="1"/>
  <c r="AB205" i="33"/>
  <c r="AC205" i="33" s="1"/>
  <c r="H205" i="33"/>
  <c r="O205" i="33" s="1"/>
  <c r="Q205" i="33" s="1"/>
  <c r="G205" i="33"/>
  <c r="AB204" i="33"/>
  <c r="AC204" i="33" s="1"/>
  <c r="G204" i="33"/>
  <c r="H204" i="33" s="1"/>
  <c r="O204" i="33" s="1"/>
  <c r="Q204" i="33" s="1"/>
  <c r="AB203" i="33"/>
  <c r="AC203" i="33" s="1"/>
  <c r="G203" i="33"/>
  <c r="H203" i="33" s="1"/>
  <c r="AC202" i="33"/>
  <c r="AA202" i="33"/>
  <c r="Z202" i="33"/>
  <c r="Y202" i="33"/>
  <c r="X202" i="33"/>
  <c r="W202" i="33"/>
  <c r="V202" i="33"/>
  <c r="U202" i="33"/>
  <c r="T202" i="33"/>
  <c r="S202" i="33"/>
  <c r="R202" i="33"/>
  <c r="M202" i="33"/>
  <c r="K202" i="33"/>
  <c r="J202" i="33"/>
  <c r="P199" i="33"/>
  <c r="N199" i="33"/>
  <c r="G199" i="33"/>
  <c r="H199" i="33" s="1"/>
  <c r="AA196" i="33"/>
  <c r="Z196" i="33"/>
  <c r="Y196" i="33"/>
  <c r="X196" i="33"/>
  <c r="W196" i="33"/>
  <c r="V196" i="33"/>
  <c r="U196" i="33"/>
  <c r="T196" i="33"/>
  <c r="S196" i="33"/>
  <c r="R196" i="33"/>
  <c r="M196" i="33"/>
  <c r="L196" i="33"/>
  <c r="K196" i="33"/>
  <c r="J196" i="33"/>
  <c r="AC195" i="33"/>
  <c r="AB195" i="33"/>
  <c r="Q195" i="33"/>
  <c r="P195" i="33"/>
  <c r="G195" i="33"/>
  <c r="H195" i="33" s="1"/>
  <c r="O195" i="33" s="1"/>
  <c r="AB194" i="33"/>
  <c r="AC194" i="33" s="1"/>
  <c r="G194" i="33"/>
  <c r="H194" i="33" s="1"/>
  <c r="O194" i="33" s="1"/>
  <c r="AB193" i="33"/>
  <c r="AC193" i="33" s="1"/>
  <c r="G193" i="33"/>
  <c r="H193" i="33" s="1"/>
  <c r="O193" i="33" s="1"/>
  <c r="Q193" i="33" s="1"/>
  <c r="AC192" i="33"/>
  <c r="AB192" i="33"/>
  <c r="G192" i="33"/>
  <c r="H192" i="33" s="1"/>
  <c r="O192" i="33" s="1"/>
  <c r="AB191" i="33"/>
  <c r="AC191" i="33" s="1"/>
  <c r="H191" i="33"/>
  <c r="O191" i="33" s="1"/>
  <c r="G191" i="33"/>
  <c r="AB190" i="33"/>
  <c r="AC190" i="33" s="1"/>
  <c r="Q190" i="33"/>
  <c r="G190" i="33"/>
  <c r="H190" i="33" s="1"/>
  <c r="O190" i="33" s="1"/>
  <c r="AC189" i="33"/>
  <c r="AA189" i="33"/>
  <c r="Z189" i="33"/>
  <c r="Y189" i="33"/>
  <c r="X189" i="33"/>
  <c r="W189" i="33"/>
  <c r="V189" i="33"/>
  <c r="U189" i="33"/>
  <c r="T189" i="33"/>
  <c r="S189" i="33"/>
  <c r="R189" i="33"/>
  <c r="M189" i="33"/>
  <c r="K189" i="33"/>
  <c r="J189" i="33"/>
  <c r="H186" i="33"/>
  <c r="P186" i="33" s="1"/>
  <c r="G186" i="33"/>
  <c r="AA183" i="33"/>
  <c r="Z183" i="33"/>
  <c r="Y183" i="33"/>
  <c r="X183" i="33"/>
  <c r="W183" i="33"/>
  <c r="V183" i="33"/>
  <c r="U183" i="33"/>
  <c r="T183" i="33"/>
  <c r="S183" i="33"/>
  <c r="R183" i="33"/>
  <c r="M183" i="33"/>
  <c r="L183" i="33"/>
  <c r="K183" i="33"/>
  <c r="J183" i="33"/>
  <c r="AB182" i="33"/>
  <c r="AC182" i="33" s="1"/>
  <c r="H182" i="33"/>
  <c r="O182" i="33" s="1"/>
  <c r="Q182" i="33" s="1"/>
  <c r="G182" i="33"/>
  <c r="AB181" i="33"/>
  <c r="AC181" i="33" s="1"/>
  <c r="O181" i="33"/>
  <c r="Q181" i="33" s="1"/>
  <c r="G181" i="33"/>
  <c r="H181" i="33" s="1"/>
  <c r="AB180" i="33"/>
  <c r="AC180" i="33" s="1"/>
  <c r="O180" i="33"/>
  <c r="Q180" i="33" s="1"/>
  <c r="G180" i="33"/>
  <c r="H180" i="33" s="1"/>
  <c r="AB179" i="33"/>
  <c r="AC179" i="33" s="1"/>
  <c r="H179" i="33"/>
  <c r="O179" i="33" s="1"/>
  <c r="Q179" i="33" s="1"/>
  <c r="G179" i="33"/>
  <c r="AB178" i="33"/>
  <c r="AC178" i="33" s="1"/>
  <c r="G178" i="33"/>
  <c r="H178" i="33" s="1"/>
  <c r="O178" i="33" s="1"/>
  <c r="Q178" i="33" s="1"/>
  <c r="AB177" i="33"/>
  <c r="AC177" i="33" s="1"/>
  <c r="G177" i="33"/>
  <c r="H177" i="33" s="1"/>
  <c r="AC176" i="33"/>
  <c r="AA176" i="33"/>
  <c r="Z176" i="33"/>
  <c r="Y176" i="33"/>
  <c r="X176" i="33"/>
  <c r="W176" i="33"/>
  <c r="V176" i="33"/>
  <c r="U176" i="33"/>
  <c r="T176" i="33"/>
  <c r="S176" i="33"/>
  <c r="R176" i="33"/>
  <c r="M176" i="33"/>
  <c r="K176" i="33"/>
  <c r="J176" i="33"/>
  <c r="P173" i="33"/>
  <c r="N173" i="33"/>
  <c r="G173" i="33"/>
  <c r="H173" i="33" s="1"/>
  <c r="AA170" i="33"/>
  <c r="Z170" i="33"/>
  <c r="AB170" i="33" s="1"/>
  <c r="AC170" i="33" s="1"/>
  <c r="Y170" i="33"/>
  <c r="X170" i="33"/>
  <c r="W170" i="33"/>
  <c r="V170" i="33"/>
  <c r="U170" i="33"/>
  <c r="T170" i="33"/>
  <c r="S170" i="33"/>
  <c r="R170" i="33"/>
  <c r="M170" i="33"/>
  <c r="L170" i="33"/>
  <c r="K170" i="33"/>
  <c r="J170" i="33"/>
  <c r="AC169" i="33"/>
  <c r="AB169" i="33"/>
  <c r="G169" i="33"/>
  <c r="H169" i="33" s="1"/>
  <c r="O169" i="33" s="1"/>
  <c r="Q169" i="33" s="1"/>
  <c r="AB168" i="33"/>
  <c r="AC168" i="33" s="1"/>
  <c r="H168" i="33"/>
  <c r="O168" i="33" s="1"/>
  <c r="G168" i="33"/>
  <c r="AB167" i="33"/>
  <c r="AC167" i="33" s="1"/>
  <c r="G167" i="33"/>
  <c r="H167" i="33" s="1"/>
  <c r="O167" i="33" s="1"/>
  <c r="Q167" i="33" s="1"/>
  <c r="AC166" i="33"/>
  <c r="AB166" i="33"/>
  <c r="O166" i="33"/>
  <c r="G166" i="33"/>
  <c r="H166" i="33" s="1"/>
  <c r="AB165" i="33"/>
  <c r="AC165" i="33" s="1"/>
  <c r="O165" i="33"/>
  <c r="Q165" i="33" s="1"/>
  <c r="G165" i="33"/>
  <c r="H165" i="33" s="1"/>
  <c r="AB164" i="33"/>
  <c r="AC164" i="33" s="1"/>
  <c r="G164" i="33"/>
  <c r="H164" i="33" s="1"/>
  <c r="AC163" i="33"/>
  <c r="AA163" i="33"/>
  <c r="Z163" i="33"/>
  <c r="Y163" i="33"/>
  <c r="X163" i="33"/>
  <c r="W163" i="33"/>
  <c r="V163" i="33"/>
  <c r="U163" i="33"/>
  <c r="T163" i="33"/>
  <c r="S163" i="33"/>
  <c r="R163" i="33"/>
  <c r="M163" i="33"/>
  <c r="K163" i="33"/>
  <c r="J163" i="33"/>
  <c r="H160" i="33"/>
  <c r="P160" i="33" s="1"/>
  <c r="G160" i="33"/>
  <c r="AA157" i="33"/>
  <c r="Z157" i="33"/>
  <c r="Y157" i="33"/>
  <c r="X157" i="33"/>
  <c r="W157" i="33"/>
  <c r="V157" i="33"/>
  <c r="U157" i="33"/>
  <c r="T157" i="33"/>
  <c r="S157" i="33"/>
  <c r="R157" i="33"/>
  <c r="M157" i="33"/>
  <c r="L157" i="33"/>
  <c r="K157" i="33"/>
  <c r="J157" i="33"/>
  <c r="N160" i="33" s="1"/>
  <c r="AB156" i="33"/>
  <c r="AC156" i="33" s="1"/>
  <c r="H156" i="33"/>
  <c r="O156" i="33" s="1"/>
  <c r="Q156" i="33" s="1"/>
  <c r="G156" i="33"/>
  <c r="AB155" i="33"/>
  <c r="AC155" i="33" s="1"/>
  <c r="G155" i="33"/>
  <c r="H155" i="33" s="1"/>
  <c r="O155" i="33" s="1"/>
  <c r="Q155" i="33" s="1"/>
  <c r="AB154" i="33"/>
  <c r="AC154" i="33" s="1"/>
  <c r="G154" i="33"/>
  <c r="H154" i="33" s="1"/>
  <c r="O154" i="33" s="1"/>
  <c r="Q154" i="33" s="1"/>
  <c r="AB153" i="33"/>
  <c r="AC153" i="33" s="1"/>
  <c r="H153" i="33"/>
  <c r="O153" i="33" s="1"/>
  <c r="Q153" i="33" s="1"/>
  <c r="G153" i="33"/>
  <c r="AB152" i="33"/>
  <c r="AC152" i="33" s="1"/>
  <c r="G152" i="33"/>
  <c r="H152" i="33" s="1"/>
  <c r="O152" i="33" s="1"/>
  <c r="Q152" i="33" s="1"/>
  <c r="AB151" i="33"/>
  <c r="AC151" i="33" s="1"/>
  <c r="G151" i="33"/>
  <c r="H151" i="33" s="1"/>
  <c r="AC150" i="33"/>
  <c r="AA150" i="33"/>
  <c r="Z150" i="33"/>
  <c r="Y150" i="33"/>
  <c r="X150" i="33"/>
  <c r="W150" i="33"/>
  <c r="V150" i="33"/>
  <c r="U150" i="33"/>
  <c r="T150" i="33"/>
  <c r="S150" i="33"/>
  <c r="R150" i="33"/>
  <c r="M150" i="33"/>
  <c r="K150" i="33"/>
  <c r="J150" i="33"/>
  <c r="N147" i="33"/>
  <c r="G147" i="33"/>
  <c r="H147" i="33" s="1"/>
  <c r="P147" i="33" s="1"/>
  <c r="AA144" i="33"/>
  <c r="Z144" i="33"/>
  <c r="Y144" i="33"/>
  <c r="X144" i="33"/>
  <c r="W144" i="33"/>
  <c r="V144" i="33"/>
  <c r="U144" i="33"/>
  <c r="AB144" i="33" s="1"/>
  <c r="AC144" i="33" s="1"/>
  <c r="T144" i="33"/>
  <c r="S144" i="33"/>
  <c r="R144" i="33"/>
  <c r="M144" i="33"/>
  <c r="L144" i="33"/>
  <c r="K144" i="33"/>
  <c r="J144" i="33"/>
  <c r="AC143" i="33"/>
  <c r="AB143" i="33"/>
  <c r="O143" i="33"/>
  <c r="G143" i="33"/>
  <c r="H143" i="33" s="1"/>
  <c r="AB142" i="33"/>
  <c r="AC142" i="33" s="1"/>
  <c r="G142" i="33"/>
  <c r="H142" i="33" s="1"/>
  <c r="O142" i="33" s="1"/>
  <c r="AB141" i="33"/>
  <c r="AC141" i="33" s="1"/>
  <c r="G141" i="33"/>
  <c r="H141" i="33" s="1"/>
  <c r="O141" i="33" s="1"/>
  <c r="P141" i="33" s="1"/>
  <c r="AC140" i="33"/>
  <c r="AB140" i="33"/>
  <c r="G140" i="33"/>
  <c r="H140" i="33" s="1"/>
  <c r="O140" i="33" s="1"/>
  <c r="Q140" i="33" s="1"/>
  <c r="AB139" i="33"/>
  <c r="AC139" i="33" s="1"/>
  <c r="G139" i="33"/>
  <c r="H139" i="33" s="1"/>
  <c r="AB138" i="33"/>
  <c r="AC138" i="33" s="1"/>
  <c r="G138" i="33"/>
  <c r="H138" i="33" s="1"/>
  <c r="O138" i="33" s="1"/>
  <c r="AC137" i="33"/>
  <c r="AA137" i="33"/>
  <c r="Z137" i="33"/>
  <c r="Y137" i="33"/>
  <c r="X137" i="33"/>
  <c r="W137" i="33"/>
  <c r="V137" i="33"/>
  <c r="U137" i="33"/>
  <c r="T137" i="33"/>
  <c r="S137" i="33"/>
  <c r="R137" i="33"/>
  <c r="M137" i="33"/>
  <c r="K137" i="33"/>
  <c r="J137" i="33"/>
  <c r="H134" i="33"/>
  <c r="P134" i="33" s="1"/>
  <c r="G134" i="33"/>
  <c r="AA131" i="33"/>
  <c r="Z131" i="33"/>
  <c r="Y131" i="33"/>
  <c r="X131" i="33"/>
  <c r="W131" i="33"/>
  <c r="V131" i="33"/>
  <c r="U131" i="33"/>
  <c r="T131" i="33"/>
  <c r="S131" i="33"/>
  <c r="R131" i="33"/>
  <c r="M131" i="33"/>
  <c r="L131" i="33"/>
  <c r="K131" i="33"/>
  <c r="J131" i="33"/>
  <c r="N134" i="33" s="1"/>
  <c r="AB130" i="33"/>
  <c r="AC130" i="33" s="1"/>
  <c r="H130" i="33"/>
  <c r="O130" i="33" s="1"/>
  <c r="Q130" i="33" s="1"/>
  <c r="G130" i="33"/>
  <c r="AC129" i="33"/>
  <c r="AB129" i="33"/>
  <c r="O129" i="33"/>
  <c r="Q129" i="33" s="1"/>
  <c r="P129" i="33"/>
  <c r="G129" i="33"/>
  <c r="H129" i="33" s="1"/>
  <c r="AB128" i="33"/>
  <c r="AC128" i="33" s="1"/>
  <c r="G128" i="33"/>
  <c r="H128" i="33" s="1"/>
  <c r="O128" i="33" s="1"/>
  <c r="Q128" i="33" s="1"/>
  <c r="AB127" i="33"/>
  <c r="AC127" i="33" s="1"/>
  <c r="H127" i="33"/>
  <c r="O127" i="33" s="1"/>
  <c r="Q127" i="33" s="1"/>
  <c r="G127" i="33"/>
  <c r="AB126" i="33"/>
  <c r="AC126" i="33" s="1"/>
  <c r="O126" i="33"/>
  <c r="Q126" i="33" s="1"/>
  <c r="P126" i="33"/>
  <c r="G126" i="33"/>
  <c r="H126" i="33" s="1"/>
  <c r="AB125" i="33"/>
  <c r="AC125" i="33" s="1"/>
  <c r="H125" i="33"/>
  <c r="G125" i="33"/>
  <c r="AC124" i="33"/>
  <c r="AA124" i="33"/>
  <c r="Z124" i="33"/>
  <c r="Y124" i="33"/>
  <c r="X124" i="33"/>
  <c r="W124" i="33"/>
  <c r="V124" i="33"/>
  <c r="U124" i="33"/>
  <c r="T124" i="33"/>
  <c r="S124" i="33"/>
  <c r="R124" i="33"/>
  <c r="M124" i="33"/>
  <c r="K124" i="33"/>
  <c r="J124" i="33"/>
  <c r="N121" i="33"/>
  <c r="G121" i="33"/>
  <c r="H121" i="33" s="1"/>
  <c r="P121" i="33" s="1"/>
  <c r="AC118" i="33"/>
  <c r="AA118" i="33"/>
  <c r="Z118" i="33"/>
  <c r="Y118" i="33"/>
  <c r="X118" i="33"/>
  <c r="W118" i="33"/>
  <c r="V118" i="33"/>
  <c r="U118" i="33"/>
  <c r="T118" i="33"/>
  <c r="S118" i="33"/>
  <c r="R118" i="33"/>
  <c r="AB118" i="33" s="1"/>
  <c r="M118" i="33"/>
  <c r="L118" i="33"/>
  <c r="K118" i="33"/>
  <c r="J118" i="33"/>
  <c r="AC117" i="33"/>
  <c r="AB117" i="33"/>
  <c r="G117" i="33"/>
  <c r="H117" i="33" s="1"/>
  <c r="O117" i="33" s="1"/>
  <c r="AB116" i="33"/>
  <c r="AC116" i="33" s="1"/>
  <c r="H116" i="33"/>
  <c r="O116" i="33" s="1"/>
  <c r="G116" i="33"/>
  <c r="AB115" i="33"/>
  <c r="AC115" i="33" s="1"/>
  <c r="G115" i="33"/>
  <c r="H115" i="33" s="1"/>
  <c r="O115" i="33" s="1"/>
  <c r="AC114" i="33"/>
  <c r="AB114" i="33"/>
  <c r="G114" i="33"/>
  <c r="H114" i="33" s="1"/>
  <c r="O114" i="33" s="1"/>
  <c r="Q114" i="33" s="1"/>
  <c r="AB113" i="33"/>
  <c r="AC113" i="33" s="1"/>
  <c r="H113" i="33"/>
  <c r="O113" i="33" s="1"/>
  <c r="G113" i="33"/>
  <c r="AB112" i="33"/>
  <c r="AC112" i="33" s="1"/>
  <c r="G112" i="33"/>
  <c r="H112" i="33" s="1"/>
  <c r="O112" i="33" s="1"/>
  <c r="AC111" i="33"/>
  <c r="AA111" i="33"/>
  <c r="Z111" i="33"/>
  <c r="Y111" i="33"/>
  <c r="X111" i="33"/>
  <c r="W111" i="33"/>
  <c r="V111" i="33"/>
  <c r="U111" i="33"/>
  <c r="T111" i="33"/>
  <c r="S111" i="33"/>
  <c r="R111" i="33"/>
  <c r="M111" i="33"/>
  <c r="K111" i="33"/>
  <c r="J111" i="33"/>
  <c r="B110" i="33"/>
  <c r="B123" i="33" s="1"/>
  <c r="B136" i="33" s="1"/>
  <c r="B149" i="33" s="1"/>
  <c r="B162" i="33" s="1"/>
  <c r="B175" i="33" s="1"/>
  <c r="B188" i="33" s="1"/>
  <c r="B201" i="33" s="1"/>
  <c r="H108" i="33"/>
  <c r="P108" i="33" s="1"/>
  <c r="G108" i="33"/>
  <c r="AA105" i="33"/>
  <c r="Z105" i="33"/>
  <c r="Y105" i="33"/>
  <c r="X105" i="33"/>
  <c r="W105" i="33"/>
  <c r="V105" i="33"/>
  <c r="U105" i="33"/>
  <c r="T105" i="33"/>
  <c r="S105" i="33"/>
  <c r="R105" i="33"/>
  <c r="M105" i="33"/>
  <c r="L105" i="33"/>
  <c r="N108" i="33" s="1"/>
  <c r="K105" i="33"/>
  <c r="J105" i="33"/>
  <c r="AB104" i="33"/>
  <c r="AC104" i="33" s="1"/>
  <c r="P104" i="33"/>
  <c r="H104" i="33"/>
  <c r="O104" i="33" s="1"/>
  <c r="Q104" i="33" s="1"/>
  <c r="G104" i="33"/>
  <c r="AC103" i="33"/>
  <c r="AB103" i="33"/>
  <c r="O103" i="33"/>
  <c r="G103" i="33"/>
  <c r="H103" i="33" s="1"/>
  <c r="AB102" i="33"/>
  <c r="AC102" i="33" s="1"/>
  <c r="G102" i="33"/>
  <c r="H102" i="33" s="1"/>
  <c r="O102" i="33" s="1"/>
  <c r="Q102" i="33" s="1"/>
  <c r="AC101" i="33"/>
  <c r="AB101" i="33"/>
  <c r="H101" i="33"/>
  <c r="O101" i="33" s="1"/>
  <c r="Q101" i="33" s="1"/>
  <c r="G101" i="33"/>
  <c r="AB100" i="33"/>
  <c r="AC100" i="33" s="1"/>
  <c r="G100" i="33"/>
  <c r="H100" i="33" s="1"/>
  <c r="O100" i="33" s="1"/>
  <c r="P100" i="33" s="1"/>
  <c r="AB99" i="33"/>
  <c r="AC99" i="33" s="1"/>
  <c r="G99" i="33"/>
  <c r="H99" i="33" s="1"/>
  <c r="AC98" i="33"/>
  <c r="AA98" i="33"/>
  <c r="Z98" i="33"/>
  <c r="Y98" i="33"/>
  <c r="X98" i="33"/>
  <c r="W98" i="33"/>
  <c r="V98" i="33"/>
  <c r="U98" i="33"/>
  <c r="T98" i="33"/>
  <c r="S98" i="33"/>
  <c r="R98" i="33"/>
  <c r="M98" i="33"/>
  <c r="K98" i="33"/>
  <c r="J98" i="33"/>
  <c r="N95" i="33"/>
  <c r="G95" i="33"/>
  <c r="H95" i="33" s="1"/>
  <c r="P95" i="33" s="1"/>
  <c r="AA92" i="33"/>
  <c r="AB92" i="33" s="1"/>
  <c r="AC92" i="33" s="1"/>
  <c r="Z92" i="33"/>
  <c r="Y92" i="33"/>
  <c r="X92" i="33"/>
  <c r="W92" i="33"/>
  <c r="V92" i="33"/>
  <c r="U92" i="33"/>
  <c r="T92" i="33"/>
  <c r="S92" i="33"/>
  <c r="R92" i="33"/>
  <c r="M92" i="33"/>
  <c r="L92" i="33"/>
  <c r="K92" i="33"/>
  <c r="J92" i="33"/>
  <c r="AC91" i="33"/>
  <c r="AB91" i="33"/>
  <c r="G91" i="33"/>
  <c r="H91" i="33" s="1"/>
  <c r="O91" i="33" s="1"/>
  <c r="Q91" i="33" s="1"/>
  <c r="AB90" i="33"/>
  <c r="AC90" i="33" s="1"/>
  <c r="G90" i="33"/>
  <c r="H90" i="33" s="1"/>
  <c r="O90" i="33" s="1"/>
  <c r="AB89" i="33"/>
  <c r="AC89" i="33" s="1"/>
  <c r="G89" i="33"/>
  <c r="H89" i="33" s="1"/>
  <c r="O89" i="33" s="1"/>
  <c r="AC88" i="33"/>
  <c r="AB88" i="33"/>
  <c r="G88" i="33"/>
  <c r="H88" i="33" s="1"/>
  <c r="O88" i="33" s="1"/>
  <c r="AB87" i="33"/>
  <c r="AC87" i="33" s="1"/>
  <c r="G87" i="33"/>
  <c r="H87" i="33" s="1"/>
  <c r="O87" i="33" s="1"/>
  <c r="AB86" i="33"/>
  <c r="AC86" i="33" s="1"/>
  <c r="G86" i="33"/>
  <c r="H86" i="33" s="1"/>
  <c r="AC85" i="33"/>
  <c r="AA85" i="33"/>
  <c r="Z85" i="33"/>
  <c r="Y85" i="33"/>
  <c r="X85" i="33"/>
  <c r="W85" i="33"/>
  <c r="V85" i="33"/>
  <c r="U85" i="33"/>
  <c r="T85" i="33"/>
  <c r="S85" i="33"/>
  <c r="R85" i="33"/>
  <c r="M85" i="33"/>
  <c r="K85" i="33"/>
  <c r="J85" i="33"/>
  <c r="R84" i="33"/>
  <c r="R97" i="33" s="1"/>
  <c r="R110" i="33" s="1"/>
  <c r="R123" i="33" s="1"/>
  <c r="R136" i="33" s="1"/>
  <c r="R149" i="33" s="1"/>
  <c r="R162" i="33" s="1"/>
  <c r="R175" i="33" s="1"/>
  <c r="R188" i="33" s="1"/>
  <c r="R201" i="33" s="1"/>
  <c r="H82" i="33"/>
  <c r="P82" i="33" s="1"/>
  <c r="G82" i="33"/>
  <c r="AB79" i="33"/>
  <c r="AA79" i="33"/>
  <c r="Z79" i="33"/>
  <c r="Y79" i="33"/>
  <c r="X79" i="33"/>
  <c r="W79" i="33"/>
  <c r="V79" i="33"/>
  <c r="U79" i="33"/>
  <c r="T79" i="33"/>
  <c r="S79" i="33"/>
  <c r="R79" i="33"/>
  <c r="M79" i="33"/>
  <c r="L79" i="33"/>
  <c r="K79" i="33"/>
  <c r="N82" i="33" s="1"/>
  <c r="J79" i="33"/>
  <c r="AB78" i="33"/>
  <c r="AC78" i="33" s="1"/>
  <c r="H78" i="33"/>
  <c r="O78" i="33" s="1"/>
  <c r="Q78" i="33" s="1"/>
  <c r="G78" i="33"/>
  <c r="AB77" i="33"/>
  <c r="AC77" i="33" s="1"/>
  <c r="O77" i="33"/>
  <c r="Q77" i="33" s="1"/>
  <c r="G77" i="33"/>
  <c r="H77" i="33" s="1"/>
  <c r="AC76" i="33"/>
  <c r="AB76" i="33"/>
  <c r="G76" i="33"/>
  <c r="H76" i="33" s="1"/>
  <c r="O76" i="33" s="1"/>
  <c r="Q76" i="33" s="1"/>
  <c r="AB75" i="33"/>
  <c r="AC75" i="33" s="1"/>
  <c r="O75" i="33"/>
  <c r="Q75" i="33" s="1"/>
  <c r="H75" i="33"/>
  <c r="G75" i="33"/>
  <c r="AB74" i="33"/>
  <c r="AC74" i="33" s="1"/>
  <c r="G74" i="33"/>
  <c r="H74" i="33" s="1"/>
  <c r="O74" i="33" s="1"/>
  <c r="Q74" i="33" s="1"/>
  <c r="AC73" i="33"/>
  <c r="AB73" i="33"/>
  <c r="G73" i="33"/>
  <c r="H73" i="33" s="1"/>
  <c r="AC72" i="33"/>
  <c r="AA72" i="33"/>
  <c r="Z72" i="33"/>
  <c r="Y72" i="33"/>
  <c r="X72" i="33"/>
  <c r="W72" i="33"/>
  <c r="V72" i="33"/>
  <c r="U72" i="33"/>
  <c r="T72" i="33"/>
  <c r="S72" i="33"/>
  <c r="R72" i="33"/>
  <c r="M72" i="33"/>
  <c r="K72" i="33"/>
  <c r="J72" i="33"/>
  <c r="G69" i="33"/>
  <c r="H69" i="33" s="1"/>
  <c r="P69" i="33" s="1"/>
  <c r="AA66" i="33"/>
  <c r="Z66" i="33"/>
  <c r="Y66" i="33"/>
  <c r="X66" i="33"/>
  <c r="W66" i="33"/>
  <c r="V66" i="33"/>
  <c r="U66" i="33"/>
  <c r="T66" i="33"/>
  <c r="S66" i="33"/>
  <c r="R66" i="33"/>
  <c r="AB66" i="33" s="1"/>
  <c r="AC66" i="33" s="1"/>
  <c r="M66" i="33"/>
  <c r="L66" i="33"/>
  <c r="K66" i="33"/>
  <c r="J66" i="33"/>
  <c r="N69" i="33" s="1"/>
  <c r="AC65" i="33"/>
  <c r="AB65" i="33"/>
  <c r="G65" i="33"/>
  <c r="H65" i="33" s="1"/>
  <c r="O65" i="33" s="1"/>
  <c r="AB64" i="33"/>
  <c r="AC64" i="33" s="1"/>
  <c r="G64" i="33"/>
  <c r="H64" i="33" s="1"/>
  <c r="O64" i="33" s="1"/>
  <c r="Q64" i="33" s="1"/>
  <c r="AC63" i="33"/>
  <c r="AB63" i="33"/>
  <c r="G63" i="33"/>
  <c r="H63" i="33" s="1"/>
  <c r="O63" i="33" s="1"/>
  <c r="AC62" i="33"/>
  <c r="AB62" i="33"/>
  <c r="G62" i="33"/>
  <c r="H62" i="33" s="1"/>
  <c r="O62" i="33" s="1"/>
  <c r="Q62" i="33" s="1"/>
  <c r="AB61" i="33"/>
  <c r="AC61" i="33" s="1"/>
  <c r="G61" i="33"/>
  <c r="H61" i="33" s="1"/>
  <c r="O61" i="33" s="1"/>
  <c r="AB60" i="33"/>
  <c r="AC60" i="33" s="1"/>
  <c r="G60" i="33"/>
  <c r="H60" i="33" s="1"/>
  <c r="AC59" i="33"/>
  <c r="AA59" i="33"/>
  <c r="Z59" i="33"/>
  <c r="Y59" i="33"/>
  <c r="X59" i="33"/>
  <c r="W59" i="33"/>
  <c r="V59" i="33"/>
  <c r="U59" i="33"/>
  <c r="T59" i="33"/>
  <c r="S59" i="33"/>
  <c r="R59" i="33"/>
  <c r="M59" i="33"/>
  <c r="K59" i="33"/>
  <c r="J59" i="33"/>
  <c r="R58" i="33"/>
  <c r="R71" i="33" s="1"/>
  <c r="H56" i="33"/>
  <c r="P56" i="33" s="1"/>
  <c r="G56" i="33"/>
  <c r="AA53" i="33"/>
  <c r="Z53" i="33"/>
  <c r="Y53" i="33"/>
  <c r="X53" i="33"/>
  <c r="W53" i="33"/>
  <c r="V53" i="33"/>
  <c r="U53" i="33"/>
  <c r="T53" i="33"/>
  <c r="S53" i="33"/>
  <c r="R53" i="33"/>
  <c r="M53" i="33"/>
  <c r="L53" i="33"/>
  <c r="K53" i="33"/>
  <c r="J53" i="33"/>
  <c r="N56" i="33" s="1"/>
  <c r="AB52" i="33"/>
  <c r="AC52" i="33" s="1"/>
  <c r="O52" i="33"/>
  <c r="Q52" i="33" s="1"/>
  <c r="P52" i="33"/>
  <c r="H52" i="33"/>
  <c r="G52" i="33"/>
  <c r="AB51" i="33"/>
  <c r="AC51" i="33" s="1"/>
  <c r="O51" i="33"/>
  <c r="G51" i="33"/>
  <c r="H51" i="33" s="1"/>
  <c r="AB50" i="33"/>
  <c r="AC50" i="33" s="1"/>
  <c r="G50" i="33"/>
  <c r="H50" i="33" s="1"/>
  <c r="O50" i="33" s="1"/>
  <c r="Q50" i="33" s="1"/>
  <c r="AB49" i="33"/>
  <c r="AC49" i="33" s="1"/>
  <c r="O49" i="33"/>
  <c r="Q49" i="33" s="1"/>
  <c r="H49" i="33"/>
  <c r="G49" i="33"/>
  <c r="AC48" i="33"/>
  <c r="AB48" i="33"/>
  <c r="G48" i="33"/>
  <c r="H48" i="33" s="1"/>
  <c r="O48" i="33" s="1"/>
  <c r="Q48" i="33" s="1"/>
  <c r="AC47" i="33"/>
  <c r="AB47" i="33"/>
  <c r="G47" i="33"/>
  <c r="H47" i="33" s="1"/>
  <c r="AC46" i="33"/>
  <c r="AA46" i="33"/>
  <c r="Z46" i="33"/>
  <c r="Y46" i="33"/>
  <c r="X46" i="33"/>
  <c r="W46" i="33"/>
  <c r="V46" i="33"/>
  <c r="U46" i="33"/>
  <c r="T46" i="33"/>
  <c r="S46" i="33"/>
  <c r="R46" i="33"/>
  <c r="M46" i="33"/>
  <c r="K46" i="33"/>
  <c r="J46" i="33"/>
  <c r="A44" i="33"/>
  <c r="A57" i="33" s="1"/>
  <c r="A70" i="33" s="1"/>
  <c r="A83" i="33" s="1"/>
  <c r="A96" i="33" s="1"/>
  <c r="A109" i="33" s="1"/>
  <c r="A122" i="33" s="1"/>
  <c r="A135" i="33" s="1"/>
  <c r="A148" i="33" s="1"/>
  <c r="A161" i="33" s="1"/>
  <c r="A174" i="33" s="1"/>
  <c r="A187" i="33" s="1"/>
  <c r="A200" i="33" s="1"/>
  <c r="A213" i="33" s="1"/>
  <c r="N43" i="33"/>
  <c r="G43" i="33"/>
  <c r="H43" i="33" s="1"/>
  <c r="P43" i="33" s="1"/>
  <c r="AA40" i="33"/>
  <c r="Z40" i="33"/>
  <c r="Y40" i="33"/>
  <c r="X40" i="33"/>
  <c r="W40" i="33"/>
  <c r="V40" i="33"/>
  <c r="U40" i="33"/>
  <c r="T40" i="33"/>
  <c r="S40" i="33"/>
  <c r="R40" i="33"/>
  <c r="M40" i="33"/>
  <c r="L40" i="33"/>
  <c r="K40" i="33"/>
  <c r="J40" i="33"/>
  <c r="AC39" i="33"/>
  <c r="AB39" i="33"/>
  <c r="Q39" i="33"/>
  <c r="P39" i="33"/>
  <c r="G39" i="33"/>
  <c r="H39" i="33" s="1"/>
  <c r="O39" i="33" s="1"/>
  <c r="AB38" i="33"/>
  <c r="AC38" i="33" s="1"/>
  <c r="G38" i="33"/>
  <c r="H38" i="33" s="1"/>
  <c r="O38" i="33" s="1"/>
  <c r="AC37" i="33"/>
  <c r="AB37" i="33"/>
  <c r="H37" i="33"/>
  <c r="O37" i="33" s="1"/>
  <c r="G37" i="33"/>
  <c r="AC36" i="33"/>
  <c r="AB36" i="33"/>
  <c r="G36" i="33"/>
  <c r="H36" i="33" s="1"/>
  <c r="O36" i="33" s="1"/>
  <c r="AB35" i="33"/>
  <c r="AC35" i="33" s="1"/>
  <c r="H35" i="33"/>
  <c r="O35" i="33" s="1"/>
  <c r="Q35" i="33" s="1"/>
  <c r="G35" i="33"/>
  <c r="AB34" i="33"/>
  <c r="AC34" i="33" s="1"/>
  <c r="Q34" i="33"/>
  <c r="G34" i="33"/>
  <c r="H34" i="33" s="1"/>
  <c r="O34" i="33" s="1"/>
  <c r="AC33" i="33"/>
  <c r="AA33" i="33"/>
  <c r="Z33" i="33"/>
  <c r="Y33" i="33"/>
  <c r="X33" i="33"/>
  <c r="W33" i="33"/>
  <c r="V33" i="33"/>
  <c r="U33" i="33"/>
  <c r="T33" i="33"/>
  <c r="S33" i="33"/>
  <c r="R33" i="33"/>
  <c r="M33" i="33"/>
  <c r="K33" i="33"/>
  <c r="J33" i="33"/>
  <c r="R32" i="33"/>
  <c r="R45" i="33" s="1"/>
  <c r="B32" i="33"/>
  <c r="B45" i="33" s="1"/>
  <c r="B58" i="33" s="1"/>
  <c r="B71" i="33" s="1"/>
  <c r="B84" i="33" s="1"/>
  <c r="B97" i="33" s="1"/>
  <c r="A31" i="33"/>
  <c r="P30" i="33"/>
  <c r="H30" i="33"/>
  <c r="G30" i="33"/>
  <c r="AA27" i="33"/>
  <c r="Z27" i="33"/>
  <c r="Y27" i="33"/>
  <c r="X27" i="33"/>
  <c r="W27" i="33"/>
  <c r="V27" i="33"/>
  <c r="U27" i="33"/>
  <c r="T27" i="33"/>
  <c r="S27" i="33"/>
  <c r="AB27" i="33" s="1"/>
  <c r="AC27" i="33" s="1"/>
  <c r="R27" i="33"/>
  <c r="M27" i="33"/>
  <c r="L27" i="33"/>
  <c r="N30" i="33" s="1"/>
  <c r="K27" i="33"/>
  <c r="J27" i="33"/>
  <c r="AB26" i="33"/>
  <c r="AC26" i="33" s="1"/>
  <c r="O26" i="33"/>
  <c r="Q26" i="33" s="1"/>
  <c r="P26" i="33"/>
  <c r="H26" i="33"/>
  <c r="G26" i="33"/>
  <c r="AB25" i="33"/>
  <c r="AC25" i="33" s="1"/>
  <c r="G25" i="33"/>
  <c r="H25" i="33" s="1"/>
  <c r="O25" i="33" s="1"/>
  <c r="Q25" i="33" s="1"/>
  <c r="AC24" i="33"/>
  <c r="AB24" i="33"/>
  <c r="G24" i="33"/>
  <c r="H24" i="33" s="1"/>
  <c r="O24" i="33" s="1"/>
  <c r="Q24" i="33" s="1"/>
  <c r="AC23" i="33"/>
  <c r="AB23" i="33"/>
  <c r="P23" i="33"/>
  <c r="H23" i="33"/>
  <c r="O23" i="33" s="1"/>
  <c r="Q23" i="33" s="1"/>
  <c r="G23" i="33"/>
  <c r="AB22" i="33"/>
  <c r="AC22" i="33" s="1"/>
  <c r="G22" i="33"/>
  <c r="H22" i="33" s="1"/>
  <c r="O22" i="33" s="1"/>
  <c r="Q22" i="33" s="1"/>
  <c r="AB21" i="33"/>
  <c r="AC21" i="33" s="1"/>
  <c r="G21" i="33"/>
  <c r="H21" i="33" s="1"/>
  <c r="AC20" i="33"/>
  <c r="AA20" i="33"/>
  <c r="Z20" i="33"/>
  <c r="Y20" i="33"/>
  <c r="X20" i="33"/>
  <c r="W20" i="33"/>
  <c r="V20" i="33"/>
  <c r="U20" i="33"/>
  <c r="T20" i="33"/>
  <c r="S20" i="33"/>
  <c r="R20" i="33"/>
  <c r="M20" i="33"/>
  <c r="K20" i="33"/>
  <c r="J20" i="33"/>
  <c r="R19" i="33"/>
  <c r="B19" i="33"/>
  <c r="P17" i="33"/>
  <c r="H17" i="33"/>
  <c r="G17" i="33"/>
  <c r="AA14" i="33"/>
  <c r="Z14" i="33"/>
  <c r="AB14" i="33" s="1"/>
  <c r="AC14" i="33" s="1"/>
  <c r="Y14" i="33"/>
  <c r="X14" i="33"/>
  <c r="W14" i="33"/>
  <c r="V14" i="33"/>
  <c r="U14" i="33"/>
  <c r="T14" i="33"/>
  <c r="S14" i="33"/>
  <c r="R14" i="33"/>
  <c r="M14" i="33"/>
  <c r="L14" i="33"/>
  <c r="K14" i="33"/>
  <c r="N17" i="33" s="1"/>
  <c r="J14" i="33"/>
  <c r="AB13" i="33"/>
  <c r="AC13" i="33" s="1"/>
  <c r="G13" i="33"/>
  <c r="H13" i="33" s="1"/>
  <c r="AC12" i="33"/>
  <c r="AB12" i="33"/>
  <c r="O12" i="33"/>
  <c r="Q12" i="33" s="1"/>
  <c r="P12" i="33"/>
  <c r="G12" i="33"/>
  <c r="H12" i="33" s="1"/>
  <c r="AB11" i="33"/>
  <c r="AC11" i="33" s="1"/>
  <c r="O11" i="33"/>
  <c r="G11" i="33"/>
  <c r="H11" i="33" s="1"/>
  <c r="AB10" i="33"/>
  <c r="AC10" i="33" s="1"/>
  <c r="G10" i="33"/>
  <c r="H10" i="33" s="1"/>
  <c r="O10" i="33" s="1"/>
  <c r="AC9" i="33"/>
  <c r="AB9" i="33"/>
  <c r="O9" i="33"/>
  <c r="Q9" i="33" s="1"/>
  <c r="G9" i="33"/>
  <c r="H9" i="33" s="1"/>
  <c r="AB8" i="33"/>
  <c r="AC8" i="33" s="1"/>
  <c r="Q8" i="33"/>
  <c r="G8" i="33"/>
  <c r="H8" i="33" s="1"/>
  <c r="O8" i="33" s="1"/>
  <c r="AA7" i="33"/>
  <c r="Z7" i="33"/>
  <c r="Y7" i="33"/>
  <c r="X7" i="33"/>
  <c r="W7" i="33"/>
  <c r="V7" i="33"/>
  <c r="U7" i="33"/>
  <c r="T7" i="33"/>
  <c r="S7" i="33"/>
  <c r="R7" i="33"/>
  <c r="M7" i="33"/>
  <c r="K7" i="33"/>
  <c r="J7" i="33"/>
  <c r="E2" i="33"/>
  <c r="N199" i="32"/>
  <c r="H199" i="32"/>
  <c r="P199" i="32" s="1"/>
  <c r="G199" i="32"/>
  <c r="AA196" i="32"/>
  <c r="Z196" i="32"/>
  <c r="Y196" i="32"/>
  <c r="X196" i="32"/>
  <c r="W196" i="32"/>
  <c r="V196" i="32"/>
  <c r="U196" i="32"/>
  <c r="T196" i="32"/>
  <c r="S196" i="32"/>
  <c r="R196" i="32"/>
  <c r="M196" i="32"/>
  <c r="L196" i="32"/>
  <c r="K196" i="32"/>
  <c r="J196" i="32"/>
  <c r="AB195" i="32"/>
  <c r="AC195" i="32" s="1"/>
  <c r="O195" i="32"/>
  <c r="Q195" i="32" s="1"/>
  <c r="H195" i="32"/>
  <c r="G195" i="32"/>
  <c r="AB194" i="32"/>
  <c r="AC194" i="32" s="1"/>
  <c r="G194" i="32"/>
  <c r="H194" i="32" s="1"/>
  <c r="O194" i="32" s="1"/>
  <c r="Q194" i="32" s="1"/>
  <c r="AC193" i="32"/>
  <c r="AB193" i="32"/>
  <c r="G193" i="32"/>
  <c r="H193" i="32" s="1"/>
  <c r="O193" i="32" s="1"/>
  <c r="Q193" i="32" s="1"/>
  <c r="AB192" i="32"/>
  <c r="AC192" i="32" s="1"/>
  <c r="O192" i="32"/>
  <c r="Q192" i="32" s="1"/>
  <c r="H192" i="32"/>
  <c r="G192" i="32"/>
  <c r="AB191" i="32"/>
  <c r="AC191" i="32" s="1"/>
  <c r="G191" i="32"/>
  <c r="H191" i="32" s="1"/>
  <c r="O191" i="32" s="1"/>
  <c r="Q191" i="32" s="1"/>
  <c r="AC190" i="32"/>
  <c r="AB190" i="32"/>
  <c r="G190" i="32"/>
  <c r="H190" i="32" s="1"/>
  <c r="O190" i="32" s="1"/>
  <c r="Q190" i="32" s="1"/>
  <c r="AC189" i="32"/>
  <c r="AA189" i="32"/>
  <c r="Z189" i="32"/>
  <c r="Y189" i="32"/>
  <c r="X189" i="32"/>
  <c r="W189" i="32"/>
  <c r="V189" i="32"/>
  <c r="U189" i="32"/>
  <c r="T189" i="32"/>
  <c r="S189" i="32"/>
  <c r="R189" i="32"/>
  <c r="M189" i="32"/>
  <c r="K189" i="32"/>
  <c r="J189" i="32"/>
  <c r="G186" i="32"/>
  <c r="H186" i="32" s="1"/>
  <c r="P186" i="32" s="1"/>
  <c r="AA183" i="32"/>
  <c r="Z183" i="32"/>
  <c r="Y183" i="32"/>
  <c r="X183" i="32"/>
  <c r="W183" i="32"/>
  <c r="AB183" i="32" s="1"/>
  <c r="AC183" i="32" s="1"/>
  <c r="V183" i="32"/>
  <c r="U183" i="32"/>
  <c r="T183" i="32"/>
  <c r="S183" i="32"/>
  <c r="R183" i="32"/>
  <c r="M183" i="32"/>
  <c r="L183" i="32"/>
  <c r="K183" i="32"/>
  <c r="J183" i="32"/>
  <c r="N186" i="32" s="1"/>
  <c r="AB182" i="32"/>
  <c r="AC182" i="32" s="1"/>
  <c r="G182" i="32"/>
  <c r="H182" i="32" s="1"/>
  <c r="O182" i="32" s="1"/>
  <c r="Q182" i="32" s="1"/>
  <c r="AC181" i="32"/>
  <c r="AB181" i="32"/>
  <c r="P181" i="32"/>
  <c r="G181" i="32"/>
  <c r="H181" i="32" s="1"/>
  <c r="O181" i="32" s="1"/>
  <c r="Q181" i="32" s="1"/>
  <c r="AB180" i="32"/>
  <c r="AC180" i="32" s="1"/>
  <c r="O180" i="32"/>
  <c r="Q180" i="32" s="1"/>
  <c r="P180" i="32"/>
  <c r="H180" i="32"/>
  <c r="G180" i="32"/>
  <c r="AB179" i="32"/>
  <c r="AC179" i="32" s="1"/>
  <c r="G179" i="32"/>
  <c r="H179" i="32" s="1"/>
  <c r="O179" i="32" s="1"/>
  <c r="Q179" i="32" s="1"/>
  <c r="AB178" i="32"/>
  <c r="AC178" i="32" s="1"/>
  <c r="G178" i="32"/>
  <c r="H178" i="32" s="1"/>
  <c r="O178" i="32" s="1"/>
  <c r="Q178" i="32" s="1"/>
  <c r="AB177" i="32"/>
  <c r="AC177" i="32" s="1"/>
  <c r="Q177" i="32"/>
  <c r="O177" i="32"/>
  <c r="H177" i="32"/>
  <c r="G177" i="32"/>
  <c r="AC176" i="32"/>
  <c r="AA176" i="32"/>
  <c r="Z176" i="32"/>
  <c r="Y176" i="32"/>
  <c r="X176" i="32"/>
  <c r="W176" i="32"/>
  <c r="V176" i="32"/>
  <c r="U176" i="32"/>
  <c r="T176" i="32"/>
  <c r="S176" i="32"/>
  <c r="R176" i="32"/>
  <c r="M176" i="32"/>
  <c r="K176" i="32"/>
  <c r="J176" i="32"/>
  <c r="N173" i="32"/>
  <c r="H173" i="32"/>
  <c r="P173" i="32" s="1"/>
  <c r="G173" i="32"/>
  <c r="AA170" i="32"/>
  <c r="Z170" i="32"/>
  <c r="Y170" i="32"/>
  <c r="X170" i="32"/>
  <c r="W170" i="32"/>
  <c r="V170" i="32"/>
  <c r="U170" i="32"/>
  <c r="T170" i="32"/>
  <c r="S170" i="32"/>
  <c r="R170" i="32"/>
  <c r="AB170" i="32" s="1"/>
  <c r="AC170" i="32" s="1"/>
  <c r="M170" i="32"/>
  <c r="L170" i="32"/>
  <c r="K170" i="32"/>
  <c r="J170" i="32"/>
  <c r="AB169" i="32"/>
  <c r="AC169" i="32" s="1"/>
  <c r="G169" i="32"/>
  <c r="H169" i="32" s="1"/>
  <c r="O169" i="32" s="1"/>
  <c r="P169" i="32" s="1"/>
  <c r="AB168" i="32"/>
  <c r="AC168" i="32" s="1"/>
  <c r="O168" i="32"/>
  <c r="Q168" i="32" s="1"/>
  <c r="H168" i="32"/>
  <c r="G168" i="32"/>
  <c r="AC167" i="32"/>
  <c r="AB167" i="32"/>
  <c r="G167" i="32"/>
  <c r="H167" i="32" s="1"/>
  <c r="O167" i="32" s="1"/>
  <c r="Q167" i="32" s="1"/>
  <c r="AB166" i="32"/>
  <c r="AC166" i="32" s="1"/>
  <c r="Q166" i="32"/>
  <c r="G166" i="32"/>
  <c r="H166" i="32" s="1"/>
  <c r="O166" i="32" s="1"/>
  <c r="AB165" i="32"/>
  <c r="AC165" i="32" s="1"/>
  <c r="H165" i="32"/>
  <c r="O165" i="32" s="1"/>
  <c r="Q165" i="32" s="1"/>
  <c r="G165" i="32"/>
  <c r="AC164" i="32"/>
  <c r="AB164" i="32"/>
  <c r="H164" i="32"/>
  <c r="G164" i="32"/>
  <c r="AC163" i="32"/>
  <c r="AA163" i="32"/>
  <c r="Z163" i="32"/>
  <c r="Y163" i="32"/>
  <c r="X163" i="32"/>
  <c r="W163" i="32"/>
  <c r="V163" i="32"/>
  <c r="U163" i="32"/>
  <c r="T163" i="32"/>
  <c r="S163" i="32"/>
  <c r="R163" i="32"/>
  <c r="M163" i="32"/>
  <c r="K163" i="32"/>
  <c r="J163" i="32"/>
  <c r="N160" i="32"/>
  <c r="G160" i="32"/>
  <c r="H160" i="32" s="1"/>
  <c r="P160" i="32" s="1"/>
  <c r="AA157" i="32"/>
  <c r="Z157" i="32"/>
  <c r="Y157" i="32"/>
  <c r="X157" i="32"/>
  <c r="W157" i="32"/>
  <c r="V157" i="32"/>
  <c r="U157" i="32"/>
  <c r="T157" i="32"/>
  <c r="S157" i="32"/>
  <c r="R157" i="32"/>
  <c r="M157" i="32"/>
  <c r="L157" i="32"/>
  <c r="K157" i="32"/>
  <c r="J157" i="32"/>
  <c r="AB156" i="32"/>
  <c r="AC156" i="32" s="1"/>
  <c r="G156" i="32"/>
  <c r="H156" i="32" s="1"/>
  <c r="O156" i="32" s="1"/>
  <c r="Q156" i="32" s="1"/>
  <c r="AC155" i="32"/>
  <c r="AB155" i="32"/>
  <c r="G155" i="32"/>
  <c r="H155" i="32" s="1"/>
  <c r="O155" i="32" s="1"/>
  <c r="Q155" i="32" s="1"/>
  <c r="AB154" i="32"/>
  <c r="AC154" i="32" s="1"/>
  <c r="G154" i="32"/>
  <c r="H154" i="32" s="1"/>
  <c r="O154" i="32" s="1"/>
  <c r="Q154" i="32" s="1"/>
  <c r="AB153" i="32"/>
  <c r="AC153" i="32" s="1"/>
  <c r="Q153" i="32"/>
  <c r="O153" i="32"/>
  <c r="P153" i="32"/>
  <c r="H153" i="32"/>
  <c r="G153" i="32"/>
  <c r="AC152" i="32"/>
  <c r="AB152" i="32"/>
  <c r="G152" i="32"/>
  <c r="H152" i="32" s="1"/>
  <c r="O152" i="32" s="1"/>
  <c r="Q152" i="32" s="1"/>
  <c r="AB151" i="32"/>
  <c r="AC151" i="32" s="1"/>
  <c r="G151" i="32"/>
  <c r="H151" i="32" s="1"/>
  <c r="AC150" i="32"/>
  <c r="AA150" i="32"/>
  <c r="Z150" i="32"/>
  <c r="Y150" i="32"/>
  <c r="X150" i="32"/>
  <c r="W150" i="32"/>
  <c r="V150" i="32"/>
  <c r="U150" i="32"/>
  <c r="T150" i="32"/>
  <c r="S150" i="32"/>
  <c r="R150" i="32"/>
  <c r="M150" i="32"/>
  <c r="K150" i="32"/>
  <c r="J150" i="32"/>
  <c r="P147" i="32"/>
  <c r="H147" i="32"/>
  <c r="G147" i="32"/>
  <c r="AA144" i="32"/>
  <c r="Z144" i="32"/>
  <c r="Y144" i="32"/>
  <c r="X144" i="32"/>
  <c r="W144" i="32"/>
  <c r="V144" i="32"/>
  <c r="U144" i="32"/>
  <c r="T144" i="32"/>
  <c r="S144" i="32"/>
  <c r="AB144" i="32" s="1"/>
  <c r="R144" i="32"/>
  <c r="M144" i="32"/>
  <c r="L144" i="32"/>
  <c r="N147" i="32" s="1"/>
  <c r="K144" i="32"/>
  <c r="J144" i="32"/>
  <c r="AC143" i="32"/>
  <c r="AB143" i="32"/>
  <c r="G143" i="32"/>
  <c r="H143" i="32" s="1"/>
  <c r="O143" i="32" s="1"/>
  <c r="Q143" i="32" s="1"/>
  <c r="AB142" i="32"/>
  <c r="AC142" i="32" s="1"/>
  <c r="O142" i="32"/>
  <c r="Q142" i="32" s="1"/>
  <c r="H142" i="32"/>
  <c r="G142" i="32"/>
  <c r="AB141" i="32"/>
  <c r="AC141" i="32" s="1"/>
  <c r="P141" i="32"/>
  <c r="G141" i="32"/>
  <c r="H141" i="32" s="1"/>
  <c r="O141" i="32" s="1"/>
  <c r="Q141" i="32" s="1"/>
  <c r="AC140" i="32"/>
  <c r="AB140" i="32"/>
  <c r="P140" i="32"/>
  <c r="G140" i="32"/>
  <c r="H140" i="32" s="1"/>
  <c r="O140" i="32" s="1"/>
  <c r="Q140" i="32" s="1"/>
  <c r="AC139" i="32"/>
  <c r="AB139" i="32"/>
  <c r="O139" i="32"/>
  <c r="Q139" i="32" s="1"/>
  <c r="H139" i="32"/>
  <c r="G139" i="32"/>
  <c r="AB138" i="32"/>
  <c r="AC138" i="32" s="1"/>
  <c r="O138" i="32"/>
  <c r="Q138" i="32" s="1"/>
  <c r="H138" i="32"/>
  <c r="G138" i="32"/>
  <c r="AC137" i="32"/>
  <c r="AA137" i="32"/>
  <c r="Z137" i="32"/>
  <c r="Y137" i="32"/>
  <c r="X137" i="32"/>
  <c r="W137" i="32"/>
  <c r="V137" i="32"/>
  <c r="U137" i="32"/>
  <c r="T137" i="32"/>
  <c r="S137" i="32"/>
  <c r="R137" i="32"/>
  <c r="M137" i="32"/>
  <c r="K137" i="32"/>
  <c r="J137" i="32"/>
  <c r="G134" i="32"/>
  <c r="H134" i="32" s="1"/>
  <c r="P134" i="32" s="1"/>
  <c r="AA131" i="32"/>
  <c r="AB131" i="32" s="1"/>
  <c r="Z131" i="32"/>
  <c r="Y131" i="32"/>
  <c r="X131" i="32"/>
  <c r="W131" i="32"/>
  <c r="V131" i="32"/>
  <c r="U131" i="32"/>
  <c r="T131" i="32"/>
  <c r="S131" i="32"/>
  <c r="R131" i="32"/>
  <c r="M131" i="32"/>
  <c r="L131" i="32"/>
  <c r="K131" i="32"/>
  <c r="J131" i="32"/>
  <c r="N134" i="32" s="1"/>
  <c r="AB130" i="32"/>
  <c r="AC130" i="32" s="1"/>
  <c r="O130" i="32"/>
  <c r="Q130" i="32" s="1"/>
  <c r="P130" i="32"/>
  <c r="H130" i="32"/>
  <c r="G130" i="32"/>
  <c r="AB129" i="32"/>
  <c r="AC129" i="32" s="1"/>
  <c r="G129" i="32"/>
  <c r="H129" i="32" s="1"/>
  <c r="O129" i="32" s="1"/>
  <c r="Q129" i="32" s="1"/>
  <c r="AB128" i="32"/>
  <c r="AC128" i="32" s="1"/>
  <c r="G128" i="32"/>
  <c r="H128" i="32" s="1"/>
  <c r="O128" i="32" s="1"/>
  <c r="Q128" i="32" s="1"/>
  <c r="AB127" i="32"/>
  <c r="AC127" i="32" s="1"/>
  <c r="Q127" i="32"/>
  <c r="O127" i="32"/>
  <c r="P127" i="32"/>
  <c r="H127" i="32"/>
  <c r="G127" i="32"/>
  <c r="AB126" i="32"/>
  <c r="AC126" i="32" s="1"/>
  <c r="G126" i="32"/>
  <c r="H126" i="32" s="1"/>
  <c r="O126" i="32" s="1"/>
  <c r="Q126" i="32" s="1"/>
  <c r="AC125" i="32"/>
  <c r="AB125" i="32"/>
  <c r="G125" i="32"/>
  <c r="H125" i="32" s="1"/>
  <c r="AC124" i="32"/>
  <c r="AA124" i="32"/>
  <c r="Z124" i="32"/>
  <c r="Y124" i="32"/>
  <c r="X124" i="32"/>
  <c r="W124" i="32"/>
  <c r="V124" i="32"/>
  <c r="U124" i="32"/>
  <c r="T124" i="32"/>
  <c r="S124" i="32"/>
  <c r="R124" i="32"/>
  <c r="M124" i="32"/>
  <c r="K124" i="32"/>
  <c r="J124" i="32"/>
  <c r="G121" i="32"/>
  <c r="H121" i="32" s="1"/>
  <c r="P121" i="32" s="1"/>
  <c r="AA118" i="32"/>
  <c r="Z118" i="32"/>
  <c r="Y118" i="32"/>
  <c r="X118" i="32"/>
  <c r="W118" i="32"/>
  <c r="V118" i="32"/>
  <c r="U118" i="32"/>
  <c r="T118" i="32"/>
  <c r="S118" i="32"/>
  <c r="R118" i="32"/>
  <c r="M118" i="32"/>
  <c r="L118" i="32"/>
  <c r="K118" i="32"/>
  <c r="J118" i="32"/>
  <c r="N121" i="32" s="1"/>
  <c r="AC117" i="32"/>
  <c r="AB117" i="32"/>
  <c r="G117" i="32"/>
  <c r="H117" i="32" s="1"/>
  <c r="O117" i="32" s="1"/>
  <c r="Q117" i="32" s="1"/>
  <c r="AB116" i="32"/>
  <c r="AC116" i="32" s="1"/>
  <c r="G116" i="32"/>
  <c r="H116" i="32" s="1"/>
  <c r="O116" i="32" s="1"/>
  <c r="AB115" i="32"/>
  <c r="AC115" i="32" s="1"/>
  <c r="Q115" i="32"/>
  <c r="O115" i="32"/>
  <c r="H115" i="32"/>
  <c r="G115" i="32"/>
  <c r="AC114" i="32"/>
  <c r="AB114" i="32"/>
  <c r="G114" i="32"/>
  <c r="H114" i="32" s="1"/>
  <c r="O114" i="32" s="1"/>
  <c r="Q114" i="32" s="1"/>
  <c r="AC113" i="32"/>
  <c r="AB113" i="32"/>
  <c r="Q113" i="32"/>
  <c r="G113" i="32"/>
  <c r="H113" i="32" s="1"/>
  <c r="O113" i="32" s="1"/>
  <c r="AB112" i="32"/>
  <c r="AC112" i="32" s="1"/>
  <c r="H112" i="32"/>
  <c r="O112" i="32" s="1"/>
  <c r="Q112" i="32" s="1"/>
  <c r="G112" i="32"/>
  <c r="AC111" i="32"/>
  <c r="AA111" i="32"/>
  <c r="Z111" i="32"/>
  <c r="Y111" i="32"/>
  <c r="X111" i="32"/>
  <c r="W111" i="32"/>
  <c r="V111" i="32"/>
  <c r="U111" i="32"/>
  <c r="T111" i="32"/>
  <c r="S111" i="32"/>
  <c r="R111" i="32"/>
  <c r="M111" i="32"/>
  <c r="K111" i="32"/>
  <c r="J111" i="32"/>
  <c r="G108" i="32"/>
  <c r="H108" i="32" s="1"/>
  <c r="P108" i="32" s="1"/>
  <c r="AA105" i="32"/>
  <c r="Z105" i="32"/>
  <c r="Y105" i="32"/>
  <c r="X105" i="32"/>
  <c r="W105" i="32"/>
  <c r="V105" i="32"/>
  <c r="U105" i="32"/>
  <c r="T105" i="32"/>
  <c r="S105" i="32"/>
  <c r="R105" i="32"/>
  <c r="AB105" i="32" s="1"/>
  <c r="M105" i="32"/>
  <c r="L105" i="32"/>
  <c r="K105" i="32"/>
  <c r="J105" i="32"/>
  <c r="AC104" i="32"/>
  <c r="AB104" i="32"/>
  <c r="G104" i="32"/>
  <c r="H104" i="32" s="1"/>
  <c r="O104" i="32" s="1"/>
  <c r="Q104" i="32" s="1"/>
  <c r="AB103" i="32"/>
  <c r="AC103" i="32" s="1"/>
  <c r="G103" i="32"/>
  <c r="H103" i="32" s="1"/>
  <c r="O103" i="32" s="1"/>
  <c r="Q103" i="32" s="1"/>
  <c r="AC102" i="32"/>
  <c r="AB102" i="32"/>
  <c r="G102" i="32"/>
  <c r="H102" i="32" s="1"/>
  <c r="O102" i="32" s="1"/>
  <c r="Q102" i="32" s="1"/>
  <c r="AB101" i="32"/>
  <c r="AC101" i="32" s="1"/>
  <c r="G101" i="32"/>
  <c r="H101" i="32" s="1"/>
  <c r="O101" i="32" s="1"/>
  <c r="AB100" i="32"/>
  <c r="AC100" i="32" s="1"/>
  <c r="G100" i="32"/>
  <c r="H100" i="32" s="1"/>
  <c r="O100" i="32" s="1"/>
  <c r="AC99" i="32"/>
  <c r="AB99" i="32"/>
  <c r="H99" i="32"/>
  <c r="O99" i="32" s="1"/>
  <c r="Q99" i="32" s="1"/>
  <c r="G99" i="32"/>
  <c r="AC98" i="32"/>
  <c r="AA98" i="32"/>
  <c r="Z98" i="32"/>
  <c r="Y98" i="32"/>
  <c r="X98" i="32"/>
  <c r="W98" i="32"/>
  <c r="V98" i="32"/>
  <c r="U98" i="32"/>
  <c r="T98" i="32"/>
  <c r="S98" i="32"/>
  <c r="R98" i="32"/>
  <c r="M98" i="32"/>
  <c r="K98" i="32"/>
  <c r="J98" i="32"/>
  <c r="G95" i="32"/>
  <c r="H95" i="32" s="1"/>
  <c r="P95" i="32" s="1"/>
  <c r="AA92" i="32"/>
  <c r="Z92" i="32"/>
  <c r="Y92" i="32"/>
  <c r="X92" i="32"/>
  <c r="AB92" i="32" s="1"/>
  <c r="AC92" i="32" s="1"/>
  <c r="W92" i="32"/>
  <c r="V92" i="32"/>
  <c r="U92" i="32"/>
  <c r="T92" i="32"/>
  <c r="S92" i="32"/>
  <c r="R92" i="32"/>
  <c r="M92" i="32"/>
  <c r="L92" i="32"/>
  <c r="N95" i="32" s="1"/>
  <c r="K92" i="32"/>
  <c r="J92" i="32"/>
  <c r="AB91" i="32"/>
  <c r="AC91" i="32" s="1"/>
  <c r="G91" i="32"/>
  <c r="H91" i="32" s="1"/>
  <c r="O91" i="32" s="1"/>
  <c r="Q91" i="32" s="1"/>
  <c r="AC90" i="32"/>
  <c r="AB90" i="32"/>
  <c r="G90" i="32"/>
  <c r="H90" i="32" s="1"/>
  <c r="O90" i="32" s="1"/>
  <c r="Q90" i="32" s="1"/>
  <c r="AB89" i="32"/>
  <c r="AC89" i="32" s="1"/>
  <c r="O89" i="32"/>
  <c r="Q89" i="32" s="1"/>
  <c r="H89" i="32"/>
  <c r="G89" i="32"/>
  <c r="AB88" i="32"/>
  <c r="AC88" i="32" s="1"/>
  <c r="Q88" i="32"/>
  <c r="P88" i="32"/>
  <c r="O88" i="32"/>
  <c r="H88" i="32"/>
  <c r="G88" i="32"/>
  <c r="AC87" i="32"/>
  <c r="AB87" i="32"/>
  <c r="G87" i="32"/>
  <c r="H87" i="32" s="1"/>
  <c r="O87" i="32" s="1"/>
  <c r="Q87" i="32" s="1"/>
  <c r="AB86" i="32"/>
  <c r="AC86" i="32" s="1"/>
  <c r="Q86" i="32"/>
  <c r="O86" i="32"/>
  <c r="H86" i="32"/>
  <c r="G86" i="32"/>
  <c r="AC85" i="32"/>
  <c r="AA85" i="32"/>
  <c r="Z85" i="32"/>
  <c r="Y85" i="32"/>
  <c r="X85" i="32"/>
  <c r="W85" i="32"/>
  <c r="V85" i="32"/>
  <c r="U85" i="32"/>
  <c r="T85" i="32"/>
  <c r="S85" i="32"/>
  <c r="R85" i="32"/>
  <c r="M85" i="32"/>
  <c r="K85" i="32"/>
  <c r="J85" i="32"/>
  <c r="P82" i="32"/>
  <c r="N82" i="32"/>
  <c r="H82" i="32"/>
  <c r="G82" i="32"/>
  <c r="AA79" i="32"/>
  <c r="Z79" i="32"/>
  <c r="Y79" i="32"/>
  <c r="X79" i="32"/>
  <c r="W79" i="32"/>
  <c r="V79" i="32"/>
  <c r="U79" i="32"/>
  <c r="T79" i="32"/>
  <c r="S79" i="32"/>
  <c r="R79" i="32"/>
  <c r="AB79" i="32" s="1"/>
  <c r="AC79" i="32" s="1"/>
  <c r="M79" i="32"/>
  <c r="L79" i="32"/>
  <c r="K79" i="32"/>
  <c r="J79" i="32"/>
  <c r="AB78" i="32"/>
  <c r="AC78" i="32" s="1"/>
  <c r="G78" i="32"/>
  <c r="H78" i="32" s="1"/>
  <c r="O78" i="32" s="1"/>
  <c r="Q78" i="32" s="1"/>
  <c r="AB77" i="32"/>
  <c r="AC77" i="32" s="1"/>
  <c r="Q77" i="32"/>
  <c r="O77" i="32"/>
  <c r="P77" i="32"/>
  <c r="H77" i="32"/>
  <c r="G77" i="32"/>
  <c r="AB76" i="32"/>
  <c r="AC76" i="32" s="1"/>
  <c r="G76" i="32"/>
  <c r="H76" i="32" s="1"/>
  <c r="O76" i="32" s="1"/>
  <c r="Q76" i="32" s="1"/>
  <c r="AC75" i="32"/>
  <c r="AB75" i="32"/>
  <c r="P75" i="32"/>
  <c r="G75" i="32"/>
  <c r="H75" i="32" s="1"/>
  <c r="O75" i="32" s="1"/>
  <c r="Q75" i="32" s="1"/>
  <c r="AB74" i="32"/>
  <c r="AC74" i="32" s="1"/>
  <c r="O74" i="32"/>
  <c r="Q74" i="32" s="1"/>
  <c r="P74" i="32"/>
  <c r="H74" i="32"/>
  <c r="G74" i="32"/>
  <c r="AB73" i="32"/>
  <c r="AC73" i="32" s="1"/>
  <c r="G73" i="32"/>
  <c r="H73" i="32" s="1"/>
  <c r="AC72" i="32"/>
  <c r="AA72" i="32"/>
  <c r="Z72" i="32"/>
  <c r="Y72" i="32"/>
  <c r="X72" i="32"/>
  <c r="W72" i="32"/>
  <c r="V72" i="32"/>
  <c r="U72" i="32"/>
  <c r="T72" i="32"/>
  <c r="S72" i="32"/>
  <c r="R72" i="32"/>
  <c r="M72" i="32"/>
  <c r="K72" i="32"/>
  <c r="J72" i="32"/>
  <c r="N69" i="32"/>
  <c r="G69" i="32"/>
  <c r="H69" i="32" s="1"/>
  <c r="P69" i="32" s="1"/>
  <c r="AB66" i="32"/>
  <c r="AC66" i="32" s="1"/>
  <c r="AA66" i="32"/>
  <c r="Z66" i="32"/>
  <c r="Y66" i="32"/>
  <c r="X66" i="32"/>
  <c r="W66" i="32"/>
  <c r="V66" i="32"/>
  <c r="U66" i="32"/>
  <c r="T66" i="32"/>
  <c r="S66" i="32"/>
  <c r="R66" i="32"/>
  <c r="M66" i="32"/>
  <c r="L66" i="32"/>
  <c r="K66" i="32"/>
  <c r="J66" i="32"/>
  <c r="AB65" i="32"/>
  <c r="AC65" i="32" s="1"/>
  <c r="O65" i="32"/>
  <c r="Q65" i="32" s="1"/>
  <c r="P65" i="32"/>
  <c r="H65" i="32"/>
  <c r="G65" i="32"/>
  <c r="AC64" i="32"/>
  <c r="AB64" i="32"/>
  <c r="G64" i="32"/>
  <c r="H64" i="32" s="1"/>
  <c r="O64" i="32" s="1"/>
  <c r="Q64" i="32" s="1"/>
  <c r="AB63" i="32"/>
  <c r="AC63" i="32" s="1"/>
  <c r="Q63" i="32"/>
  <c r="G63" i="32"/>
  <c r="H63" i="32" s="1"/>
  <c r="O63" i="32" s="1"/>
  <c r="P63" i="32" s="1"/>
  <c r="AC62" i="32"/>
  <c r="AB62" i="32"/>
  <c r="H62" i="32"/>
  <c r="O62" i="32" s="1"/>
  <c r="Q62" i="32" s="1"/>
  <c r="G62" i="32"/>
  <c r="AC61" i="32"/>
  <c r="AB61" i="32"/>
  <c r="O61" i="32"/>
  <c r="Q61" i="32" s="1"/>
  <c r="H61" i="32"/>
  <c r="G61" i="32"/>
  <c r="AB60" i="32"/>
  <c r="AC60" i="32" s="1"/>
  <c r="G60" i="32"/>
  <c r="H60" i="32" s="1"/>
  <c r="AC59" i="32"/>
  <c r="AA59" i="32"/>
  <c r="Z59" i="32"/>
  <c r="Y59" i="32"/>
  <c r="X59" i="32"/>
  <c r="W59" i="32"/>
  <c r="V59" i="32"/>
  <c r="U59" i="32"/>
  <c r="T59" i="32"/>
  <c r="S59" i="32"/>
  <c r="R59" i="32"/>
  <c r="M59" i="32"/>
  <c r="K59" i="32"/>
  <c r="J59" i="32"/>
  <c r="R58" i="32"/>
  <c r="R71" i="32" s="1"/>
  <c r="R84" i="32" s="1"/>
  <c r="R97" i="32" s="1"/>
  <c r="R110" i="32" s="1"/>
  <c r="R123" i="32" s="1"/>
  <c r="R136" i="32" s="1"/>
  <c r="R149" i="32" s="1"/>
  <c r="R162" i="32" s="1"/>
  <c r="R175" i="32" s="1"/>
  <c r="R188" i="32" s="1"/>
  <c r="B58" i="32"/>
  <c r="B71" i="32" s="1"/>
  <c r="B84" i="32" s="1"/>
  <c r="B97" i="32" s="1"/>
  <c r="B110" i="32" s="1"/>
  <c r="B123" i="32" s="1"/>
  <c r="B136" i="32" s="1"/>
  <c r="B149" i="32" s="1"/>
  <c r="B162" i="32" s="1"/>
  <c r="B175" i="32" s="1"/>
  <c r="B188" i="32" s="1"/>
  <c r="P56" i="32"/>
  <c r="H56" i="32"/>
  <c r="G56" i="32"/>
  <c r="AA53" i="32"/>
  <c r="Z53" i="32"/>
  <c r="Y53" i="32"/>
  <c r="X53" i="32"/>
  <c r="W53" i="32"/>
  <c r="V53" i="32"/>
  <c r="U53" i="32"/>
  <c r="AB53" i="32" s="1"/>
  <c r="AC53" i="32" s="1"/>
  <c r="T53" i="32"/>
  <c r="S53" i="32"/>
  <c r="R53" i="32"/>
  <c r="M53" i="32"/>
  <c r="L53" i="32"/>
  <c r="K53" i="32"/>
  <c r="J53" i="32"/>
  <c r="N56" i="32" s="1"/>
  <c r="AC52" i="32"/>
  <c r="AB52" i="32"/>
  <c r="P52" i="32"/>
  <c r="H52" i="32"/>
  <c r="O52" i="32" s="1"/>
  <c r="Q52" i="32" s="1"/>
  <c r="G52" i="32"/>
  <c r="AB51" i="32"/>
  <c r="AC51" i="32" s="1"/>
  <c r="G51" i="32"/>
  <c r="H51" i="32" s="1"/>
  <c r="O51" i="32" s="1"/>
  <c r="Q51" i="32" s="1"/>
  <c r="AB50" i="32"/>
  <c r="AC50" i="32" s="1"/>
  <c r="G50" i="32"/>
  <c r="H50" i="32" s="1"/>
  <c r="O50" i="32" s="1"/>
  <c r="Q50" i="32" s="1"/>
  <c r="AC49" i="32"/>
  <c r="AB49" i="32"/>
  <c r="G49" i="32"/>
  <c r="H49" i="32" s="1"/>
  <c r="O49" i="32" s="1"/>
  <c r="Q49" i="32" s="1"/>
  <c r="AB48" i="32"/>
  <c r="AC48" i="32" s="1"/>
  <c r="Q48" i="32"/>
  <c r="G48" i="32"/>
  <c r="H48" i="32" s="1"/>
  <c r="O48" i="32" s="1"/>
  <c r="AB47" i="32"/>
  <c r="AC47" i="32" s="1"/>
  <c r="G47" i="32"/>
  <c r="H47" i="32" s="1"/>
  <c r="O47" i="32" s="1"/>
  <c r="Q47" i="32" s="1"/>
  <c r="AC46" i="32"/>
  <c r="AA46" i="32"/>
  <c r="Z46" i="32"/>
  <c r="Y46" i="32"/>
  <c r="X46" i="32"/>
  <c r="W46" i="32"/>
  <c r="V46" i="32"/>
  <c r="U46" i="32"/>
  <c r="T46" i="32"/>
  <c r="S46" i="32"/>
  <c r="R46" i="32"/>
  <c r="M46" i="32"/>
  <c r="K46" i="32"/>
  <c r="J46" i="32"/>
  <c r="A44" i="32"/>
  <c r="A57" i="32" s="1"/>
  <c r="A70" i="32" s="1"/>
  <c r="A83" i="32" s="1"/>
  <c r="A96" i="32" s="1"/>
  <c r="A109" i="32" s="1"/>
  <c r="A122" i="32" s="1"/>
  <c r="A135" i="32" s="1"/>
  <c r="A148" i="32" s="1"/>
  <c r="A161" i="32" s="1"/>
  <c r="A174" i="32" s="1"/>
  <c r="A187" i="32" s="1"/>
  <c r="A200" i="32" s="1"/>
  <c r="G43" i="32"/>
  <c r="H43" i="32" s="1"/>
  <c r="P43" i="32" s="1"/>
  <c r="AB40" i="32"/>
  <c r="AC40" i="32" s="1"/>
  <c r="AA40" i="32"/>
  <c r="Z40" i="32"/>
  <c r="Y40" i="32"/>
  <c r="X40" i="32"/>
  <c r="W40" i="32"/>
  <c r="V40" i="32"/>
  <c r="U40" i="32"/>
  <c r="T40" i="32"/>
  <c r="S40" i="32"/>
  <c r="R40" i="32"/>
  <c r="M40" i="32"/>
  <c r="L40" i="32"/>
  <c r="K40" i="32"/>
  <c r="J40" i="32"/>
  <c r="N43" i="32" s="1"/>
  <c r="AC39" i="32"/>
  <c r="AB39" i="32"/>
  <c r="O39" i="32"/>
  <c r="Q39" i="32" s="1"/>
  <c r="H39" i="32"/>
  <c r="G39" i="32"/>
  <c r="AB38" i="32"/>
  <c r="AC38" i="32" s="1"/>
  <c r="O38" i="32"/>
  <c r="Q38" i="32" s="1"/>
  <c r="H38" i="32"/>
  <c r="G38" i="32"/>
  <c r="AC37" i="32"/>
  <c r="AB37" i="32"/>
  <c r="G37" i="32"/>
  <c r="H37" i="32" s="1"/>
  <c r="O37" i="32" s="1"/>
  <c r="Q37" i="32" s="1"/>
  <c r="AB36" i="32"/>
  <c r="AC36" i="32" s="1"/>
  <c r="Q36" i="32"/>
  <c r="P36" i="32"/>
  <c r="O36" i="32"/>
  <c r="H36" i="32"/>
  <c r="G36" i="32"/>
  <c r="AB35" i="32"/>
  <c r="AC35" i="32" s="1"/>
  <c r="G35" i="32"/>
  <c r="H35" i="32" s="1"/>
  <c r="O35" i="32" s="1"/>
  <c r="Q35" i="32" s="1"/>
  <c r="AC34" i="32"/>
  <c r="AB34" i="32"/>
  <c r="G34" i="32"/>
  <c r="H34" i="32" s="1"/>
  <c r="O34" i="32" s="1"/>
  <c r="Q34" i="32" s="1"/>
  <c r="AC33" i="32"/>
  <c r="AA33" i="32"/>
  <c r="Z33" i="32"/>
  <c r="Y33" i="32"/>
  <c r="X33" i="32"/>
  <c r="W33" i="32"/>
  <c r="V33" i="32"/>
  <c r="U33" i="32"/>
  <c r="T33" i="32"/>
  <c r="S33" i="32"/>
  <c r="R33" i="32"/>
  <c r="M33" i="32"/>
  <c r="K33" i="32"/>
  <c r="J33" i="32"/>
  <c r="R32" i="32"/>
  <c r="R45" i="32" s="1"/>
  <c r="A31" i="32"/>
  <c r="G30" i="32"/>
  <c r="H30" i="32" s="1"/>
  <c r="P30" i="32" s="1"/>
  <c r="AA27" i="32"/>
  <c r="Z27" i="32"/>
  <c r="Y27" i="32"/>
  <c r="X27" i="32"/>
  <c r="W27" i="32"/>
  <c r="AB27" i="32" s="1"/>
  <c r="AC27" i="32" s="1"/>
  <c r="V27" i="32"/>
  <c r="U27" i="32"/>
  <c r="T27" i="32"/>
  <c r="S27" i="32"/>
  <c r="R27" i="32"/>
  <c r="M27" i="32"/>
  <c r="L27" i="32"/>
  <c r="K27" i="32"/>
  <c r="J27" i="32"/>
  <c r="N30" i="32" s="1"/>
  <c r="AB26" i="32"/>
  <c r="AC26" i="32" s="1"/>
  <c r="H26" i="32"/>
  <c r="O26" i="32" s="1"/>
  <c r="Q26" i="32" s="1"/>
  <c r="G26" i="32"/>
  <c r="AC25" i="32"/>
  <c r="AB25" i="32"/>
  <c r="G25" i="32"/>
  <c r="H25" i="32" s="1"/>
  <c r="O25" i="32" s="1"/>
  <c r="Q25" i="32" s="1"/>
  <c r="AB24" i="32"/>
  <c r="AC24" i="32" s="1"/>
  <c r="O24" i="32"/>
  <c r="Q24" i="32" s="1"/>
  <c r="P24" i="32"/>
  <c r="H24" i="32"/>
  <c r="G24" i="32"/>
  <c r="AB23" i="32"/>
  <c r="AC23" i="32" s="1"/>
  <c r="G23" i="32"/>
  <c r="H23" i="32" s="1"/>
  <c r="O23" i="32" s="1"/>
  <c r="Q23" i="32" s="1"/>
  <c r="AB22" i="32"/>
  <c r="AC22" i="32" s="1"/>
  <c r="G22" i="32"/>
  <c r="H22" i="32" s="1"/>
  <c r="O22" i="32" s="1"/>
  <c r="Q22" i="32" s="1"/>
  <c r="AC21" i="32"/>
  <c r="AB21" i="32"/>
  <c r="Q21" i="32"/>
  <c r="O21" i="32"/>
  <c r="H21" i="32"/>
  <c r="G21" i="32"/>
  <c r="AC20" i="32"/>
  <c r="AA20" i="32"/>
  <c r="Z20" i="32"/>
  <c r="Y20" i="32"/>
  <c r="X20" i="32"/>
  <c r="W20" i="32"/>
  <c r="V20" i="32"/>
  <c r="U20" i="32"/>
  <c r="T20" i="32"/>
  <c r="S20" i="32"/>
  <c r="R20" i="32"/>
  <c r="M20" i="32"/>
  <c r="K20" i="32"/>
  <c r="J20" i="32"/>
  <c r="R19" i="32"/>
  <c r="B19" i="32"/>
  <c r="B32" i="32" s="1"/>
  <c r="B45" i="32" s="1"/>
  <c r="G17" i="32"/>
  <c r="H17" i="32" s="1"/>
  <c r="P17" i="32" s="1"/>
  <c r="AA14" i="32"/>
  <c r="Z14" i="32"/>
  <c r="Y14" i="32"/>
  <c r="X14" i="32"/>
  <c r="W14" i="32"/>
  <c r="V14" i="32"/>
  <c r="U14" i="32"/>
  <c r="T14" i="32"/>
  <c r="S14" i="32"/>
  <c r="R14" i="32"/>
  <c r="M14" i="32"/>
  <c r="L14" i="32"/>
  <c r="K14" i="32"/>
  <c r="J14" i="32"/>
  <c r="N17" i="32" s="1"/>
  <c r="AB13" i="32"/>
  <c r="AC13" i="32" s="1"/>
  <c r="Q13" i="32"/>
  <c r="P13" i="32"/>
  <c r="G13" i="32"/>
  <c r="H13" i="32" s="1"/>
  <c r="O13" i="32" s="1"/>
  <c r="AB12" i="32"/>
  <c r="AC12" i="32" s="1"/>
  <c r="P12" i="32"/>
  <c r="G12" i="32"/>
  <c r="H12" i="32" s="1"/>
  <c r="O12" i="32" s="1"/>
  <c r="Q12" i="32" s="1"/>
  <c r="AC11" i="32"/>
  <c r="AB11" i="32"/>
  <c r="P11" i="32"/>
  <c r="H11" i="32"/>
  <c r="O11" i="32" s="1"/>
  <c r="Q11" i="32" s="1"/>
  <c r="G11" i="32"/>
  <c r="AB10" i="32"/>
  <c r="AC10" i="32" s="1"/>
  <c r="G10" i="32"/>
  <c r="H10" i="32" s="1"/>
  <c r="O10" i="32" s="1"/>
  <c r="Q10" i="32" s="1"/>
  <c r="AB9" i="32"/>
  <c r="AC9" i="32" s="1"/>
  <c r="Q9" i="32"/>
  <c r="P9" i="32"/>
  <c r="G9" i="32"/>
  <c r="H9" i="32" s="1"/>
  <c r="O9" i="32" s="1"/>
  <c r="AC8" i="32"/>
  <c r="AB8" i="32"/>
  <c r="G8" i="32"/>
  <c r="H8" i="32" s="1"/>
  <c r="AA7" i="32"/>
  <c r="Z7" i="32"/>
  <c r="Y7" i="32"/>
  <c r="X7" i="32"/>
  <c r="W7" i="32"/>
  <c r="V7" i="32"/>
  <c r="U7" i="32"/>
  <c r="T7" i="32"/>
  <c r="S7" i="32"/>
  <c r="R7" i="32"/>
  <c r="M7" i="32"/>
  <c r="K7" i="32"/>
  <c r="J7" i="32"/>
  <c r="E2" i="32"/>
  <c r="A6" i="32" s="1" a="1"/>
  <c r="G212" i="31"/>
  <c r="H212" i="31" s="1"/>
  <c r="P212" i="31" s="1"/>
  <c r="AA209" i="31"/>
  <c r="Z209" i="31"/>
  <c r="Y209" i="31"/>
  <c r="X209" i="31"/>
  <c r="AB209" i="31" s="1"/>
  <c r="AC209" i="31" s="1"/>
  <c r="W209" i="31"/>
  <c r="V209" i="31"/>
  <c r="U209" i="31"/>
  <c r="T209" i="31"/>
  <c r="S209" i="31"/>
  <c r="R209" i="31"/>
  <c r="M209" i="31"/>
  <c r="L209" i="31"/>
  <c r="N212" i="31" s="1"/>
  <c r="K209" i="31"/>
  <c r="J209" i="31"/>
  <c r="AB208" i="31"/>
  <c r="AC208" i="31" s="1"/>
  <c r="N208" i="31"/>
  <c r="G208" i="31"/>
  <c r="H208" i="31" s="1"/>
  <c r="O208" i="31" s="1"/>
  <c r="Q208" i="31" s="1"/>
  <c r="AC207" i="31"/>
  <c r="AB207" i="31"/>
  <c r="N207" i="31"/>
  <c r="G207" i="31"/>
  <c r="H207" i="31" s="1"/>
  <c r="O207" i="31" s="1"/>
  <c r="Q207" i="31" s="1"/>
  <c r="AB206" i="31"/>
  <c r="AC206" i="31" s="1"/>
  <c r="Q206" i="31"/>
  <c r="O206" i="31"/>
  <c r="N206" i="31"/>
  <c r="P206" i="31" s="1"/>
  <c r="G206" i="31"/>
  <c r="H206" i="31" s="1"/>
  <c r="AB205" i="31"/>
  <c r="AC205" i="31" s="1"/>
  <c r="N205" i="31"/>
  <c r="G205" i="31"/>
  <c r="H205" i="31" s="1"/>
  <c r="O205" i="31" s="1"/>
  <c r="Q205" i="31" s="1"/>
  <c r="AC204" i="31"/>
  <c r="AB204" i="31"/>
  <c r="O204" i="31"/>
  <c r="Q204" i="31" s="1"/>
  <c r="N204" i="31"/>
  <c r="G204" i="31"/>
  <c r="H204" i="31" s="1"/>
  <c r="AC203" i="31"/>
  <c r="AB203" i="31"/>
  <c r="N203" i="31"/>
  <c r="G203" i="31"/>
  <c r="H203" i="31" s="1"/>
  <c r="AC202" i="31"/>
  <c r="AA202" i="31"/>
  <c r="Z202" i="31"/>
  <c r="Y202" i="31"/>
  <c r="X202" i="31"/>
  <c r="W202" i="31"/>
  <c r="V202" i="31"/>
  <c r="U202" i="31"/>
  <c r="T202" i="31"/>
  <c r="S202" i="31"/>
  <c r="R202" i="31"/>
  <c r="M202" i="31"/>
  <c r="K202" i="31"/>
  <c r="J202" i="31"/>
  <c r="G199" i="31"/>
  <c r="H199" i="31" s="1"/>
  <c r="P199" i="31" s="1"/>
  <c r="AA196" i="31"/>
  <c r="Z196" i="31"/>
  <c r="Y196" i="31"/>
  <c r="X196" i="31"/>
  <c r="W196" i="31"/>
  <c r="V196" i="31"/>
  <c r="U196" i="31"/>
  <c r="T196" i="31"/>
  <c r="S196" i="31"/>
  <c r="R196" i="31"/>
  <c r="M196" i="31"/>
  <c r="L196" i="31"/>
  <c r="K196" i="31"/>
  <c r="J196" i="31"/>
  <c r="N199" i="31" s="1"/>
  <c r="AB195" i="31"/>
  <c r="AC195" i="31" s="1"/>
  <c r="N195" i="31"/>
  <c r="H195" i="31"/>
  <c r="O195" i="31" s="1"/>
  <c r="Q195" i="31" s="1"/>
  <c r="G195" i="31"/>
  <c r="AB194" i="31"/>
  <c r="AC194" i="31" s="1"/>
  <c r="N194" i="31"/>
  <c r="H194" i="31"/>
  <c r="O194" i="31" s="1"/>
  <c r="Q194" i="31" s="1"/>
  <c r="G194" i="31"/>
  <c r="AB193" i="31"/>
  <c r="AC193" i="31" s="1"/>
  <c r="N193" i="31"/>
  <c r="G193" i="31"/>
  <c r="H193" i="31" s="1"/>
  <c r="O193" i="31" s="1"/>
  <c r="AC192" i="31"/>
  <c r="AB192" i="31"/>
  <c r="N192" i="31"/>
  <c r="G192" i="31"/>
  <c r="H192" i="31" s="1"/>
  <c r="O192" i="31" s="1"/>
  <c r="Q192" i="31" s="1"/>
  <c r="AB191" i="31"/>
  <c r="AC191" i="31" s="1"/>
  <c r="N191" i="31"/>
  <c r="H191" i="31"/>
  <c r="O191" i="31" s="1"/>
  <c r="Q191" i="31" s="1"/>
  <c r="G191" i="31"/>
  <c r="AB190" i="31"/>
  <c r="AC190" i="31" s="1"/>
  <c r="N190" i="31"/>
  <c r="H190" i="31"/>
  <c r="O190" i="31" s="1"/>
  <c r="Q190" i="31" s="1"/>
  <c r="G190" i="31"/>
  <c r="AC189" i="31"/>
  <c r="AA189" i="31"/>
  <c r="Z189" i="31"/>
  <c r="Y189" i="31"/>
  <c r="X189" i="31"/>
  <c r="W189" i="31"/>
  <c r="V189" i="31"/>
  <c r="U189" i="31"/>
  <c r="T189" i="31"/>
  <c r="S189" i="31"/>
  <c r="R189" i="31"/>
  <c r="M189" i="31"/>
  <c r="K189" i="31"/>
  <c r="J189" i="31"/>
  <c r="N186" i="31"/>
  <c r="G186" i="31"/>
  <c r="H186" i="31" s="1"/>
  <c r="P186" i="31" s="1"/>
  <c r="AA183" i="31"/>
  <c r="Z183" i="31"/>
  <c r="Y183" i="31"/>
  <c r="X183" i="31"/>
  <c r="W183" i="31"/>
  <c r="V183" i="31"/>
  <c r="U183" i="31"/>
  <c r="T183" i="31"/>
  <c r="S183" i="31"/>
  <c r="R183" i="31"/>
  <c r="AB183" i="31" s="1"/>
  <c r="AC183" i="31" s="1"/>
  <c r="M183" i="31"/>
  <c r="L183" i="31"/>
  <c r="K183" i="31"/>
  <c r="J183" i="31"/>
  <c r="AB182" i="31"/>
  <c r="AC182" i="31" s="1"/>
  <c r="N182" i="31"/>
  <c r="G182" i="31"/>
  <c r="H182" i="31" s="1"/>
  <c r="O182" i="31" s="1"/>
  <c r="Q182" i="31" s="1"/>
  <c r="AC181" i="31"/>
  <c r="AB181" i="31"/>
  <c r="N181" i="31"/>
  <c r="G181" i="31"/>
  <c r="H181" i="31" s="1"/>
  <c r="O181" i="31" s="1"/>
  <c r="Q181" i="31" s="1"/>
  <c r="AB180" i="31"/>
  <c r="AC180" i="31" s="1"/>
  <c r="N180" i="31"/>
  <c r="G180" i="31"/>
  <c r="H180" i="31" s="1"/>
  <c r="O180" i="31" s="1"/>
  <c r="AB179" i="31"/>
  <c r="AC179" i="31" s="1"/>
  <c r="N179" i="31"/>
  <c r="G179" i="31"/>
  <c r="H179" i="31" s="1"/>
  <c r="O179" i="31" s="1"/>
  <c r="Q179" i="31" s="1"/>
  <c r="AC178" i="31"/>
  <c r="AB178" i="31"/>
  <c r="O178" i="31"/>
  <c r="Q178" i="31" s="1"/>
  <c r="N178" i="31"/>
  <c r="G178" i="31"/>
  <c r="H178" i="31" s="1"/>
  <c r="AB177" i="31"/>
  <c r="AC177" i="31" s="1"/>
  <c r="N177" i="31"/>
  <c r="G177" i="31"/>
  <c r="H177" i="31" s="1"/>
  <c r="AC176" i="31"/>
  <c r="AA176" i="31"/>
  <c r="Z176" i="31"/>
  <c r="Y176" i="31"/>
  <c r="X176" i="31"/>
  <c r="W176" i="31"/>
  <c r="V176" i="31"/>
  <c r="U176" i="31"/>
  <c r="T176" i="31"/>
  <c r="S176" i="31"/>
  <c r="R176" i="31"/>
  <c r="M176" i="31"/>
  <c r="K176" i="31"/>
  <c r="J176" i="31"/>
  <c r="G173" i="31"/>
  <c r="H173" i="31" s="1"/>
  <c r="P173" i="31" s="1"/>
  <c r="AA170" i="31"/>
  <c r="Z170" i="31"/>
  <c r="Y170" i="31"/>
  <c r="X170" i="31"/>
  <c r="W170" i="31"/>
  <c r="V170" i="31"/>
  <c r="U170" i="31"/>
  <c r="T170" i="31"/>
  <c r="S170" i="31"/>
  <c r="M170" i="31"/>
  <c r="L170" i="31"/>
  <c r="K170" i="31"/>
  <c r="J170" i="31"/>
  <c r="N173" i="31" s="1"/>
  <c r="AB169" i="31"/>
  <c r="AC169" i="31" s="1"/>
  <c r="Q169" i="31"/>
  <c r="G169" i="31"/>
  <c r="H169" i="31" s="1"/>
  <c r="O169" i="31" s="1"/>
  <c r="AC168" i="31"/>
  <c r="AB168" i="31"/>
  <c r="G168" i="31"/>
  <c r="H168" i="31" s="1"/>
  <c r="O168" i="31" s="1"/>
  <c r="Q168" i="31" s="1"/>
  <c r="AC167" i="31"/>
  <c r="AB167" i="31"/>
  <c r="H167" i="31"/>
  <c r="O167" i="31" s="1"/>
  <c r="Q167" i="31" s="1"/>
  <c r="G167" i="31"/>
  <c r="AB166" i="31"/>
  <c r="AC166" i="31" s="1"/>
  <c r="G166" i="31"/>
  <c r="H166" i="31" s="1"/>
  <c r="O166" i="31" s="1"/>
  <c r="Q166" i="31" s="1"/>
  <c r="AB165" i="31"/>
  <c r="AC165" i="31" s="1"/>
  <c r="O165" i="31"/>
  <c r="Q165" i="31" s="1"/>
  <c r="P165" i="31"/>
  <c r="H165" i="31"/>
  <c r="G165" i="31"/>
  <c r="AC164" i="31"/>
  <c r="AB164" i="31"/>
  <c r="G164" i="31"/>
  <c r="H164" i="31" s="1"/>
  <c r="AC163" i="31"/>
  <c r="AA163" i="31"/>
  <c r="Z163" i="31"/>
  <c r="Y163" i="31"/>
  <c r="X163" i="31"/>
  <c r="W163" i="31"/>
  <c r="V163" i="31"/>
  <c r="U163" i="31"/>
  <c r="T163" i="31"/>
  <c r="S163" i="31"/>
  <c r="R163" i="31"/>
  <c r="M163" i="31"/>
  <c r="K163" i="31"/>
  <c r="J163" i="31"/>
  <c r="N160" i="31"/>
  <c r="H160" i="31"/>
  <c r="P160" i="31" s="1"/>
  <c r="G160" i="31"/>
  <c r="AA157" i="31"/>
  <c r="Z157" i="31"/>
  <c r="Y157" i="31"/>
  <c r="X157" i="31"/>
  <c r="W157" i="31"/>
  <c r="V157" i="31"/>
  <c r="U157" i="31"/>
  <c r="T157" i="31"/>
  <c r="S157" i="31"/>
  <c r="AB157" i="31" s="1"/>
  <c r="AC157" i="31" s="1"/>
  <c r="R157" i="31"/>
  <c r="M157" i="31"/>
  <c r="L157" i="31"/>
  <c r="K157" i="31"/>
  <c r="J157" i="31"/>
  <c r="AB156" i="31"/>
  <c r="AC156" i="31" s="1"/>
  <c r="H156" i="31"/>
  <c r="O156" i="31" s="1"/>
  <c r="Q156" i="31" s="1"/>
  <c r="G156" i="31"/>
  <c r="AB155" i="31"/>
  <c r="AC155" i="31" s="1"/>
  <c r="G155" i="31"/>
  <c r="H155" i="31" s="1"/>
  <c r="O155" i="31" s="1"/>
  <c r="Q155" i="31" s="1"/>
  <c r="AC154" i="31"/>
  <c r="AB154" i="31"/>
  <c r="O154" i="31"/>
  <c r="Q154" i="31" s="1"/>
  <c r="P154" i="31"/>
  <c r="H154" i="31"/>
  <c r="G154" i="31"/>
  <c r="AB153" i="31"/>
  <c r="AC153" i="31" s="1"/>
  <c r="G153" i="31"/>
  <c r="H153" i="31" s="1"/>
  <c r="O153" i="31" s="1"/>
  <c r="AB152" i="31"/>
  <c r="AC152" i="31" s="1"/>
  <c r="G152" i="31"/>
  <c r="H152" i="31" s="1"/>
  <c r="O152" i="31" s="1"/>
  <c r="Q152" i="31" s="1"/>
  <c r="AB151" i="31"/>
  <c r="AC151" i="31" s="1"/>
  <c r="Q151" i="31"/>
  <c r="O151" i="31"/>
  <c r="P151" i="31"/>
  <c r="H151" i="31"/>
  <c r="G151" i="31"/>
  <c r="AC150" i="31"/>
  <c r="AA150" i="31"/>
  <c r="Z150" i="31"/>
  <c r="Y150" i="31"/>
  <c r="X150" i="31"/>
  <c r="W150" i="31"/>
  <c r="V150" i="31"/>
  <c r="U150" i="31"/>
  <c r="T150" i="31"/>
  <c r="S150" i="31"/>
  <c r="R150" i="31"/>
  <c r="M150" i="31"/>
  <c r="K150" i="31"/>
  <c r="J150" i="31"/>
  <c r="H147" i="31"/>
  <c r="P147" i="31" s="1"/>
  <c r="G147" i="31"/>
  <c r="AA144" i="31"/>
  <c r="Z144" i="31"/>
  <c r="Y144" i="31"/>
  <c r="X144" i="31"/>
  <c r="W144" i="31"/>
  <c r="V144" i="31"/>
  <c r="U144" i="31"/>
  <c r="T144" i="31"/>
  <c r="S144" i="31"/>
  <c r="R144" i="31"/>
  <c r="M144" i="31"/>
  <c r="L144" i="31"/>
  <c r="K144" i="31"/>
  <c r="J144" i="31"/>
  <c r="AB143" i="31"/>
  <c r="AC143" i="31" s="1"/>
  <c r="G143" i="31"/>
  <c r="H143" i="31" s="1"/>
  <c r="O143" i="31" s="1"/>
  <c r="AB142" i="31"/>
  <c r="AC142" i="31" s="1"/>
  <c r="G142" i="31"/>
  <c r="H142" i="31" s="1"/>
  <c r="O142" i="31" s="1"/>
  <c r="Q142" i="31" s="1"/>
  <c r="AB141" i="31"/>
  <c r="AC141" i="31" s="1"/>
  <c r="Q141" i="31"/>
  <c r="P141" i="31"/>
  <c r="G141" i="31"/>
  <c r="H141" i="31" s="1"/>
  <c r="AB140" i="31"/>
  <c r="AC140" i="31" s="1"/>
  <c r="Q140" i="31"/>
  <c r="P140" i="31"/>
  <c r="G140" i="31"/>
  <c r="H140" i="31" s="1"/>
  <c r="AB139" i="31"/>
  <c r="AC139" i="31" s="1"/>
  <c r="Q139" i="31"/>
  <c r="H139" i="31"/>
  <c r="G139" i="31"/>
  <c r="AB138" i="31"/>
  <c r="AC138" i="31" s="1"/>
  <c r="Q138" i="31"/>
  <c r="G138" i="31"/>
  <c r="H138" i="31" s="1"/>
  <c r="AC137" i="31"/>
  <c r="AA137" i="31"/>
  <c r="Z137" i="31"/>
  <c r="Y137" i="31"/>
  <c r="X137" i="31"/>
  <c r="W137" i="31"/>
  <c r="V137" i="31"/>
  <c r="U137" i="31"/>
  <c r="T137" i="31"/>
  <c r="S137" i="31"/>
  <c r="R137" i="31"/>
  <c r="M137" i="31"/>
  <c r="K137" i="31"/>
  <c r="J137" i="31"/>
  <c r="A135" i="31"/>
  <c r="A148" i="31" s="1"/>
  <c r="A161" i="31" s="1"/>
  <c r="A174" i="31" s="1"/>
  <c r="A187" i="31" s="1"/>
  <c r="A200" i="31" s="1"/>
  <c r="A213" i="31" s="1"/>
  <c r="G134" i="31"/>
  <c r="H134" i="31" s="1"/>
  <c r="P134" i="31" s="1"/>
  <c r="AA131" i="31"/>
  <c r="Z131" i="31"/>
  <c r="Y131" i="31"/>
  <c r="X131" i="31"/>
  <c r="W131" i="31"/>
  <c r="V131" i="31"/>
  <c r="U131" i="31"/>
  <c r="T131" i="31"/>
  <c r="S131" i="31"/>
  <c r="R131" i="31"/>
  <c r="M131" i="31"/>
  <c r="L131" i="31"/>
  <c r="K131" i="31"/>
  <c r="J131" i="31"/>
  <c r="N134" i="31" s="1"/>
  <c r="AB130" i="31"/>
  <c r="AC130" i="31" s="1"/>
  <c r="Q130" i="31"/>
  <c r="P130" i="31"/>
  <c r="H130" i="31"/>
  <c r="O130" i="31" s="1"/>
  <c r="G130" i="31"/>
  <c r="AB129" i="31"/>
  <c r="AC129" i="31" s="1"/>
  <c r="H129" i="31"/>
  <c r="O129" i="31" s="1"/>
  <c r="Q129" i="31" s="1"/>
  <c r="G129" i="31"/>
  <c r="AB128" i="31"/>
  <c r="AC128" i="31" s="1"/>
  <c r="O128" i="31"/>
  <c r="Q128" i="31" s="1"/>
  <c r="P128" i="31"/>
  <c r="H128" i="31"/>
  <c r="G128" i="31"/>
  <c r="AB127" i="31"/>
  <c r="AC127" i="31" s="1"/>
  <c r="G127" i="31"/>
  <c r="H127" i="31" s="1"/>
  <c r="O127" i="31" s="1"/>
  <c r="Q127" i="31" s="1"/>
  <c r="AB126" i="31"/>
  <c r="AC126" i="31" s="1"/>
  <c r="Q126" i="31"/>
  <c r="O126" i="31"/>
  <c r="H126" i="31"/>
  <c r="G126" i="31"/>
  <c r="AB125" i="31"/>
  <c r="AC125" i="31" s="1"/>
  <c r="G125" i="31"/>
  <c r="H125" i="31" s="1"/>
  <c r="AC124" i="31"/>
  <c r="AA124" i="31"/>
  <c r="Z124" i="31"/>
  <c r="Y124" i="31"/>
  <c r="X124" i="31"/>
  <c r="W124" i="31"/>
  <c r="V124" i="31"/>
  <c r="U124" i="31"/>
  <c r="T124" i="31"/>
  <c r="S124" i="31"/>
  <c r="R124" i="31"/>
  <c r="M124" i="31"/>
  <c r="K124" i="31"/>
  <c r="J124" i="31"/>
  <c r="G121" i="31"/>
  <c r="H121" i="31" s="1"/>
  <c r="P121" i="31" s="1"/>
  <c r="AA118" i="31"/>
  <c r="Z118" i="31"/>
  <c r="Y118" i="31"/>
  <c r="X118" i="31"/>
  <c r="AB118" i="31" s="1"/>
  <c r="W118" i="31"/>
  <c r="V118" i="31"/>
  <c r="U118" i="31"/>
  <c r="T118" i="31"/>
  <c r="S118" i="31"/>
  <c r="R118" i="31"/>
  <c r="M118" i="31"/>
  <c r="L118" i="31"/>
  <c r="N121" i="31" s="1"/>
  <c r="K118" i="31"/>
  <c r="J118" i="31"/>
  <c r="AC117" i="31"/>
  <c r="AB117" i="31"/>
  <c r="G117" i="31"/>
  <c r="H117" i="31" s="1"/>
  <c r="O117" i="31" s="1"/>
  <c r="Q117" i="31" s="1"/>
  <c r="AC116" i="31"/>
  <c r="AB116" i="31"/>
  <c r="H116" i="31"/>
  <c r="O116" i="31" s="1"/>
  <c r="Q116" i="31" s="1"/>
  <c r="G116" i="31"/>
  <c r="AB115" i="31"/>
  <c r="AC115" i="31" s="1"/>
  <c r="G115" i="31"/>
  <c r="H115" i="31" s="1"/>
  <c r="O115" i="31" s="1"/>
  <c r="AB114" i="31"/>
  <c r="AC114" i="31" s="1"/>
  <c r="G114" i="31"/>
  <c r="H114" i="31" s="1"/>
  <c r="O114" i="31" s="1"/>
  <c r="AC113" i="31"/>
  <c r="AB113" i="31"/>
  <c r="G113" i="31"/>
  <c r="H113" i="31" s="1"/>
  <c r="O113" i="31" s="1"/>
  <c r="AB112" i="31"/>
  <c r="AC112" i="31" s="1"/>
  <c r="G112" i="31"/>
  <c r="H112" i="31" s="1"/>
  <c r="AC111" i="31"/>
  <c r="AA111" i="31"/>
  <c r="Z111" i="31"/>
  <c r="Y111" i="31"/>
  <c r="X111" i="31"/>
  <c r="W111" i="31"/>
  <c r="V111" i="31"/>
  <c r="U111" i="31"/>
  <c r="T111" i="31"/>
  <c r="S111" i="31"/>
  <c r="R111" i="31"/>
  <c r="M111" i="31"/>
  <c r="K111" i="31"/>
  <c r="J111" i="31"/>
  <c r="N108" i="31"/>
  <c r="G108" i="31"/>
  <c r="H108" i="31" s="1"/>
  <c r="P108" i="31" s="1"/>
  <c r="AA105" i="31"/>
  <c r="Z105" i="31"/>
  <c r="Y105" i="31"/>
  <c r="X105" i="31"/>
  <c r="W105" i="31"/>
  <c r="V105" i="31"/>
  <c r="U105" i="31"/>
  <c r="T105" i="31"/>
  <c r="S105" i="31"/>
  <c r="R105" i="31"/>
  <c r="M105" i="31"/>
  <c r="L105" i="31"/>
  <c r="K105" i="31"/>
  <c r="J105" i="31"/>
  <c r="AB104" i="31"/>
  <c r="AC104" i="31" s="1"/>
  <c r="G104" i="31"/>
  <c r="H104" i="31" s="1"/>
  <c r="O104" i="31" s="1"/>
  <c r="Q104" i="31" s="1"/>
  <c r="AB103" i="31"/>
  <c r="AC103" i="31" s="1"/>
  <c r="Q103" i="31"/>
  <c r="O103" i="31"/>
  <c r="H103" i="31"/>
  <c r="G103" i="31"/>
  <c r="AB102" i="31"/>
  <c r="AC102" i="31" s="1"/>
  <c r="H102" i="31"/>
  <c r="O102" i="31" s="1"/>
  <c r="Q102" i="31" s="1"/>
  <c r="G102" i="31"/>
  <c r="AC101" i="31"/>
  <c r="AB101" i="31"/>
  <c r="G101" i="31"/>
  <c r="H101" i="31" s="1"/>
  <c r="O101" i="31" s="1"/>
  <c r="Q101" i="31" s="1"/>
  <c r="AB100" i="31"/>
  <c r="AC100" i="31" s="1"/>
  <c r="H100" i="31"/>
  <c r="O100" i="31" s="1"/>
  <c r="Q100" i="31" s="1"/>
  <c r="G100" i="31"/>
  <c r="AB99" i="31"/>
  <c r="AC99" i="31" s="1"/>
  <c r="G99" i="31"/>
  <c r="H99" i="31" s="1"/>
  <c r="AC98" i="31"/>
  <c r="AA98" i="31"/>
  <c r="Z98" i="31"/>
  <c r="Y98" i="31"/>
  <c r="X98" i="31"/>
  <c r="W98" i="31"/>
  <c r="V98" i="31"/>
  <c r="U98" i="31"/>
  <c r="T98" i="31"/>
  <c r="S98" i="31"/>
  <c r="R98" i="31"/>
  <c r="M98" i="31"/>
  <c r="K98" i="31"/>
  <c r="J98" i="31"/>
  <c r="N95" i="31"/>
  <c r="H95" i="31"/>
  <c r="P95" i="31" s="1"/>
  <c r="G95" i="31"/>
  <c r="AA92" i="31"/>
  <c r="Z92" i="31"/>
  <c r="Y92" i="31"/>
  <c r="X92" i="31"/>
  <c r="W92" i="31"/>
  <c r="V92" i="31"/>
  <c r="U92" i="31"/>
  <c r="T92" i="31"/>
  <c r="S92" i="31"/>
  <c r="AB92" i="31" s="1"/>
  <c r="AC92" i="31" s="1"/>
  <c r="R92" i="31"/>
  <c r="M92" i="31"/>
  <c r="L92" i="31"/>
  <c r="K92" i="31"/>
  <c r="J92" i="31"/>
  <c r="AB91" i="31"/>
  <c r="AC91" i="31" s="1"/>
  <c r="O91" i="31"/>
  <c r="Q91" i="31" s="1"/>
  <c r="H91" i="31"/>
  <c r="G91" i="31"/>
  <c r="AC90" i="31"/>
  <c r="AB90" i="31"/>
  <c r="H90" i="31"/>
  <c r="O90" i="31" s="1"/>
  <c r="Q90" i="31" s="1"/>
  <c r="G90" i="31"/>
  <c r="AB89" i="31"/>
  <c r="AC89" i="31" s="1"/>
  <c r="Q89" i="31"/>
  <c r="O89" i="31"/>
  <c r="P89" i="31"/>
  <c r="G89" i="31"/>
  <c r="H89" i="31" s="1"/>
  <c r="AB88" i="31"/>
  <c r="AC88" i="31" s="1"/>
  <c r="G88" i="31"/>
  <c r="H88" i="31" s="1"/>
  <c r="O88" i="31" s="1"/>
  <c r="AC87" i="31"/>
  <c r="AB87" i="31"/>
  <c r="G87" i="31"/>
  <c r="H87" i="31" s="1"/>
  <c r="O87" i="31" s="1"/>
  <c r="AC86" i="31"/>
  <c r="AB86" i="31"/>
  <c r="G86" i="31"/>
  <c r="H86" i="31" s="1"/>
  <c r="AC85" i="31"/>
  <c r="AA85" i="31"/>
  <c r="Z85" i="31"/>
  <c r="Y85" i="31"/>
  <c r="X85" i="31"/>
  <c r="W85" i="31"/>
  <c r="V85" i="31"/>
  <c r="U85" i="31"/>
  <c r="T85" i="31"/>
  <c r="S85" i="31"/>
  <c r="R85" i="31"/>
  <c r="M85" i="31"/>
  <c r="K85" i="31"/>
  <c r="J85" i="31"/>
  <c r="G82" i="31"/>
  <c r="H82" i="31" s="1"/>
  <c r="P82" i="31" s="1"/>
  <c r="AA79" i="31"/>
  <c r="Z79" i="31"/>
  <c r="Y79" i="31"/>
  <c r="X79" i="31"/>
  <c r="W79" i="31"/>
  <c r="V79" i="31"/>
  <c r="U79" i="31"/>
  <c r="T79" i="31"/>
  <c r="S79" i="31"/>
  <c r="R79" i="31"/>
  <c r="M79" i="31"/>
  <c r="L79" i="31"/>
  <c r="K79" i="31"/>
  <c r="J79" i="31"/>
  <c r="N82" i="31" s="1"/>
  <c r="AB78" i="31"/>
  <c r="AC78" i="31" s="1"/>
  <c r="Q78" i="31"/>
  <c r="G78" i="31"/>
  <c r="H78" i="31" s="1"/>
  <c r="O78" i="31" s="1"/>
  <c r="AB77" i="31"/>
  <c r="AC77" i="31" s="1"/>
  <c r="H77" i="31"/>
  <c r="O77" i="31" s="1"/>
  <c r="Q77" i="31" s="1"/>
  <c r="G77" i="31"/>
  <c r="AB76" i="31"/>
  <c r="AC76" i="31" s="1"/>
  <c r="G76" i="31"/>
  <c r="H76" i="31" s="1"/>
  <c r="O76" i="31" s="1"/>
  <c r="Q76" i="31" s="1"/>
  <c r="AB75" i="31"/>
  <c r="AC75" i="31" s="1"/>
  <c r="G75" i="31"/>
  <c r="H75" i="31" s="1"/>
  <c r="O75" i="31" s="1"/>
  <c r="Q75" i="31" s="1"/>
  <c r="AC74" i="31"/>
  <c r="AB74" i="31"/>
  <c r="H74" i="31"/>
  <c r="O74" i="31" s="1"/>
  <c r="G74" i="31"/>
  <c r="AB73" i="31"/>
  <c r="AC73" i="31" s="1"/>
  <c r="G73" i="31"/>
  <c r="H73" i="31" s="1"/>
  <c r="AC72" i="31"/>
  <c r="AA72" i="31"/>
  <c r="Z72" i="31"/>
  <c r="Y72" i="31"/>
  <c r="X72" i="31"/>
  <c r="W72" i="31"/>
  <c r="V72" i="31"/>
  <c r="U72" i="31"/>
  <c r="T72" i="31"/>
  <c r="S72" i="31"/>
  <c r="R72" i="31"/>
  <c r="M72" i="31"/>
  <c r="K72" i="31"/>
  <c r="J72" i="31"/>
  <c r="G69" i="31"/>
  <c r="H69" i="31" s="1"/>
  <c r="P69" i="31" s="1"/>
  <c r="AA66" i="31"/>
  <c r="Z66" i="31"/>
  <c r="Y66" i="31"/>
  <c r="X66" i="31"/>
  <c r="AB66" i="31" s="1"/>
  <c r="W66" i="31"/>
  <c r="V66" i="31"/>
  <c r="U66" i="31"/>
  <c r="T66" i="31"/>
  <c r="S66" i="31"/>
  <c r="R66" i="31"/>
  <c r="M66" i="31"/>
  <c r="L66" i="31"/>
  <c r="N69" i="31" s="1"/>
  <c r="K66" i="31"/>
  <c r="J66" i="31"/>
  <c r="AB65" i="31"/>
  <c r="AC65" i="31" s="1"/>
  <c r="G65" i="31"/>
  <c r="H65" i="31" s="1"/>
  <c r="O65" i="31" s="1"/>
  <c r="Q65" i="31" s="1"/>
  <c r="AC64" i="31"/>
  <c r="AB64" i="31"/>
  <c r="G64" i="31"/>
  <c r="H64" i="31" s="1"/>
  <c r="O64" i="31" s="1"/>
  <c r="Q64" i="31" s="1"/>
  <c r="AB63" i="31"/>
  <c r="AC63" i="31" s="1"/>
  <c r="G63" i="31"/>
  <c r="H63" i="31" s="1"/>
  <c r="O63" i="31" s="1"/>
  <c r="AB62" i="31"/>
  <c r="AC62" i="31" s="1"/>
  <c r="Q62" i="31"/>
  <c r="G62" i="31"/>
  <c r="H62" i="31" s="1"/>
  <c r="O62" i="31" s="1"/>
  <c r="AC61" i="31"/>
  <c r="AB61" i="31"/>
  <c r="G61" i="31"/>
  <c r="H61" i="31" s="1"/>
  <c r="AC60" i="31"/>
  <c r="AB60" i="31"/>
  <c r="O60" i="31"/>
  <c r="Q60" i="31" s="1"/>
  <c r="G60" i="31"/>
  <c r="H60" i="31" s="1"/>
  <c r="AC59" i="31"/>
  <c r="AA59" i="31"/>
  <c r="Z59" i="31"/>
  <c r="Y59" i="31"/>
  <c r="X59" i="31"/>
  <c r="W59" i="31"/>
  <c r="V59" i="31"/>
  <c r="U59" i="31"/>
  <c r="T59" i="31"/>
  <c r="S59" i="31"/>
  <c r="R59" i="31"/>
  <c r="M59" i="31"/>
  <c r="K59" i="31"/>
  <c r="J59" i="31"/>
  <c r="B58" i="31"/>
  <c r="B71" i="31" s="1"/>
  <c r="B84" i="31" s="1"/>
  <c r="B97" i="31" s="1"/>
  <c r="B110" i="31" s="1"/>
  <c r="B123" i="31" s="1"/>
  <c r="B136" i="31" s="1"/>
  <c r="B149" i="31" s="1"/>
  <c r="B162" i="31" s="1"/>
  <c r="B175" i="31" s="1"/>
  <c r="B188" i="31" s="1"/>
  <c r="B201" i="31" s="1"/>
  <c r="A57" i="31"/>
  <c r="A70" i="31" s="1"/>
  <c r="A83" i="31" s="1"/>
  <c r="A96" i="31" s="1"/>
  <c r="A109" i="31" s="1"/>
  <c r="A122" i="31" s="1"/>
  <c r="G56" i="31"/>
  <c r="H56" i="31" s="1"/>
  <c r="P56" i="31" s="1"/>
  <c r="AA53" i="31"/>
  <c r="Z53" i="31"/>
  <c r="Y53" i="31"/>
  <c r="X53" i="31"/>
  <c r="W53" i="31"/>
  <c r="V53" i="31"/>
  <c r="U53" i="31"/>
  <c r="T53" i="31"/>
  <c r="S53" i="31"/>
  <c r="R53" i="31"/>
  <c r="M53" i="31"/>
  <c r="L53" i="31"/>
  <c r="K53" i="31"/>
  <c r="J53" i="31"/>
  <c r="N56" i="31" s="1"/>
  <c r="AB52" i="31"/>
  <c r="AC52" i="31" s="1"/>
  <c r="Q52" i="31"/>
  <c r="G52" i="31"/>
  <c r="H52" i="31" s="1"/>
  <c r="O52" i="31" s="1"/>
  <c r="AB51" i="31"/>
  <c r="AC51" i="31" s="1"/>
  <c r="H51" i="31"/>
  <c r="O51" i="31" s="1"/>
  <c r="Q51" i="31" s="1"/>
  <c r="G51" i="31"/>
  <c r="AB50" i="31"/>
  <c r="AC50" i="31" s="1"/>
  <c r="Q50" i="31"/>
  <c r="O50" i="31"/>
  <c r="P50" i="31"/>
  <c r="H50" i="31"/>
  <c r="G50" i="31"/>
  <c r="AB49" i="31"/>
  <c r="AC49" i="31" s="1"/>
  <c r="G49" i="31"/>
  <c r="H49" i="31" s="1"/>
  <c r="O49" i="31" s="1"/>
  <c r="Q49" i="31" s="1"/>
  <c r="AB48" i="31"/>
  <c r="AC48" i="31" s="1"/>
  <c r="Q48" i="31"/>
  <c r="O48" i="31"/>
  <c r="H48" i="31"/>
  <c r="G48" i="31"/>
  <c r="AB47" i="31"/>
  <c r="AC47" i="31" s="1"/>
  <c r="G47" i="31"/>
  <c r="H47" i="31" s="1"/>
  <c r="AC46" i="31"/>
  <c r="AA46" i="31"/>
  <c r="Z46" i="31"/>
  <c r="Y46" i="31"/>
  <c r="X46" i="31"/>
  <c r="W46" i="31"/>
  <c r="V46" i="31"/>
  <c r="U46" i="31"/>
  <c r="T46" i="31"/>
  <c r="S46" i="31"/>
  <c r="R46" i="31"/>
  <c r="M46" i="31"/>
  <c r="K46" i="31"/>
  <c r="J46" i="31"/>
  <c r="G43" i="31"/>
  <c r="H43" i="31" s="1"/>
  <c r="P43" i="31" s="1"/>
  <c r="AA40" i="31"/>
  <c r="Z40" i="31"/>
  <c r="Y40" i="31"/>
  <c r="X40" i="31"/>
  <c r="W40" i="31"/>
  <c r="V40" i="31"/>
  <c r="U40" i="31"/>
  <c r="T40" i="31"/>
  <c r="S40" i="31"/>
  <c r="R40" i="31"/>
  <c r="M40" i="31"/>
  <c r="L40" i="31"/>
  <c r="K40" i="31"/>
  <c r="J40" i="31"/>
  <c r="N43" i="31" s="1"/>
  <c r="AB39" i="31"/>
  <c r="AC39" i="31" s="1"/>
  <c r="O39" i="31"/>
  <c r="Q39" i="31" s="1"/>
  <c r="G39" i="31"/>
  <c r="H39" i="31" s="1"/>
  <c r="AB38" i="31"/>
  <c r="AC38" i="31" s="1"/>
  <c r="O38" i="31"/>
  <c r="Q38" i="31" s="1"/>
  <c r="H38" i="31"/>
  <c r="G38" i="31"/>
  <c r="AB37" i="31"/>
  <c r="AC37" i="31" s="1"/>
  <c r="G37" i="31"/>
  <c r="H37" i="31" s="1"/>
  <c r="O37" i="31" s="1"/>
  <c r="AB36" i="31"/>
  <c r="AC36" i="31" s="1"/>
  <c r="Q36" i="31"/>
  <c r="P36" i="31"/>
  <c r="G36" i="31"/>
  <c r="H36" i="31" s="1"/>
  <c r="AB35" i="31"/>
  <c r="AC35" i="31" s="1"/>
  <c r="Q35" i="31"/>
  <c r="P35" i="31"/>
  <c r="H35" i="31"/>
  <c r="G35" i="31"/>
  <c r="AB34" i="31"/>
  <c r="AC34" i="31" s="1"/>
  <c r="H34" i="31"/>
  <c r="G34" i="31"/>
  <c r="AC33" i="31"/>
  <c r="AA33" i="31"/>
  <c r="Z33" i="31"/>
  <c r="Y33" i="31"/>
  <c r="X33" i="31"/>
  <c r="W33" i="31"/>
  <c r="V33" i="31"/>
  <c r="U33" i="31"/>
  <c r="T33" i="31"/>
  <c r="S33" i="31"/>
  <c r="R33" i="31"/>
  <c r="M33" i="31"/>
  <c r="K33" i="31"/>
  <c r="J33" i="31"/>
  <c r="R32" i="31"/>
  <c r="R45" i="31" s="1"/>
  <c r="R58" i="31" s="1"/>
  <c r="R71" i="31" s="1"/>
  <c r="R84" i="31" s="1"/>
  <c r="R97" i="31" s="1"/>
  <c r="R110" i="31" s="1"/>
  <c r="R123" i="31" s="1"/>
  <c r="R136" i="31" s="1"/>
  <c r="R149" i="31" s="1"/>
  <c r="R162" i="31" s="1"/>
  <c r="R175" i="31" s="1"/>
  <c r="R188" i="31" s="1"/>
  <c r="R201" i="31" s="1"/>
  <c r="A31" i="31"/>
  <c r="A44" i="31" s="1"/>
  <c r="G30" i="31"/>
  <c r="H30" i="31" s="1"/>
  <c r="P30" i="31" s="1"/>
  <c r="AA27" i="31"/>
  <c r="Z27" i="31"/>
  <c r="Y27" i="31"/>
  <c r="X27" i="31"/>
  <c r="W27" i="31"/>
  <c r="V27" i="31"/>
  <c r="U27" i="31"/>
  <c r="AB27" i="31" s="1"/>
  <c r="AC27" i="31" s="1"/>
  <c r="T27" i="31"/>
  <c r="S27" i="31"/>
  <c r="R27" i="31"/>
  <c r="M27" i="31"/>
  <c r="L27" i="31"/>
  <c r="K27" i="31"/>
  <c r="J27" i="31"/>
  <c r="N30" i="31" s="1"/>
  <c r="AB26" i="31"/>
  <c r="AC26" i="31" s="1"/>
  <c r="Q26" i="31"/>
  <c r="P26" i="31"/>
  <c r="O26" i="31"/>
  <c r="G26" i="31"/>
  <c r="H26" i="31" s="1"/>
  <c r="AB25" i="31"/>
  <c r="AC25" i="31" s="1"/>
  <c r="G25" i="31"/>
  <c r="H25" i="31" s="1"/>
  <c r="O25" i="31" s="1"/>
  <c r="AC24" i="31"/>
  <c r="AB24" i="31"/>
  <c r="G24" i="31"/>
  <c r="H24" i="31" s="1"/>
  <c r="O24" i="31" s="1"/>
  <c r="AC23" i="31"/>
  <c r="AB23" i="31"/>
  <c r="G23" i="31"/>
  <c r="H23" i="31" s="1"/>
  <c r="O23" i="31" s="1"/>
  <c r="AC22" i="31"/>
  <c r="AB22" i="31"/>
  <c r="G22" i="31"/>
  <c r="H22" i="31" s="1"/>
  <c r="O22" i="31" s="1"/>
  <c r="Q22" i="31" s="1"/>
  <c r="AC21" i="31"/>
  <c r="AB21" i="31"/>
  <c r="H21" i="31"/>
  <c r="H27" i="31" s="1"/>
  <c r="O27" i="31" s="1"/>
  <c r="Q27" i="31" s="1"/>
  <c r="G21" i="31"/>
  <c r="AC20" i="31"/>
  <c r="AA20" i="31"/>
  <c r="Z20" i="31"/>
  <c r="Y20" i="31"/>
  <c r="X20" i="31"/>
  <c r="W20" i="31"/>
  <c r="V20" i="31"/>
  <c r="U20" i="31"/>
  <c r="T20" i="31"/>
  <c r="S20" i="31"/>
  <c r="R20" i="31"/>
  <c r="M20" i="31"/>
  <c r="K20" i="31"/>
  <c r="J20" i="31"/>
  <c r="R19" i="31"/>
  <c r="B19" i="31"/>
  <c r="B32" i="31" s="1"/>
  <c r="B45" i="31" s="1"/>
  <c r="G17" i="31"/>
  <c r="H17" i="31" s="1"/>
  <c r="P17" i="31" s="1"/>
  <c r="AA14" i="31"/>
  <c r="Z14" i="31"/>
  <c r="Y14" i="31"/>
  <c r="X14" i="31"/>
  <c r="AB14" i="31" s="1"/>
  <c r="AC14" i="31" s="1"/>
  <c r="W14" i="31"/>
  <c r="V14" i="31"/>
  <c r="U14" i="31"/>
  <c r="T14" i="31"/>
  <c r="S14" i="31"/>
  <c r="R14" i="31"/>
  <c r="M14" i="31"/>
  <c r="L14" i="31"/>
  <c r="K14" i="31"/>
  <c r="J14" i="31"/>
  <c r="AC13" i="31"/>
  <c r="AB13" i="31"/>
  <c r="H13" i="31"/>
  <c r="O13" i="31" s="1"/>
  <c r="Q13" i="31" s="1"/>
  <c r="G13" i="31"/>
  <c r="AC12" i="31"/>
  <c r="AB12" i="31"/>
  <c r="G12" i="31"/>
  <c r="H12" i="31" s="1"/>
  <c r="O12" i="31" s="1"/>
  <c r="Q12" i="31" s="1"/>
  <c r="AB11" i="31"/>
  <c r="AC11" i="31" s="1"/>
  <c r="H11" i="31"/>
  <c r="O11" i="31" s="1"/>
  <c r="Q11" i="31" s="1"/>
  <c r="G11" i="31"/>
  <c r="AC10" i="31"/>
  <c r="AB10" i="31"/>
  <c r="P10" i="31"/>
  <c r="G10" i="31"/>
  <c r="H10" i="31" s="1"/>
  <c r="O10" i="31" s="1"/>
  <c r="Q10" i="31" s="1"/>
  <c r="AB9" i="31"/>
  <c r="AC9" i="31" s="1"/>
  <c r="Q9" i="31"/>
  <c r="P9" i="31"/>
  <c r="G9" i="31"/>
  <c r="H9" i="31" s="1"/>
  <c r="O9" i="31" s="1"/>
  <c r="AB8" i="31"/>
  <c r="AC8" i="31" s="1"/>
  <c r="G8" i="31"/>
  <c r="H8" i="31" s="1"/>
  <c r="AA7" i="31"/>
  <c r="Z7" i="31"/>
  <c r="Y7" i="31"/>
  <c r="X7" i="31"/>
  <c r="W7" i="31"/>
  <c r="V7" i="31"/>
  <c r="U7" i="31"/>
  <c r="T7" i="31"/>
  <c r="S7" i="31"/>
  <c r="R7" i="31"/>
  <c r="M7" i="31"/>
  <c r="K7" i="31"/>
  <c r="J7" i="31"/>
  <c r="E2" i="31"/>
  <c r="G199" i="30"/>
  <c r="H199" i="30" s="1"/>
  <c r="P199" i="30" s="1"/>
  <c r="AA196" i="30"/>
  <c r="Z196" i="30"/>
  <c r="Y196" i="30"/>
  <c r="X196" i="30"/>
  <c r="W196" i="30"/>
  <c r="V196" i="30"/>
  <c r="AB196" i="30" s="1"/>
  <c r="AC196" i="30" s="1"/>
  <c r="U196" i="30"/>
  <c r="T196" i="30"/>
  <c r="S196" i="30"/>
  <c r="R196" i="30"/>
  <c r="M196" i="30"/>
  <c r="L196" i="30"/>
  <c r="K196" i="30"/>
  <c r="J196" i="30"/>
  <c r="N199" i="30" s="1"/>
  <c r="AC195" i="30"/>
  <c r="AB195" i="30"/>
  <c r="P195" i="30"/>
  <c r="H195" i="30"/>
  <c r="O195" i="30" s="1"/>
  <c r="Q195" i="30" s="1"/>
  <c r="G195" i="30"/>
  <c r="AB194" i="30"/>
  <c r="AC194" i="30" s="1"/>
  <c r="G194" i="30"/>
  <c r="H194" i="30" s="1"/>
  <c r="O194" i="30" s="1"/>
  <c r="AB193" i="30"/>
  <c r="AC193" i="30" s="1"/>
  <c r="H193" i="30"/>
  <c r="O193" i="30" s="1"/>
  <c r="Q193" i="30" s="1"/>
  <c r="G193" i="30"/>
  <c r="AC192" i="30"/>
  <c r="AB192" i="30"/>
  <c r="G192" i="30"/>
  <c r="H192" i="30" s="1"/>
  <c r="O192" i="30" s="1"/>
  <c r="Q192" i="30" s="1"/>
  <c r="AB191" i="30"/>
  <c r="AC191" i="30" s="1"/>
  <c r="G191" i="30"/>
  <c r="H191" i="30" s="1"/>
  <c r="O191" i="30" s="1"/>
  <c r="AB190" i="30"/>
  <c r="AC190" i="30" s="1"/>
  <c r="H190" i="30"/>
  <c r="G190" i="30"/>
  <c r="AC189" i="30"/>
  <c r="AA189" i="30"/>
  <c r="Z189" i="30"/>
  <c r="Y189" i="30"/>
  <c r="X189" i="30"/>
  <c r="W189" i="30"/>
  <c r="V189" i="30"/>
  <c r="U189" i="30"/>
  <c r="T189" i="30"/>
  <c r="S189" i="30"/>
  <c r="R189" i="30"/>
  <c r="M189" i="30"/>
  <c r="K189" i="30"/>
  <c r="J189" i="30"/>
  <c r="N186" i="30"/>
  <c r="H186" i="30"/>
  <c r="P186" i="30" s="1"/>
  <c r="G186" i="30"/>
  <c r="AA183" i="30"/>
  <c r="Z183" i="30"/>
  <c r="Y183" i="30"/>
  <c r="X183" i="30"/>
  <c r="W183" i="30"/>
  <c r="V183" i="30"/>
  <c r="U183" i="30"/>
  <c r="T183" i="30"/>
  <c r="S183" i="30"/>
  <c r="R183" i="30"/>
  <c r="M183" i="30"/>
  <c r="L183" i="30"/>
  <c r="K183" i="30"/>
  <c r="J183" i="30"/>
  <c r="AB182" i="30"/>
  <c r="AC182" i="30" s="1"/>
  <c r="G182" i="30"/>
  <c r="H182" i="30" s="1"/>
  <c r="O182" i="30" s="1"/>
  <c r="Q182" i="30" s="1"/>
  <c r="AB181" i="30"/>
  <c r="AC181" i="30" s="1"/>
  <c r="P181" i="30"/>
  <c r="G181" i="30"/>
  <c r="H181" i="30" s="1"/>
  <c r="O181" i="30" s="1"/>
  <c r="Q181" i="30" s="1"/>
  <c r="AC180" i="30"/>
  <c r="AB180" i="30"/>
  <c r="G180" i="30"/>
  <c r="H180" i="30" s="1"/>
  <c r="O180" i="30" s="1"/>
  <c r="Q180" i="30" s="1"/>
  <c r="AC179" i="30"/>
  <c r="AB179" i="30"/>
  <c r="G179" i="30"/>
  <c r="H179" i="30" s="1"/>
  <c r="O179" i="30" s="1"/>
  <c r="Q179" i="30" s="1"/>
  <c r="AB178" i="30"/>
  <c r="AC178" i="30" s="1"/>
  <c r="H178" i="30"/>
  <c r="O178" i="30" s="1"/>
  <c r="Q178" i="30" s="1"/>
  <c r="G178" i="30"/>
  <c r="AC177" i="30"/>
  <c r="AB177" i="30"/>
  <c r="G177" i="30"/>
  <c r="H177" i="30" s="1"/>
  <c r="AC176" i="30"/>
  <c r="AA176" i="30"/>
  <c r="Z176" i="30"/>
  <c r="Y176" i="30"/>
  <c r="X176" i="30"/>
  <c r="W176" i="30"/>
  <c r="V176" i="30"/>
  <c r="U176" i="30"/>
  <c r="T176" i="30"/>
  <c r="S176" i="30"/>
  <c r="R176" i="30"/>
  <c r="M176" i="30"/>
  <c r="K176" i="30"/>
  <c r="J176" i="30"/>
  <c r="G173" i="30"/>
  <c r="H173" i="30" s="1"/>
  <c r="P173" i="30" s="1"/>
  <c r="AA170" i="30"/>
  <c r="Z170" i="30"/>
  <c r="Y170" i="30"/>
  <c r="X170" i="30"/>
  <c r="AB170" i="30" s="1"/>
  <c r="AC170" i="30" s="1"/>
  <c r="W170" i="30"/>
  <c r="V170" i="30"/>
  <c r="U170" i="30"/>
  <c r="T170" i="30"/>
  <c r="S170" i="30"/>
  <c r="R170" i="30"/>
  <c r="M170" i="30"/>
  <c r="L170" i="30"/>
  <c r="N173" i="30" s="1"/>
  <c r="K170" i="30"/>
  <c r="J170" i="30"/>
  <c r="AB169" i="30"/>
  <c r="AC169" i="30" s="1"/>
  <c r="H169" i="30"/>
  <c r="O169" i="30" s="1"/>
  <c r="Q169" i="30" s="1"/>
  <c r="G169" i="30"/>
  <c r="AC168" i="30"/>
  <c r="AB168" i="30"/>
  <c r="G168" i="30"/>
  <c r="H168" i="30" s="1"/>
  <c r="O168" i="30" s="1"/>
  <c r="Q168" i="30" s="1"/>
  <c r="AB167" i="30"/>
  <c r="AC167" i="30" s="1"/>
  <c r="O167" i="30"/>
  <c r="Q167" i="30" s="1"/>
  <c r="H167" i="30"/>
  <c r="G167" i="30"/>
  <c r="AB166" i="30"/>
  <c r="AC166" i="30" s="1"/>
  <c r="G166" i="30"/>
  <c r="H166" i="30" s="1"/>
  <c r="O166" i="30" s="1"/>
  <c r="Q166" i="30" s="1"/>
  <c r="AC165" i="30"/>
  <c r="AB165" i="30"/>
  <c r="G165" i="30"/>
  <c r="H165" i="30" s="1"/>
  <c r="O165" i="30" s="1"/>
  <c r="Q165" i="30" s="1"/>
  <c r="AC164" i="30"/>
  <c r="AB164" i="30"/>
  <c r="O164" i="30"/>
  <c r="Q164" i="30" s="1"/>
  <c r="H164" i="30"/>
  <c r="G164" i="30"/>
  <c r="AC163" i="30"/>
  <c r="AA163" i="30"/>
  <c r="Z163" i="30"/>
  <c r="Y163" i="30"/>
  <c r="X163" i="30"/>
  <c r="W163" i="30"/>
  <c r="V163" i="30"/>
  <c r="U163" i="30"/>
  <c r="T163" i="30"/>
  <c r="S163" i="30"/>
  <c r="R163" i="30"/>
  <c r="M163" i="30"/>
  <c r="K163" i="30"/>
  <c r="J163" i="30"/>
  <c r="P160" i="30"/>
  <c r="H160" i="30"/>
  <c r="G160" i="30"/>
  <c r="AA157" i="30"/>
  <c r="Z157" i="30"/>
  <c r="Y157" i="30"/>
  <c r="X157" i="30"/>
  <c r="W157" i="30"/>
  <c r="V157" i="30"/>
  <c r="U157" i="30"/>
  <c r="T157" i="30"/>
  <c r="S157" i="30"/>
  <c r="R157" i="30"/>
  <c r="M157" i="30"/>
  <c r="L157" i="30"/>
  <c r="K157" i="30"/>
  <c r="J157" i="30"/>
  <c r="N160" i="30" s="1"/>
  <c r="H157" i="30"/>
  <c r="O157" i="30" s="1"/>
  <c r="Q157" i="30" s="1"/>
  <c r="AC156" i="30"/>
  <c r="AB156" i="30"/>
  <c r="P156" i="30"/>
  <c r="G156" i="30"/>
  <c r="H156" i="30" s="1"/>
  <c r="O156" i="30" s="1"/>
  <c r="Q156" i="30" s="1"/>
  <c r="AC155" i="30"/>
  <c r="AB155" i="30"/>
  <c r="O155" i="30"/>
  <c r="H155" i="30"/>
  <c r="G155" i="30"/>
  <c r="AB154" i="30"/>
  <c r="AC154" i="30" s="1"/>
  <c r="O154" i="30"/>
  <c r="Q154" i="30" s="1"/>
  <c r="H154" i="30"/>
  <c r="G154" i="30"/>
  <c r="AC153" i="30"/>
  <c r="AB153" i="30"/>
  <c r="G153" i="30"/>
  <c r="H153" i="30" s="1"/>
  <c r="O153" i="30" s="1"/>
  <c r="Q153" i="30" s="1"/>
  <c r="AB152" i="30"/>
  <c r="AC152" i="30" s="1"/>
  <c r="O152" i="30"/>
  <c r="Q152" i="30" s="1"/>
  <c r="H152" i="30"/>
  <c r="G152" i="30"/>
  <c r="AB151" i="30"/>
  <c r="AC151" i="30" s="1"/>
  <c r="G151" i="30"/>
  <c r="H151" i="30" s="1"/>
  <c r="O151" i="30" s="1"/>
  <c r="Q151" i="30" s="1"/>
  <c r="AC150" i="30"/>
  <c r="AA150" i="30"/>
  <c r="Z150" i="30"/>
  <c r="Y150" i="30"/>
  <c r="X150" i="30"/>
  <c r="W150" i="30"/>
  <c r="V150" i="30"/>
  <c r="U150" i="30"/>
  <c r="T150" i="30"/>
  <c r="S150" i="30"/>
  <c r="R150" i="30"/>
  <c r="M150" i="30"/>
  <c r="K150" i="30"/>
  <c r="J150" i="30"/>
  <c r="N147" i="30"/>
  <c r="H147" i="30"/>
  <c r="P147" i="30" s="1"/>
  <c r="G147" i="30"/>
  <c r="AA144" i="30"/>
  <c r="Z144" i="30"/>
  <c r="Y144" i="30"/>
  <c r="X144" i="30"/>
  <c r="W144" i="30"/>
  <c r="V144" i="30"/>
  <c r="U144" i="30"/>
  <c r="T144" i="30"/>
  <c r="S144" i="30"/>
  <c r="AB144" i="30" s="1"/>
  <c r="AC144" i="30" s="1"/>
  <c r="R144" i="30"/>
  <c r="M144" i="30"/>
  <c r="L144" i="30"/>
  <c r="K144" i="30"/>
  <c r="J144" i="30"/>
  <c r="AC143" i="30"/>
  <c r="AB143" i="30"/>
  <c r="Q143" i="30"/>
  <c r="O143" i="30"/>
  <c r="P143" i="30"/>
  <c r="H143" i="30"/>
  <c r="G143" i="30"/>
  <c r="AB142" i="30"/>
  <c r="AC142" i="30" s="1"/>
  <c r="G142" i="30"/>
  <c r="H142" i="30" s="1"/>
  <c r="O142" i="30" s="1"/>
  <c r="Q142" i="30" s="1"/>
  <c r="AC141" i="30"/>
  <c r="AB141" i="30"/>
  <c r="P141" i="30"/>
  <c r="G141" i="30"/>
  <c r="H141" i="30" s="1"/>
  <c r="O141" i="30" s="1"/>
  <c r="Q141" i="30" s="1"/>
  <c r="AB140" i="30"/>
  <c r="AC140" i="30" s="1"/>
  <c r="O140" i="30"/>
  <c r="Q140" i="30" s="1"/>
  <c r="H140" i="30"/>
  <c r="G140" i="30"/>
  <c r="AB139" i="30"/>
  <c r="AC139" i="30" s="1"/>
  <c r="O139" i="30"/>
  <c r="Q139" i="30" s="1"/>
  <c r="H139" i="30"/>
  <c r="G139" i="30"/>
  <c r="AB138" i="30"/>
  <c r="AC138" i="30" s="1"/>
  <c r="G138" i="30"/>
  <c r="H138" i="30" s="1"/>
  <c r="AC137" i="30"/>
  <c r="AA137" i="30"/>
  <c r="Z137" i="30"/>
  <c r="Y137" i="30"/>
  <c r="X137" i="30"/>
  <c r="W137" i="30"/>
  <c r="V137" i="30"/>
  <c r="U137" i="30"/>
  <c r="T137" i="30"/>
  <c r="S137" i="30"/>
  <c r="R137" i="30"/>
  <c r="M137" i="30"/>
  <c r="K137" i="30"/>
  <c r="J137" i="30"/>
  <c r="G134" i="30"/>
  <c r="H134" i="30" s="1"/>
  <c r="P134" i="30" s="1"/>
  <c r="AA131" i="30"/>
  <c r="Z131" i="30"/>
  <c r="Y131" i="30"/>
  <c r="X131" i="30"/>
  <c r="W131" i="30"/>
  <c r="V131" i="30"/>
  <c r="AB131" i="30" s="1"/>
  <c r="AC131" i="30" s="1"/>
  <c r="U131" i="30"/>
  <c r="T131" i="30"/>
  <c r="S131" i="30"/>
  <c r="R131" i="30"/>
  <c r="M131" i="30"/>
  <c r="L131" i="30"/>
  <c r="K131" i="30"/>
  <c r="J131" i="30"/>
  <c r="N134" i="30" s="1"/>
  <c r="AC130" i="30"/>
  <c r="AB130" i="30"/>
  <c r="G130" i="30"/>
  <c r="H130" i="30" s="1"/>
  <c r="O130" i="30" s="1"/>
  <c r="Q130" i="30" s="1"/>
  <c r="AC129" i="30"/>
  <c r="AB129" i="30"/>
  <c r="Q129" i="30"/>
  <c r="G129" i="30"/>
  <c r="H129" i="30" s="1"/>
  <c r="O129" i="30" s="1"/>
  <c r="AB128" i="30"/>
  <c r="AC128" i="30" s="1"/>
  <c r="P128" i="30"/>
  <c r="H128" i="30"/>
  <c r="O128" i="30" s="1"/>
  <c r="Q128" i="30" s="1"/>
  <c r="G128" i="30"/>
  <c r="AC127" i="30"/>
  <c r="AB127" i="30"/>
  <c r="G127" i="30"/>
  <c r="H127" i="30" s="1"/>
  <c r="O127" i="30" s="1"/>
  <c r="Q127" i="30" s="1"/>
  <c r="AB126" i="30"/>
  <c r="AC126" i="30" s="1"/>
  <c r="G126" i="30"/>
  <c r="H126" i="30" s="1"/>
  <c r="O126" i="30" s="1"/>
  <c r="AB125" i="30"/>
  <c r="AC125" i="30" s="1"/>
  <c r="Q125" i="30"/>
  <c r="O125" i="30"/>
  <c r="H125" i="30"/>
  <c r="G125" i="30"/>
  <c r="AC124" i="30"/>
  <c r="AA124" i="30"/>
  <c r="Z124" i="30"/>
  <c r="Y124" i="30"/>
  <c r="X124" i="30"/>
  <c r="W124" i="30"/>
  <c r="V124" i="30"/>
  <c r="U124" i="30"/>
  <c r="T124" i="30"/>
  <c r="S124" i="30"/>
  <c r="R124" i="30"/>
  <c r="M124" i="30"/>
  <c r="K124" i="30"/>
  <c r="J124" i="30"/>
  <c r="N121" i="30"/>
  <c r="H121" i="30"/>
  <c r="P121" i="30" s="1"/>
  <c r="G121" i="30"/>
  <c r="AA118" i="30"/>
  <c r="Z118" i="30"/>
  <c r="Y118" i="30"/>
  <c r="X118" i="30"/>
  <c r="W118" i="30"/>
  <c r="V118" i="30"/>
  <c r="U118" i="30"/>
  <c r="T118" i="30"/>
  <c r="S118" i="30"/>
  <c r="R118" i="30"/>
  <c r="AB118" i="30" s="1"/>
  <c r="AC118" i="30" s="1"/>
  <c r="M118" i="30"/>
  <c r="L118" i="30"/>
  <c r="K118" i="30"/>
  <c r="J118" i="30"/>
  <c r="AB117" i="30"/>
  <c r="AC117" i="30" s="1"/>
  <c r="G117" i="30"/>
  <c r="H117" i="30" s="1"/>
  <c r="O117" i="30" s="1"/>
  <c r="AB116" i="30"/>
  <c r="AC116" i="30" s="1"/>
  <c r="Q116" i="30"/>
  <c r="O116" i="30"/>
  <c r="H116" i="30"/>
  <c r="G116" i="30"/>
  <c r="AC115" i="30"/>
  <c r="AB115" i="30"/>
  <c r="G115" i="30"/>
  <c r="H115" i="30" s="1"/>
  <c r="O115" i="30" s="1"/>
  <c r="Q115" i="30" s="1"/>
  <c r="AB114" i="30"/>
  <c r="AC114" i="30" s="1"/>
  <c r="Q114" i="30"/>
  <c r="G114" i="30"/>
  <c r="H114" i="30" s="1"/>
  <c r="O114" i="30" s="1"/>
  <c r="AB113" i="30"/>
  <c r="AC113" i="30" s="1"/>
  <c r="P113" i="30"/>
  <c r="H113" i="30"/>
  <c r="O113" i="30" s="1"/>
  <c r="Q113" i="30" s="1"/>
  <c r="G113" i="30"/>
  <c r="AC112" i="30"/>
  <c r="AB112" i="30"/>
  <c r="H112" i="30"/>
  <c r="O112" i="30" s="1"/>
  <c r="Q112" i="30" s="1"/>
  <c r="G112" i="30"/>
  <c r="AC111" i="30"/>
  <c r="AA111" i="30"/>
  <c r="Z111" i="30"/>
  <c r="Y111" i="30"/>
  <c r="X111" i="30"/>
  <c r="W111" i="30"/>
  <c r="V111" i="30"/>
  <c r="U111" i="30"/>
  <c r="T111" i="30"/>
  <c r="S111" i="30"/>
  <c r="R111" i="30"/>
  <c r="M111" i="30"/>
  <c r="K111" i="30"/>
  <c r="J111" i="30"/>
  <c r="N108" i="30"/>
  <c r="G108" i="30"/>
  <c r="H108" i="30" s="1"/>
  <c r="P108" i="30" s="1"/>
  <c r="AB105" i="30"/>
  <c r="AC105" i="30" s="1"/>
  <c r="AA105" i="30"/>
  <c r="Z105" i="30"/>
  <c r="Y105" i="30"/>
  <c r="X105" i="30"/>
  <c r="W105" i="30"/>
  <c r="V105" i="30"/>
  <c r="U105" i="30"/>
  <c r="T105" i="30"/>
  <c r="S105" i="30"/>
  <c r="R105" i="30"/>
  <c r="M105" i="30"/>
  <c r="L105" i="30"/>
  <c r="K105" i="30"/>
  <c r="J105" i="30"/>
  <c r="AB104" i="30"/>
  <c r="AC104" i="30" s="1"/>
  <c r="G104" i="30"/>
  <c r="H104" i="30" s="1"/>
  <c r="O104" i="30" s="1"/>
  <c r="Q104" i="30" s="1"/>
  <c r="AC103" i="30"/>
  <c r="AB103" i="30"/>
  <c r="P103" i="30"/>
  <c r="H103" i="30"/>
  <c r="O103" i="30" s="1"/>
  <c r="Q103" i="30" s="1"/>
  <c r="G103" i="30"/>
  <c r="AB102" i="30"/>
  <c r="AC102" i="30" s="1"/>
  <c r="G102" i="30"/>
  <c r="H102" i="30" s="1"/>
  <c r="O102" i="30" s="1"/>
  <c r="AB101" i="30"/>
  <c r="AC101" i="30" s="1"/>
  <c r="G101" i="30"/>
  <c r="H101" i="30" s="1"/>
  <c r="O101" i="30" s="1"/>
  <c r="AC100" i="30"/>
  <c r="AB100" i="30"/>
  <c r="G100" i="30"/>
  <c r="H100" i="30" s="1"/>
  <c r="O100" i="30" s="1"/>
  <c r="Q100" i="30" s="1"/>
  <c r="AB99" i="30"/>
  <c r="AC99" i="30" s="1"/>
  <c r="N105" i="30"/>
  <c r="G99" i="30"/>
  <c r="H99" i="30" s="1"/>
  <c r="AC98" i="30"/>
  <c r="AA98" i="30"/>
  <c r="Z98" i="30"/>
  <c r="Y98" i="30"/>
  <c r="X98" i="30"/>
  <c r="W98" i="30"/>
  <c r="V98" i="30"/>
  <c r="U98" i="30"/>
  <c r="T98" i="30"/>
  <c r="S98" i="30"/>
  <c r="R98" i="30"/>
  <c r="M98" i="30"/>
  <c r="K98" i="30"/>
  <c r="J98" i="30"/>
  <c r="A96" i="30"/>
  <c r="A109" i="30" s="1"/>
  <c r="A122" i="30" s="1"/>
  <c r="A135" i="30" s="1"/>
  <c r="A148" i="30" s="1"/>
  <c r="A161" i="30" s="1"/>
  <c r="A174" i="30" s="1"/>
  <c r="A187" i="30" s="1"/>
  <c r="A200" i="30" s="1"/>
  <c r="P95" i="30"/>
  <c r="H95" i="30"/>
  <c r="G95" i="30"/>
  <c r="AA92" i="30"/>
  <c r="Z92" i="30"/>
  <c r="Y92" i="30"/>
  <c r="X92" i="30"/>
  <c r="W92" i="30"/>
  <c r="V92" i="30"/>
  <c r="U92" i="30"/>
  <c r="T92" i="30"/>
  <c r="S92" i="30"/>
  <c r="R92" i="30"/>
  <c r="M92" i="30"/>
  <c r="L92" i="30"/>
  <c r="K92" i="30"/>
  <c r="J92" i="30"/>
  <c r="N95" i="30" s="1"/>
  <c r="AB91" i="30"/>
  <c r="AC91" i="30" s="1"/>
  <c r="O91" i="30"/>
  <c r="H91" i="30"/>
  <c r="G91" i="30"/>
  <c r="AB90" i="30"/>
  <c r="AC90" i="30" s="1"/>
  <c r="Q90" i="30"/>
  <c r="G90" i="30"/>
  <c r="H90" i="30" s="1"/>
  <c r="AB89" i="30"/>
  <c r="AC89" i="30" s="1"/>
  <c r="Q89" i="30"/>
  <c r="H89" i="30"/>
  <c r="G89" i="30"/>
  <c r="AB88" i="30"/>
  <c r="AC88" i="30" s="1"/>
  <c r="G88" i="30"/>
  <c r="H88" i="30" s="1"/>
  <c r="AB87" i="30"/>
  <c r="AC87" i="30" s="1"/>
  <c r="G87" i="30"/>
  <c r="H87" i="30" s="1"/>
  <c r="AB86" i="30"/>
  <c r="AC86" i="30" s="1"/>
  <c r="G86" i="30"/>
  <c r="H86" i="30" s="1"/>
  <c r="H92" i="30" s="1"/>
  <c r="O92" i="30" s="1"/>
  <c r="AC85" i="30"/>
  <c r="AA85" i="30"/>
  <c r="Z85" i="30"/>
  <c r="Y85" i="30"/>
  <c r="X85" i="30"/>
  <c r="W85" i="30"/>
  <c r="V85" i="30"/>
  <c r="U85" i="30"/>
  <c r="T85" i="30"/>
  <c r="S85" i="30"/>
  <c r="R85" i="30"/>
  <c r="M85" i="30"/>
  <c r="K85" i="30"/>
  <c r="J85" i="30"/>
  <c r="G82" i="30"/>
  <c r="H82" i="30" s="1"/>
  <c r="P82" i="30" s="1"/>
  <c r="AB79" i="30"/>
  <c r="AC79" i="30" s="1"/>
  <c r="AA79" i="30"/>
  <c r="Z79" i="30"/>
  <c r="Y79" i="30"/>
  <c r="X79" i="30"/>
  <c r="W79" i="30"/>
  <c r="V79" i="30"/>
  <c r="U79" i="30"/>
  <c r="T79" i="30"/>
  <c r="S79" i="30"/>
  <c r="R79" i="30"/>
  <c r="M79" i="30"/>
  <c r="L79" i="30"/>
  <c r="K79" i="30"/>
  <c r="J79" i="30"/>
  <c r="AB78" i="30"/>
  <c r="AC78" i="30" s="1"/>
  <c r="G78" i="30"/>
  <c r="H78" i="30" s="1"/>
  <c r="O78" i="30" s="1"/>
  <c r="Q78" i="30" s="1"/>
  <c r="AB77" i="30"/>
  <c r="AC77" i="30" s="1"/>
  <c r="G77" i="30"/>
  <c r="H77" i="30" s="1"/>
  <c r="O77" i="30" s="1"/>
  <c r="Q77" i="30" s="1"/>
  <c r="AC76" i="30"/>
  <c r="AB76" i="30"/>
  <c r="Q76" i="30"/>
  <c r="O76" i="30"/>
  <c r="H76" i="30"/>
  <c r="G76" i="30"/>
  <c r="AB75" i="30"/>
  <c r="AC75" i="30" s="1"/>
  <c r="G75" i="30"/>
  <c r="H75" i="30" s="1"/>
  <c r="O75" i="30" s="1"/>
  <c r="Q75" i="30" s="1"/>
  <c r="AC74" i="30"/>
  <c r="AB74" i="30"/>
  <c r="G74" i="30"/>
  <c r="H74" i="30" s="1"/>
  <c r="O74" i="30" s="1"/>
  <c r="Q74" i="30" s="1"/>
  <c r="AB73" i="30"/>
  <c r="AC73" i="30" s="1"/>
  <c r="O73" i="30"/>
  <c r="Q73" i="30" s="1"/>
  <c r="H73" i="30"/>
  <c r="G73" i="30"/>
  <c r="AC72" i="30"/>
  <c r="AA72" i="30"/>
  <c r="Z72" i="30"/>
  <c r="Y72" i="30"/>
  <c r="X72" i="30"/>
  <c r="W72" i="30"/>
  <c r="V72" i="30"/>
  <c r="U72" i="30"/>
  <c r="T72" i="30"/>
  <c r="S72" i="30"/>
  <c r="R72" i="30"/>
  <c r="M72" i="30"/>
  <c r="K72" i="30"/>
  <c r="J72" i="30"/>
  <c r="G69" i="30"/>
  <c r="H69" i="30" s="1"/>
  <c r="P69" i="30" s="1"/>
  <c r="AA66" i="30"/>
  <c r="Z66" i="30"/>
  <c r="Y66" i="30"/>
  <c r="X66" i="30"/>
  <c r="W66" i="30"/>
  <c r="V66" i="30"/>
  <c r="U66" i="30"/>
  <c r="T66" i="30"/>
  <c r="S66" i="30"/>
  <c r="R66" i="30"/>
  <c r="AB66" i="30" s="1"/>
  <c r="M66" i="30"/>
  <c r="L66" i="30"/>
  <c r="K66" i="30"/>
  <c r="J66" i="30"/>
  <c r="N69" i="30" s="1"/>
  <c r="AC65" i="30"/>
  <c r="AB65" i="30"/>
  <c r="Q65" i="30"/>
  <c r="G65" i="30"/>
  <c r="H65" i="30" s="1"/>
  <c r="O65" i="30" s="1"/>
  <c r="P65" i="30" s="1"/>
  <c r="AB64" i="30"/>
  <c r="AC64" i="30" s="1"/>
  <c r="H64" i="30"/>
  <c r="O64" i="30" s="1"/>
  <c r="Q64" i="30" s="1"/>
  <c r="G64" i="30"/>
  <c r="AC63" i="30"/>
  <c r="AB63" i="30"/>
  <c r="G63" i="30"/>
  <c r="H63" i="30" s="1"/>
  <c r="O63" i="30" s="1"/>
  <c r="Q63" i="30" s="1"/>
  <c r="AB62" i="30"/>
  <c r="AC62" i="30" s="1"/>
  <c r="G62" i="30"/>
  <c r="H62" i="30" s="1"/>
  <c r="O62" i="30" s="1"/>
  <c r="AB61" i="30"/>
  <c r="AC61" i="30" s="1"/>
  <c r="Q61" i="30"/>
  <c r="O61" i="30"/>
  <c r="P61" i="30"/>
  <c r="H61" i="30"/>
  <c r="G61" i="30"/>
  <c r="AC60" i="30"/>
  <c r="AB60" i="30"/>
  <c r="G60" i="30"/>
  <c r="H60" i="30" s="1"/>
  <c r="AC59" i="30"/>
  <c r="AA59" i="30"/>
  <c r="Z59" i="30"/>
  <c r="Y59" i="30"/>
  <c r="X59" i="30"/>
  <c r="W59" i="30"/>
  <c r="V59" i="30"/>
  <c r="U59" i="30"/>
  <c r="T59" i="30"/>
  <c r="S59" i="30"/>
  <c r="R59" i="30"/>
  <c r="M59" i="30"/>
  <c r="K59" i="30"/>
  <c r="J59" i="30"/>
  <c r="N56" i="30"/>
  <c r="G56" i="30"/>
  <c r="H56" i="30" s="1"/>
  <c r="P56" i="30" s="1"/>
  <c r="AA53" i="30"/>
  <c r="Z53" i="30"/>
  <c r="Y53" i="30"/>
  <c r="AB53" i="30" s="1"/>
  <c r="AC53" i="30" s="1"/>
  <c r="X53" i="30"/>
  <c r="W53" i="30"/>
  <c r="V53" i="30"/>
  <c r="U53" i="30"/>
  <c r="T53" i="30"/>
  <c r="S53" i="30"/>
  <c r="R53" i="30"/>
  <c r="M53" i="30"/>
  <c r="L53" i="30"/>
  <c r="K53" i="30"/>
  <c r="J53" i="30"/>
  <c r="AB52" i="30"/>
  <c r="AC52" i="30" s="1"/>
  <c r="P52" i="30"/>
  <c r="G52" i="30"/>
  <c r="H52" i="30" s="1"/>
  <c r="O52" i="30" s="1"/>
  <c r="Q52" i="30" s="1"/>
  <c r="AC51" i="30"/>
  <c r="AB51" i="30"/>
  <c r="G51" i="30"/>
  <c r="H51" i="30" s="1"/>
  <c r="O51" i="30" s="1"/>
  <c r="Q51" i="30" s="1"/>
  <c r="AC50" i="30"/>
  <c r="AB50" i="30"/>
  <c r="G50" i="30"/>
  <c r="H50" i="30" s="1"/>
  <c r="O50" i="30" s="1"/>
  <c r="Q50" i="30" s="1"/>
  <c r="AB49" i="30"/>
  <c r="AC49" i="30" s="1"/>
  <c r="H49" i="30"/>
  <c r="O49" i="30" s="1"/>
  <c r="Q49" i="30" s="1"/>
  <c r="G49" i="30"/>
  <c r="AC48" i="30"/>
  <c r="AB48" i="30"/>
  <c r="G48" i="30"/>
  <c r="H48" i="30" s="1"/>
  <c r="O48" i="30" s="1"/>
  <c r="Q48" i="30" s="1"/>
  <c r="AB47" i="30"/>
  <c r="AC47" i="30" s="1"/>
  <c r="G47" i="30"/>
  <c r="H47" i="30" s="1"/>
  <c r="AC46" i="30"/>
  <c r="AA46" i="30"/>
  <c r="Z46" i="30"/>
  <c r="Y46" i="30"/>
  <c r="X46" i="30"/>
  <c r="W46" i="30"/>
  <c r="V46" i="30"/>
  <c r="U46" i="30"/>
  <c r="T46" i="30"/>
  <c r="S46" i="30"/>
  <c r="R46" i="30"/>
  <c r="M46" i="30"/>
  <c r="K46" i="30"/>
  <c r="J46" i="30"/>
  <c r="A44" i="30"/>
  <c r="A57" i="30" s="1"/>
  <c r="A70" i="30" s="1"/>
  <c r="A83" i="30" s="1"/>
  <c r="P43" i="30"/>
  <c r="H43" i="30"/>
  <c r="G43" i="30"/>
  <c r="AA40" i="30"/>
  <c r="Z40" i="30"/>
  <c r="Y40" i="30"/>
  <c r="X40" i="30"/>
  <c r="W40" i="30"/>
  <c r="V40" i="30"/>
  <c r="U40" i="30"/>
  <c r="T40" i="30"/>
  <c r="S40" i="30"/>
  <c r="R40" i="30"/>
  <c r="M40" i="30"/>
  <c r="L40" i="30"/>
  <c r="K40" i="30"/>
  <c r="J40" i="30"/>
  <c r="AC39" i="30"/>
  <c r="AB39" i="30"/>
  <c r="G39" i="30"/>
  <c r="H39" i="30" s="1"/>
  <c r="O39" i="30" s="1"/>
  <c r="Q39" i="30" s="1"/>
  <c r="AB38" i="30"/>
  <c r="AC38" i="30" s="1"/>
  <c r="O38" i="30"/>
  <c r="Q38" i="30" s="1"/>
  <c r="H38" i="30"/>
  <c r="G38" i="30"/>
  <c r="AB37" i="30"/>
  <c r="AC37" i="30" s="1"/>
  <c r="P37" i="30"/>
  <c r="H37" i="30"/>
  <c r="O37" i="30" s="1"/>
  <c r="Q37" i="30" s="1"/>
  <c r="G37" i="30"/>
  <c r="AC36" i="30"/>
  <c r="AB36" i="30"/>
  <c r="P36" i="30"/>
  <c r="H36" i="30"/>
  <c r="O36" i="30" s="1"/>
  <c r="Q36" i="30" s="1"/>
  <c r="G36" i="30"/>
  <c r="AB35" i="30"/>
  <c r="AC35" i="30" s="1"/>
  <c r="O35" i="30"/>
  <c r="H35" i="30"/>
  <c r="G35" i="30"/>
  <c r="AB34" i="30"/>
  <c r="AC34" i="30" s="1"/>
  <c r="G34" i="30"/>
  <c r="H34" i="30" s="1"/>
  <c r="AC33" i="30"/>
  <c r="AA33" i="30"/>
  <c r="Z33" i="30"/>
  <c r="Y33" i="30"/>
  <c r="X33" i="30"/>
  <c r="W33" i="30"/>
  <c r="V33" i="30"/>
  <c r="U33" i="30"/>
  <c r="T33" i="30"/>
  <c r="S33" i="30"/>
  <c r="R33" i="30"/>
  <c r="M33" i="30"/>
  <c r="K33" i="30"/>
  <c r="J33" i="30"/>
  <c r="A31" i="30"/>
  <c r="N30" i="30"/>
  <c r="H30" i="30"/>
  <c r="P30" i="30" s="1"/>
  <c r="G30" i="30"/>
  <c r="AA27" i="30"/>
  <c r="Z27" i="30"/>
  <c r="Y27" i="30"/>
  <c r="X27" i="30"/>
  <c r="W27" i="30"/>
  <c r="V27" i="30"/>
  <c r="U27" i="30"/>
  <c r="T27" i="30"/>
  <c r="S27" i="30"/>
  <c r="R27" i="30"/>
  <c r="AB27" i="30" s="1"/>
  <c r="AC27" i="30" s="1"/>
  <c r="M27" i="30"/>
  <c r="L27" i="30"/>
  <c r="K27" i="30"/>
  <c r="J27" i="30"/>
  <c r="AB26" i="30"/>
  <c r="AC26" i="30" s="1"/>
  <c r="Q26" i="30"/>
  <c r="O26" i="30"/>
  <c r="P26" i="30"/>
  <c r="H26" i="30"/>
  <c r="G26" i="30"/>
  <c r="AB25" i="30"/>
  <c r="AC25" i="30" s="1"/>
  <c r="P25" i="30"/>
  <c r="H25" i="30"/>
  <c r="O25" i="30" s="1"/>
  <c r="Q25" i="30" s="1"/>
  <c r="G25" i="30"/>
  <c r="AC24" i="30"/>
  <c r="AB24" i="30"/>
  <c r="P24" i="30"/>
  <c r="G24" i="30"/>
  <c r="H24" i="30" s="1"/>
  <c r="O24" i="30" s="1"/>
  <c r="Q24" i="30" s="1"/>
  <c r="AB23" i="30"/>
  <c r="AC23" i="30" s="1"/>
  <c r="O23" i="30"/>
  <c r="Q23" i="30" s="1"/>
  <c r="H23" i="30"/>
  <c r="G23" i="30"/>
  <c r="AB22" i="30"/>
  <c r="AC22" i="30" s="1"/>
  <c r="G22" i="30"/>
  <c r="H22" i="30" s="1"/>
  <c r="O22" i="30" s="1"/>
  <c r="AB21" i="30"/>
  <c r="AC21" i="30" s="1"/>
  <c r="G21" i="30"/>
  <c r="H21" i="30" s="1"/>
  <c r="O21" i="30" s="1"/>
  <c r="Q21" i="30" s="1"/>
  <c r="AC20" i="30"/>
  <c r="AA20" i="30"/>
  <c r="Z20" i="30"/>
  <c r="Y20" i="30"/>
  <c r="X20" i="30"/>
  <c r="W20" i="30"/>
  <c r="V20" i="30"/>
  <c r="U20" i="30"/>
  <c r="T20" i="30"/>
  <c r="S20" i="30"/>
  <c r="R20" i="30"/>
  <c r="M20" i="30"/>
  <c r="K20" i="30"/>
  <c r="J20" i="30"/>
  <c r="R19" i="30"/>
  <c r="R32" i="30" s="1"/>
  <c r="R45" i="30" s="1"/>
  <c r="R58" i="30" s="1"/>
  <c r="R71" i="30" s="1"/>
  <c r="R84" i="30" s="1"/>
  <c r="R97" i="30" s="1"/>
  <c r="R110" i="30" s="1"/>
  <c r="R123" i="30" s="1"/>
  <c r="R136" i="30" s="1"/>
  <c r="R149" i="30" s="1"/>
  <c r="R162" i="30" s="1"/>
  <c r="R175" i="30" s="1"/>
  <c r="R188" i="30" s="1"/>
  <c r="B19" i="30"/>
  <c r="B32" i="30" s="1"/>
  <c r="B45" i="30" s="1"/>
  <c r="B58" i="30" s="1"/>
  <c r="B71" i="30" s="1"/>
  <c r="B84" i="30" s="1"/>
  <c r="B97" i="30" s="1"/>
  <c r="B110" i="30" s="1"/>
  <c r="B123" i="30" s="1"/>
  <c r="B136" i="30" s="1"/>
  <c r="B149" i="30" s="1"/>
  <c r="B162" i="30" s="1"/>
  <c r="B175" i="30" s="1"/>
  <c r="B188" i="30" s="1"/>
  <c r="P17" i="30"/>
  <c r="H17" i="30"/>
  <c r="G17" i="30"/>
  <c r="AA14" i="30"/>
  <c r="Z14" i="30"/>
  <c r="Y14" i="30"/>
  <c r="X14" i="30"/>
  <c r="W14" i="30"/>
  <c r="V14" i="30"/>
  <c r="U14" i="30"/>
  <c r="T14" i="30"/>
  <c r="S14" i="30"/>
  <c r="R14" i="30"/>
  <c r="M14" i="30"/>
  <c r="L14" i="30"/>
  <c r="K14" i="30"/>
  <c r="J14" i="30"/>
  <c r="N17" i="30" s="1"/>
  <c r="AB13" i="30"/>
  <c r="AC13" i="30" s="1"/>
  <c r="Q13" i="30"/>
  <c r="O13" i="30"/>
  <c r="P13" i="30"/>
  <c r="H13" i="30"/>
  <c r="G13" i="30"/>
  <c r="AB12" i="30"/>
  <c r="AC12" i="30" s="1"/>
  <c r="P12" i="30"/>
  <c r="H12" i="30"/>
  <c r="O12" i="30" s="1"/>
  <c r="Q12" i="30" s="1"/>
  <c r="G12" i="30"/>
  <c r="AB11" i="30"/>
  <c r="AC11" i="30" s="1"/>
  <c r="Q11" i="30"/>
  <c r="P11" i="30"/>
  <c r="G11" i="30"/>
  <c r="H11" i="30" s="1"/>
  <c r="AB10" i="30"/>
  <c r="AC10" i="30" s="1"/>
  <c r="Q10" i="30"/>
  <c r="P10" i="30"/>
  <c r="G10" i="30"/>
  <c r="H10" i="30" s="1"/>
  <c r="AB9" i="30"/>
  <c r="AC9" i="30" s="1"/>
  <c r="Q9" i="30"/>
  <c r="P9" i="30"/>
  <c r="H9" i="30"/>
  <c r="G9" i="30"/>
  <c r="AB8" i="30"/>
  <c r="AC8" i="30" s="1"/>
  <c r="G8" i="30"/>
  <c r="H8" i="30" s="1"/>
  <c r="AA7" i="30"/>
  <c r="Z7" i="30"/>
  <c r="Y7" i="30"/>
  <c r="X7" i="30"/>
  <c r="W7" i="30"/>
  <c r="V7" i="30"/>
  <c r="U7" i="30"/>
  <c r="T7" i="30"/>
  <c r="S7" i="30"/>
  <c r="R7" i="30"/>
  <c r="M7" i="30"/>
  <c r="K7" i="30"/>
  <c r="J7" i="30"/>
  <c r="E2" i="30"/>
  <c r="A6" i="30" s="1" a="1"/>
  <c r="G212" i="29"/>
  <c r="H212" i="29" s="1"/>
  <c r="P212" i="29" s="1"/>
  <c r="AA209" i="29"/>
  <c r="Z209" i="29"/>
  <c r="Y209" i="29"/>
  <c r="X209" i="29"/>
  <c r="W209" i="29"/>
  <c r="V209" i="29"/>
  <c r="U209" i="29"/>
  <c r="T209" i="29"/>
  <c r="S209" i="29"/>
  <c r="R209" i="29"/>
  <c r="M209" i="29"/>
  <c r="L209" i="29"/>
  <c r="K209" i="29"/>
  <c r="J209" i="29"/>
  <c r="AB208" i="29"/>
  <c r="AC208" i="29" s="1"/>
  <c r="G208" i="29"/>
  <c r="H208" i="29" s="1"/>
  <c r="O208" i="29" s="1"/>
  <c r="Q208" i="29" s="1"/>
  <c r="AB207" i="29"/>
  <c r="AC207" i="29" s="1"/>
  <c r="G207" i="29"/>
  <c r="H207" i="29" s="1"/>
  <c r="O207" i="29" s="1"/>
  <c r="Q207" i="29" s="1"/>
  <c r="AC206" i="29"/>
  <c r="AB206" i="29"/>
  <c r="G206" i="29"/>
  <c r="H206" i="29" s="1"/>
  <c r="O206" i="29" s="1"/>
  <c r="Q206" i="29" s="1"/>
  <c r="AB205" i="29"/>
  <c r="AC205" i="29" s="1"/>
  <c r="G205" i="29"/>
  <c r="H205" i="29" s="1"/>
  <c r="O205" i="29" s="1"/>
  <c r="Q205" i="29" s="1"/>
  <c r="AB204" i="29"/>
  <c r="AC204" i="29" s="1"/>
  <c r="G204" i="29"/>
  <c r="H204" i="29" s="1"/>
  <c r="O204" i="29" s="1"/>
  <c r="Q204" i="29" s="1"/>
  <c r="AB203" i="29"/>
  <c r="AC203" i="29" s="1"/>
  <c r="G203" i="29"/>
  <c r="H203" i="29" s="1"/>
  <c r="O203" i="29" s="1"/>
  <c r="Q203" i="29" s="1"/>
  <c r="AC202" i="29"/>
  <c r="AA202" i="29"/>
  <c r="Z202" i="29"/>
  <c r="Y202" i="29"/>
  <c r="X202" i="29"/>
  <c r="W202" i="29"/>
  <c r="V202" i="29"/>
  <c r="U202" i="29"/>
  <c r="T202" i="29"/>
  <c r="S202" i="29"/>
  <c r="R202" i="29"/>
  <c r="M202" i="29"/>
  <c r="K202" i="29"/>
  <c r="J202" i="29"/>
  <c r="G199" i="29"/>
  <c r="H199" i="29" s="1"/>
  <c r="P199" i="29" s="1"/>
  <c r="AA196" i="29"/>
  <c r="Z196" i="29"/>
  <c r="Y196" i="29"/>
  <c r="X196" i="29"/>
  <c r="W196" i="29"/>
  <c r="V196" i="29"/>
  <c r="U196" i="29"/>
  <c r="T196" i="29"/>
  <c r="S196" i="29"/>
  <c r="R196" i="29"/>
  <c r="M196" i="29"/>
  <c r="L196" i="29"/>
  <c r="K196" i="29"/>
  <c r="J196" i="29"/>
  <c r="N199" i="29" s="1"/>
  <c r="AB195" i="29"/>
  <c r="AC195" i="29" s="1"/>
  <c r="G195" i="29"/>
  <c r="H195" i="29" s="1"/>
  <c r="O195" i="29" s="1"/>
  <c r="Q195" i="29" s="1"/>
  <c r="AB194" i="29"/>
  <c r="AC194" i="29" s="1"/>
  <c r="Q194" i="29"/>
  <c r="H194" i="29"/>
  <c r="O194" i="29" s="1"/>
  <c r="P194" i="29" s="1"/>
  <c r="G194" i="29"/>
  <c r="AB193" i="29"/>
  <c r="AC193" i="29" s="1"/>
  <c r="G193" i="29"/>
  <c r="H193" i="29" s="1"/>
  <c r="O193" i="29" s="1"/>
  <c r="Q193" i="29" s="1"/>
  <c r="AC192" i="29"/>
  <c r="AB192" i="29"/>
  <c r="G192" i="29"/>
  <c r="H192" i="29" s="1"/>
  <c r="O192" i="29" s="1"/>
  <c r="Q192" i="29" s="1"/>
  <c r="AB191" i="29"/>
  <c r="AC191" i="29" s="1"/>
  <c r="H191" i="29"/>
  <c r="O191" i="29" s="1"/>
  <c r="Q191" i="29" s="1"/>
  <c r="G191" i="29"/>
  <c r="AB190" i="29"/>
  <c r="AC190" i="29" s="1"/>
  <c r="G190" i="29"/>
  <c r="H190" i="29" s="1"/>
  <c r="AC189" i="29"/>
  <c r="AA189" i="29"/>
  <c r="Z189" i="29"/>
  <c r="Y189" i="29"/>
  <c r="X189" i="29"/>
  <c r="W189" i="29"/>
  <c r="V189" i="29"/>
  <c r="U189" i="29"/>
  <c r="T189" i="29"/>
  <c r="S189" i="29"/>
  <c r="R189" i="29"/>
  <c r="M189" i="29"/>
  <c r="K189" i="29"/>
  <c r="J189" i="29"/>
  <c r="N186" i="29"/>
  <c r="G186" i="29"/>
  <c r="H186" i="29" s="1"/>
  <c r="P186" i="29" s="1"/>
  <c r="AA183" i="29"/>
  <c r="Z183" i="29"/>
  <c r="Y183" i="29"/>
  <c r="X183" i="29"/>
  <c r="W183" i="29"/>
  <c r="V183" i="29"/>
  <c r="U183" i="29"/>
  <c r="T183" i="29"/>
  <c r="S183" i="29"/>
  <c r="R183" i="29"/>
  <c r="M183" i="29"/>
  <c r="L183" i="29"/>
  <c r="K183" i="29"/>
  <c r="J183" i="29"/>
  <c r="AB182" i="29"/>
  <c r="AC182" i="29" s="1"/>
  <c r="G182" i="29"/>
  <c r="H182" i="29" s="1"/>
  <c r="O182" i="29" s="1"/>
  <c r="Q182" i="29" s="1"/>
  <c r="AB181" i="29"/>
  <c r="AC181" i="29" s="1"/>
  <c r="G181" i="29"/>
  <c r="H181" i="29" s="1"/>
  <c r="O181" i="29" s="1"/>
  <c r="Q181" i="29" s="1"/>
  <c r="AB180" i="29"/>
  <c r="AC180" i="29" s="1"/>
  <c r="G180" i="29"/>
  <c r="H180" i="29" s="1"/>
  <c r="O180" i="29" s="1"/>
  <c r="Q180" i="29" s="1"/>
  <c r="AB179" i="29"/>
  <c r="AC179" i="29" s="1"/>
  <c r="G179" i="29"/>
  <c r="H179" i="29" s="1"/>
  <c r="O179" i="29" s="1"/>
  <c r="Q179" i="29" s="1"/>
  <c r="AB178" i="29"/>
  <c r="AC178" i="29" s="1"/>
  <c r="G178" i="29"/>
  <c r="H178" i="29" s="1"/>
  <c r="H183" i="29" s="1"/>
  <c r="O183" i="29" s="1"/>
  <c r="AB177" i="29"/>
  <c r="AC177" i="29" s="1"/>
  <c r="G177" i="29"/>
  <c r="H177" i="29" s="1"/>
  <c r="O177" i="29" s="1"/>
  <c r="Q177" i="29" s="1"/>
  <c r="AC176" i="29"/>
  <c r="AA176" i="29"/>
  <c r="Z176" i="29"/>
  <c r="Y176" i="29"/>
  <c r="X176" i="29"/>
  <c r="W176" i="29"/>
  <c r="V176" i="29"/>
  <c r="U176" i="29"/>
  <c r="T176" i="29"/>
  <c r="S176" i="29"/>
  <c r="R176" i="29"/>
  <c r="M176" i="29"/>
  <c r="K176" i="29"/>
  <c r="J176" i="29"/>
  <c r="G173" i="29"/>
  <c r="H173" i="29" s="1"/>
  <c r="P173" i="29" s="1"/>
  <c r="AA170" i="29"/>
  <c r="Z170" i="29"/>
  <c r="Y170" i="29"/>
  <c r="X170" i="29"/>
  <c r="W170" i="29"/>
  <c r="V170" i="29"/>
  <c r="U170" i="29"/>
  <c r="T170" i="29"/>
  <c r="AB170" i="29" s="1"/>
  <c r="AC170" i="29" s="1"/>
  <c r="S170" i="29"/>
  <c r="R170" i="29"/>
  <c r="M170" i="29"/>
  <c r="L170" i="29"/>
  <c r="K170" i="29"/>
  <c r="J170" i="29"/>
  <c r="N173" i="29" s="1"/>
  <c r="AC169" i="29"/>
  <c r="AB169" i="29"/>
  <c r="G169" i="29"/>
  <c r="H169" i="29" s="1"/>
  <c r="O169" i="29" s="1"/>
  <c r="Q169" i="29" s="1"/>
  <c r="AB168" i="29"/>
  <c r="AC168" i="29" s="1"/>
  <c r="G168" i="29"/>
  <c r="H168" i="29" s="1"/>
  <c r="O168" i="29" s="1"/>
  <c r="AB167" i="29"/>
  <c r="AC167" i="29" s="1"/>
  <c r="G167" i="29"/>
  <c r="H167" i="29" s="1"/>
  <c r="O167" i="29" s="1"/>
  <c r="Q167" i="29" s="1"/>
  <c r="AC166" i="29"/>
  <c r="AB166" i="29"/>
  <c r="G166" i="29"/>
  <c r="H166" i="29" s="1"/>
  <c r="O166" i="29" s="1"/>
  <c r="Q166" i="29" s="1"/>
  <c r="AC165" i="29"/>
  <c r="AB165" i="29"/>
  <c r="G165" i="29"/>
  <c r="H165" i="29" s="1"/>
  <c r="O165" i="29" s="1"/>
  <c r="AB164" i="29"/>
  <c r="AC164" i="29" s="1"/>
  <c r="G164" i="29"/>
  <c r="H164" i="29" s="1"/>
  <c r="O164" i="29" s="1"/>
  <c r="Q164" i="29" s="1"/>
  <c r="AC163" i="29"/>
  <c r="AA163" i="29"/>
  <c r="Z163" i="29"/>
  <c r="Y163" i="29"/>
  <c r="X163" i="29"/>
  <c r="W163" i="29"/>
  <c r="V163" i="29"/>
  <c r="U163" i="29"/>
  <c r="T163" i="29"/>
  <c r="S163" i="29"/>
  <c r="R163" i="29"/>
  <c r="M163" i="29"/>
  <c r="K163" i="29"/>
  <c r="J163" i="29"/>
  <c r="G160" i="29"/>
  <c r="H160" i="29" s="1"/>
  <c r="P160" i="29" s="1"/>
  <c r="AA157" i="29"/>
  <c r="Z157" i="29"/>
  <c r="Y157" i="29"/>
  <c r="X157" i="29"/>
  <c r="W157" i="29"/>
  <c r="V157" i="29"/>
  <c r="U157" i="29"/>
  <c r="T157" i="29"/>
  <c r="S157" i="29"/>
  <c r="R157" i="29"/>
  <c r="AB157" i="29" s="1"/>
  <c r="M157" i="29"/>
  <c r="L157" i="29"/>
  <c r="N160" i="29" s="1"/>
  <c r="K157" i="29"/>
  <c r="J157" i="29"/>
  <c r="AB156" i="29"/>
  <c r="AC156" i="29" s="1"/>
  <c r="O156" i="29"/>
  <c r="Q156" i="29" s="1"/>
  <c r="P156" i="29"/>
  <c r="G156" i="29"/>
  <c r="H156" i="29" s="1"/>
  <c r="AB155" i="29"/>
  <c r="AC155" i="29" s="1"/>
  <c r="G155" i="29"/>
  <c r="H155" i="29" s="1"/>
  <c r="O155" i="29" s="1"/>
  <c r="Q155" i="29" s="1"/>
  <c r="AB154" i="29"/>
  <c r="AC154" i="29" s="1"/>
  <c r="H154" i="29"/>
  <c r="O154" i="29" s="1"/>
  <c r="Q154" i="29" s="1"/>
  <c r="G154" i="29"/>
  <c r="AB153" i="29"/>
  <c r="AC153" i="29" s="1"/>
  <c r="G153" i="29"/>
  <c r="H153" i="29" s="1"/>
  <c r="O153" i="29" s="1"/>
  <c r="Q153" i="29" s="1"/>
  <c r="AB152" i="29"/>
  <c r="AC152" i="29" s="1"/>
  <c r="G152" i="29"/>
  <c r="H152" i="29" s="1"/>
  <c r="O152" i="29" s="1"/>
  <c r="AB151" i="29"/>
  <c r="AC151" i="29" s="1"/>
  <c r="G151" i="29"/>
  <c r="H151" i="29" s="1"/>
  <c r="AC150" i="29"/>
  <c r="AA150" i="29"/>
  <c r="Z150" i="29"/>
  <c r="Y150" i="29"/>
  <c r="X150" i="29"/>
  <c r="W150" i="29"/>
  <c r="V150" i="29"/>
  <c r="U150" i="29"/>
  <c r="T150" i="29"/>
  <c r="S150" i="29"/>
  <c r="R150" i="29"/>
  <c r="M150" i="29"/>
  <c r="K150" i="29"/>
  <c r="J150" i="29"/>
  <c r="G147" i="29"/>
  <c r="H147" i="29" s="1"/>
  <c r="P147" i="29" s="1"/>
  <c r="AA144" i="29"/>
  <c r="Z144" i="29"/>
  <c r="Y144" i="29"/>
  <c r="X144" i="29"/>
  <c r="W144" i="29"/>
  <c r="V144" i="29"/>
  <c r="U144" i="29"/>
  <c r="T144" i="29"/>
  <c r="S144" i="29"/>
  <c r="R144" i="29"/>
  <c r="M144" i="29"/>
  <c r="L144" i="29"/>
  <c r="K144" i="29"/>
  <c r="J144" i="29"/>
  <c r="AB143" i="29"/>
  <c r="AC143" i="29" s="1"/>
  <c r="G143" i="29"/>
  <c r="H143" i="29" s="1"/>
  <c r="O143" i="29" s="1"/>
  <c r="Q143" i="29" s="1"/>
  <c r="AC142" i="29"/>
  <c r="AB142" i="29"/>
  <c r="G142" i="29"/>
  <c r="H142" i="29" s="1"/>
  <c r="O142" i="29" s="1"/>
  <c r="Q142" i="29" s="1"/>
  <c r="AB141" i="29"/>
  <c r="AC141" i="29" s="1"/>
  <c r="H141" i="29"/>
  <c r="O141" i="29" s="1"/>
  <c r="Q141" i="29" s="1"/>
  <c r="G141" i="29"/>
  <c r="AB140" i="29"/>
  <c r="AC140" i="29" s="1"/>
  <c r="G140" i="29"/>
  <c r="H140" i="29" s="1"/>
  <c r="O140" i="29" s="1"/>
  <c r="Q140" i="29" s="1"/>
  <c r="AB139" i="29"/>
  <c r="AC139" i="29" s="1"/>
  <c r="G139" i="29"/>
  <c r="H139" i="29" s="1"/>
  <c r="O139" i="29" s="1"/>
  <c r="Q139" i="29" s="1"/>
  <c r="AB138" i="29"/>
  <c r="AC138" i="29" s="1"/>
  <c r="H138" i="29"/>
  <c r="O138" i="29" s="1"/>
  <c r="Q138" i="29" s="1"/>
  <c r="G138" i="29"/>
  <c r="AC137" i="29"/>
  <c r="AA137" i="29"/>
  <c r="Z137" i="29"/>
  <c r="Y137" i="29"/>
  <c r="X137" i="29"/>
  <c r="W137" i="29"/>
  <c r="V137" i="29"/>
  <c r="U137" i="29"/>
  <c r="T137" i="29"/>
  <c r="S137" i="29"/>
  <c r="R137" i="29"/>
  <c r="M137" i="29"/>
  <c r="K137" i="29"/>
  <c r="J137" i="29"/>
  <c r="B136" i="29"/>
  <c r="B149" i="29" s="1"/>
  <c r="B162" i="29" s="1"/>
  <c r="B175" i="29" s="1"/>
  <c r="B188" i="29" s="1"/>
  <c r="B201" i="29" s="1"/>
  <c r="G134" i="29"/>
  <c r="H134" i="29" s="1"/>
  <c r="P134" i="29" s="1"/>
  <c r="AA131" i="29"/>
  <c r="Z131" i="29"/>
  <c r="Y131" i="29"/>
  <c r="X131" i="29"/>
  <c r="W131" i="29"/>
  <c r="V131" i="29"/>
  <c r="U131" i="29"/>
  <c r="T131" i="29"/>
  <c r="S131" i="29"/>
  <c r="R131" i="29"/>
  <c r="M131" i="29"/>
  <c r="L131" i="29"/>
  <c r="K131" i="29"/>
  <c r="J131" i="29"/>
  <c r="AB130" i="29"/>
  <c r="AC130" i="29" s="1"/>
  <c r="Q130" i="29"/>
  <c r="P130" i="29"/>
  <c r="G130" i="29"/>
  <c r="H130" i="29" s="1"/>
  <c r="O130" i="29" s="1"/>
  <c r="AB129" i="29"/>
  <c r="AC129" i="29" s="1"/>
  <c r="H129" i="29"/>
  <c r="O129" i="29" s="1"/>
  <c r="Q129" i="29" s="1"/>
  <c r="G129" i="29"/>
  <c r="AB128" i="29"/>
  <c r="AC128" i="29" s="1"/>
  <c r="G128" i="29"/>
  <c r="H128" i="29" s="1"/>
  <c r="O128" i="29" s="1"/>
  <c r="Q128" i="29" s="1"/>
  <c r="AB127" i="29"/>
  <c r="AC127" i="29" s="1"/>
  <c r="G127" i="29"/>
  <c r="H127" i="29" s="1"/>
  <c r="O127" i="29" s="1"/>
  <c r="Q127" i="29" s="1"/>
  <c r="AB126" i="29"/>
  <c r="AC126" i="29" s="1"/>
  <c r="G126" i="29"/>
  <c r="H126" i="29" s="1"/>
  <c r="O126" i="29" s="1"/>
  <c r="Q126" i="29" s="1"/>
  <c r="AB125" i="29"/>
  <c r="AC125" i="29" s="1"/>
  <c r="G125" i="29"/>
  <c r="H125" i="29" s="1"/>
  <c r="AC124" i="29"/>
  <c r="AA124" i="29"/>
  <c r="Z124" i="29"/>
  <c r="Y124" i="29"/>
  <c r="X124" i="29"/>
  <c r="W124" i="29"/>
  <c r="V124" i="29"/>
  <c r="U124" i="29"/>
  <c r="T124" i="29"/>
  <c r="S124" i="29"/>
  <c r="R124" i="29"/>
  <c r="M124" i="29"/>
  <c r="K124" i="29"/>
  <c r="J124" i="29"/>
  <c r="N121" i="29"/>
  <c r="H121" i="29"/>
  <c r="P121" i="29" s="1"/>
  <c r="G121" i="29"/>
  <c r="AA118" i="29"/>
  <c r="Z118" i="29"/>
  <c r="Y118" i="29"/>
  <c r="X118" i="29"/>
  <c r="W118" i="29"/>
  <c r="V118" i="29"/>
  <c r="U118" i="29"/>
  <c r="T118" i="29"/>
  <c r="S118" i="29"/>
  <c r="AB118" i="29" s="1"/>
  <c r="AC118" i="29" s="1"/>
  <c r="R118" i="29"/>
  <c r="M118" i="29"/>
  <c r="L118" i="29"/>
  <c r="K118" i="29"/>
  <c r="J118" i="29"/>
  <c r="AB117" i="29"/>
  <c r="AC117" i="29" s="1"/>
  <c r="G117" i="29"/>
  <c r="H117" i="29" s="1"/>
  <c r="O117" i="29" s="1"/>
  <c r="Q117" i="29" s="1"/>
  <c r="AC116" i="29"/>
  <c r="AB116" i="29"/>
  <c r="G116" i="29"/>
  <c r="H116" i="29" s="1"/>
  <c r="O116" i="29" s="1"/>
  <c r="Q116" i="29" s="1"/>
  <c r="AB115" i="29"/>
  <c r="AC115" i="29" s="1"/>
  <c r="G115" i="29"/>
  <c r="H115" i="29" s="1"/>
  <c r="O115" i="29" s="1"/>
  <c r="Q115" i="29" s="1"/>
  <c r="AC114" i="29"/>
  <c r="AB114" i="29"/>
  <c r="G114" i="29"/>
  <c r="H114" i="29" s="1"/>
  <c r="O114" i="29" s="1"/>
  <c r="Q114" i="29" s="1"/>
  <c r="AC113" i="29"/>
  <c r="AB113" i="29"/>
  <c r="O113" i="29"/>
  <c r="Q113" i="29" s="1"/>
  <c r="H113" i="29"/>
  <c r="G113" i="29"/>
  <c r="AB112" i="29"/>
  <c r="AC112" i="29" s="1"/>
  <c r="G112" i="29"/>
  <c r="H112" i="29" s="1"/>
  <c r="O112" i="29" s="1"/>
  <c r="AC111" i="29"/>
  <c r="AA111" i="29"/>
  <c r="Z111" i="29"/>
  <c r="Y111" i="29"/>
  <c r="X111" i="29"/>
  <c r="W111" i="29"/>
  <c r="V111" i="29"/>
  <c r="U111" i="29"/>
  <c r="T111" i="29"/>
  <c r="S111" i="29"/>
  <c r="R111" i="29"/>
  <c r="M111" i="29"/>
  <c r="K111" i="29"/>
  <c r="J111" i="29"/>
  <c r="G108" i="29"/>
  <c r="H108" i="29" s="1"/>
  <c r="P108" i="29" s="1"/>
  <c r="AA105" i="29"/>
  <c r="Z105" i="29"/>
  <c r="Y105" i="29"/>
  <c r="X105" i="29"/>
  <c r="W105" i="29"/>
  <c r="V105" i="29"/>
  <c r="U105" i="29"/>
  <c r="T105" i="29"/>
  <c r="S105" i="29"/>
  <c r="R105" i="29"/>
  <c r="M105" i="29"/>
  <c r="L105" i="29"/>
  <c r="K105" i="29"/>
  <c r="J105" i="29"/>
  <c r="AC104" i="29"/>
  <c r="AB104" i="29"/>
  <c r="G104" i="29"/>
  <c r="H104" i="29" s="1"/>
  <c r="O104" i="29" s="1"/>
  <c r="Q104" i="29" s="1"/>
  <c r="AB103" i="29"/>
  <c r="AC103" i="29" s="1"/>
  <c r="G103" i="29"/>
  <c r="H103" i="29" s="1"/>
  <c r="O103" i="29" s="1"/>
  <c r="Q103" i="29" s="1"/>
  <c r="AB102" i="29"/>
  <c r="AC102" i="29" s="1"/>
  <c r="G102" i="29"/>
  <c r="H102" i="29" s="1"/>
  <c r="O102" i="29" s="1"/>
  <c r="Q102" i="29" s="1"/>
  <c r="AB101" i="29"/>
  <c r="AC101" i="29" s="1"/>
  <c r="H101" i="29"/>
  <c r="O101" i="29" s="1"/>
  <c r="Q101" i="29" s="1"/>
  <c r="G101" i="29"/>
  <c r="AB100" i="29"/>
  <c r="AC100" i="29" s="1"/>
  <c r="G100" i="29"/>
  <c r="H100" i="29" s="1"/>
  <c r="O100" i="29" s="1"/>
  <c r="Q100" i="29" s="1"/>
  <c r="AB99" i="29"/>
  <c r="AC99" i="29" s="1"/>
  <c r="G99" i="29"/>
  <c r="H99" i="29" s="1"/>
  <c r="O99" i="29" s="1"/>
  <c r="AC98" i="29"/>
  <c r="AA98" i="29"/>
  <c r="Z98" i="29"/>
  <c r="Y98" i="29"/>
  <c r="X98" i="29"/>
  <c r="W98" i="29"/>
  <c r="V98" i="29"/>
  <c r="U98" i="29"/>
  <c r="T98" i="29"/>
  <c r="S98" i="29"/>
  <c r="R98" i="29"/>
  <c r="M98" i="29"/>
  <c r="K98" i="29"/>
  <c r="J98" i="29"/>
  <c r="G95" i="29"/>
  <c r="H95" i="29" s="1"/>
  <c r="P95" i="29" s="1"/>
  <c r="AA92" i="29"/>
  <c r="AB92" i="29" s="1"/>
  <c r="AC92" i="29" s="1"/>
  <c r="Z92" i="29"/>
  <c r="Y92" i="29"/>
  <c r="X92" i="29"/>
  <c r="W92" i="29"/>
  <c r="V92" i="29"/>
  <c r="U92" i="29"/>
  <c r="T92" i="29"/>
  <c r="S92" i="29"/>
  <c r="R92" i="29"/>
  <c r="M92" i="29"/>
  <c r="L92" i="29"/>
  <c r="K92" i="29"/>
  <c r="N95" i="29" s="1"/>
  <c r="J92" i="29"/>
  <c r="AB91" i="29"/>
  <c r="AC91" i="29" s="1"/>
  <c r="O91" i="29"/>
  <c r="Q91" i="29" s="1"/>
  <c r="P91" i="29"/>
  <c r="H91" i="29"/>
  <c r="G91" i="29"/>
  <c r="AB90" i="29"/>
  <c r="AC90" i="29" s="1"/>
  <c r="G90" i="29"/>
  <c r="H90" i="29" s="1"/>
  <c r="O90" i="29" s="1"/>
  <c r="Q90" i="29" s="1"/>
  <c r="AB89" i="29"/>
  <c r="AC89" i="29" s="1"/>
  <c r="G89" i="29"/>
  <c r="H89" i="29" s="1"/>
  <c r="O89" i="29" s="1"/>
  <c r="Q89" i="29" s="1"/>
  <c r="AB88" i="29"/>
  <c r="AC88" i="29" s="1"/>
  <c r="O88" i="29"/>
  <c r="H88" i="29"/>
  <c r="G88" i="29"/>
  <c r="AB87" i="29"/>
  <c r="AC87" i="29" s="1"/>
  <c r="G87" i="29"/>
  <c r="H87" i="29" s="1"/>
  <c r="O87" i="29" s="1"/>
  <c r="Q87" i="29" s="1"/>
  <c r="AB86" i="29"/>
  <c r="AC86" i="29" s="1"/>
  <c r="G86" i="29"/>
  <c r="H86" i="29" s="1"/>
  <c r="AC85" i="29"/>
  <c r="AA85" i="29"/>
  <c r="Z85" i="29"/>
  <c r="Y85" i="29"/>
  <c r="X85" i="29"/>
  <c r="W85" i="29"/>
  <c r="V85" i="29"/>
  <c r="U85" i="29"/>
  <c r="T85" i="29"/>
  <c r="S85" i="29"/>
  <c r="R85" i="29"/>
  <c r="M85" i="29"/>
  <c r="K85" i="29"/>
  <c r="J85" i="29"/>
  <c r="G82" i="29"/>
  <c r="H82" i="29" s="1"/>
  <c r="P82" i="29" s="1"/>
  <c r="AA79" i="29"/>
  <c r="Z79" i="29"/>
  <c r="Y79" i="29"/>
  <c r="X79" i="29"/>
  <c r="W79" i="29"/>
  <c r="V79" i="29"/>
  <c r="U79" i="29"/>
  <c r="T79" i="29"/>
  <c r="S79" i="29"/>
  <c r="R79" i="29"/>
  <c r="M79" i="29"/>
  <c r="L79" i="29"/>
  <c r="K79" i="29"/>
  <c r="J79" i="29"/>
  <c r="AB78" i="29"/>
  <c r="AC78" i="29" s="1"/>
  <c r="G78" i="29"/>
  <c r="H78" i="29" s="1"/>
  <c r="O78" i="29" s="1"/>
  <c r="Q78" i="29" s="1"/>
  <c r="AC77" i="29"/>
  <c r="AB77" i="29"/>
  <c r="G77" i="29"/>
  <c r="H77" i="29" s="1"/>
  <c r="O77" i="29" s="1"/>
  <c r="Q77" i="29" s="1"/>
  <c r="AC76" i="29"/>
  <c r="AB76" i="29"/>
  <c r="G76" i="29"/>
  <c r="H76" i="29" s="1"/>
  <c r="O76" i="29" s="1"/>
  <c r="Q76" i="29" s="1"/>
  <c r="AB75" i="29"/>
  <c r="AC75" i="29" s="1"/>
  <c r="G75" i="29"/>
  <c r="H75" i="29" s="1"/>
  <c r="O75" i="29" s="1"/>
  <c r="Q75" i="29" s="1"/>
  <c r="AC74" i="29"/>
  <c r="AB74" i="29"/>
  <c r="G74" i="29"/>
  <c r="H74" i="29" s="1"/>
  <c r="O74" i="29" s="1"/>
  <c r="AB73" i="29"/>
  <c r="AC73" i="29" s="1"/>
  <c r="G73" i="29"/>
  <c r="H73" i="29" s="1"/>
  <c r="AC72" i="29"/>
  <c r="AA72" i="29"/>
  <c r="Z72" i="29"/>
  <c r="Y72" i="29"/>
  <c r="X72" i="29"/>
  <c r="W72" i="29"/>
  <c r="V72" i="29"/>
  <c r="U72" i="29"/>
  <c r="T72" i="29"/>
  <c r="S72" i="29"/>
  <c r="R72" i="29"/>
  <c r="M72" i="29"/>
  <c r="K72" i="29"/>
  <c r="J72" i="29"/>
  <c r="G69" i="29"/>
  <c r="H69" i="29" s="1"/>
  <c r="P69" i="29" s="1"/>
  <c r="AA66" i="29"/>
  <c r="Z66" i="29"/>
  <c r="Y66" i="29"/>
  <c r="X66" i="29"/>
  <c r="W66" i="29"/>
  <c r="V66" i="29"/>
  <c r="U66" i="29"/>
  <c r="T66" i="29"/>
  <c r="S66" i="29"/>
  <c r="R66" i="29"/>
  <c r="AB66" i="29" s="1"/>
  <c r="AC66" i="29" s="1"/>
  <c r="M66" i="29"/>
  <c r="L66" i="29"/>
  <c r="K66" i="29"/>
  <c r="J66" i="29"/>
  <c r="AB65" i="29"/>
  <c r="AC65" i="29" s="1"/>
  <c r="G65" i="29"/>
  <c r="H65" i="29" s="1"/>
  <c r="O65" i="29" s="1"/>
  <c r="P65" i="29" s="1"/>
  <c r="AB64" i="29"/>
  <c r="AC64" i="29" s="1"/>
  <c r="G64" i="29"/>
  <c r="H64" i="29" s="1"/>
  <c r="O64" i="29" s="1"/>
  <c r="Q64" i="29" s="1"/>
  <c r="AC63" i="29"/>
  <c r="AB63" i="29"/>
  <c r="O63" i="29"/>
  <c r="Q63" i="29" s="1"/>
  <c r="H63" i="29"/>
  <c r="G63" i="29"/>
  <c r="AB62" i="29"/>
  <c r="AC62" i="29" s="1"/>
  <c r="G62" i="29"/>
  <c r="H62" i="29" s="1"/>
  <c r="O62" i="29" s="1"/>
  <c r="AB61" i="29"/>
  <c r="AC61" i="29" s="1"/>
  <c r="Q61" i="29"/>
  <c r="P61" i="29"/>
  <c r="G61" i="29"/>
  <c r="H61" i="29" s="1"/>
  <c r="O61" i="29" s="1"/>
  <c r="AC60" i="29"/>
  <c r="AB60" i="29"/>
  <c r="G60" i="29"/>
  <c r="H60" i="29" s="1"/>
  <c r="AC59" i="29"/>
  <c r="AA59" i="29"/>
  <c r="Z59" i="29"/>
  <c r="Y59" i="29"/>
  <c r="X59" i="29"/>
  <c r="W59" i="29"/>
  <c r="V59" i="29"/>
  <c r="U59" i="29"/>
  <c r="T59" i="29"/>
  <c r="S59" i="29"/>
  <c r="R59" i="29"/>
  <c r="M59" i="29"/>
  <c r="K59" i="29"/>
  <c r="J59" i="29"/>
  <c r="H56" i="29"/>
  <c r="P56" i="29" s="1"/>
  <c r="G56" i="29"/>
  <c r="AA53" i="29"/>
  <c r="Z53" i="29"/>
  <c r="Y53" i="29"/>
  <c r="X53" i="29"/>
  <c r="W53" i="29"/>
  <c r="V53" i="29"/>
  <c r="U53" i="29"/>
  <c r="T53" i="29"/>
  <c r="S53" i="29"/>
  <c r="R53" i="29"/>
  <c r="M53" i="29"/>
  <c r="L53" i="29"/>
  <c r="N56" i="29" s="1"/>
  <c r="K53" i="29"/>
  <c r="J53" i="29"/>
  <c r="AB52" i="29"/>
  <c r="AC52" i="29" s="1"/>
  <c r="G52" i="29"/>
  <c r="H52" i="29" s="1"/>
  <c r="O52" i="29" s="1"/>
  <c r="AC51" i="29"/>
  <c r="AB51" i="29"/>
  <c r="G51" i="29"/>
  <c r="H51" i="29" s="1"/>
  <c r="O51" i="29" s="1"/>
  <c r="Q51" i="29" s="1"/>
  <c r="AB50" i="29"/>
  <c r="AC50" i="29" s="1"/>
  <c r="G50" i="29"/>
  <c r="H50" i="29" s="1"/>
  <c r="O50" i="29" s="1"/>
  <c r="AC49" i="29"/>
  <c r="AB49" i="29"/>
  <c r="G49" i="29"/>
  <c r="H49" i="29" s="1"/>
  <c r="O49" i="29" s="1"/>
  <c r="Q49" i="29" s="1"/>
  <c r="AB48" i="29"/>
  <c r="AC48" i="29" s="1"/>
  <c r="H48" i="29"/>
  <c r="O48" i="29" s="1"/>
  <c r="G48" i="29"/>
  <c r="AB47" i="29"/>
  <c r="AC47" i="29" s="1"/>
  <c r="G47" i="29"/>
  <c r="H47" i="29" s="1"/>
  <c r="O47" i="29" s="1"/>
  <c r="Q47" i="29" s="1"/>
  <c r="AC46" i="29"/>
  <c r="AA46" i="29"/>
  <c r="Z46" i="29"/>
  <c r="Y46" i="29"/>
  <c r="X46" i="29"/>
  <c r="W46" i="29"/>
  <c r="V46" i="29"/>
  <c r="U46" i="29"/>
  <c r="T46" i="29"/>
  <c r="S46" i="29"/>
  <c r="R46" i="29"/>
  <c r="M46" i="29"/>
  <c r="K46" i="29"/>
  <c r="J46" i="29"/>
  <c r="R45" i="29"/>
  <c r="R58" i="29" s="1"/>
  <c r="R71" i="29" s="1"/>
  <c r="R84" i="29" s="1"/>
  <c r="R97" i="29" s="1"/>
  <c r="R110" i="29" s="1"/>
  <c r="R123" i="29" s="1"/>
  <c r="R136" i="29" s="1"/>
  <c r="R149" i="29" s="1"/>
  <c r="R162" i="29" s="1"/>
  <c r="R175" i="29" s="1"/>
  <c r="R188" i="29" s="1"/>
  <c r="R201" i="29" s="1"/>
  <c r="G43" i="29"/>
  <c r="H43" i="29" s="1"/>
  <c r="P43" i="29" s="1"/>
  <c r="AA40" i="29"/>
  <c r="Z40" i="29"/>
  <c r="Y40" i="29"/>
  <c r="X40" i="29"/>
  <c r="W40" i="29"/>
  <c r="V40" i="29"/>
  <c r="U40" i="29"/>
  <c r="T40" i="29"/>
  <c r="S40" i="29"/>
  <c r="R40" i="29"/>
  <c r="M40" i="29"/>
  <c r="L40" i="29"/>
  <c r="K40" i="29"/>
  <c r="J40" i="29"/>
  <c r="AC39" i="29"/>
  <c r="AB39" i="29"/>
  <c r="G39" i="29"/>
  <c r="H39" i="29" s="1"/>
  <c r="O39" i="29" s="1"/>
  <c r="Q39" i="29" s="1"/>
  <c r="AB38" i="29"/>
  <c r="AC38" i="29" s="1"/>
  <c r="Q38" i="29"/>
  <c r="O38" i="29"/>
  <c r="P38" i="29"/>
  <c r="H38" i="29"/>
  <c r="G38" i="29"/>
  <c r="AB37" i="29"/>
  <c r="AC37" i="29" s="1"/>
  <c r="G37" i="29"/>
  <c r="H37" i="29" s="1"/>
  <c r="O37" i="29" s="1"/>
  <c r="Q37" i="29" s="1"/>
  <c r="AB36" i="29"/>
  <c r="AC36" i="29" s="1"/>
  <c r="G36" i="29"/>
  <c r="H36" i="29" s="1"/>
  <c r="O36" i="29" s="1"/>
  <c r="Q36" i="29" s="1"/>
  <c r="AB35" i="29"/>
  <c r="AC35" i="29" s="1"/>
  <c r="G35" i="29"/>
  <c r="H35" i="29" s="1"/>
  <c r="O35" i="29" s="1"/>
  <c r="Q35" i="29" s="1"/>
  <c r="AB34" i="29"/>
  <c r="AC34" i="29" s="1"/>
  <c r="G34" i="29"/>
  <c r="H34" i="29" s="1"/>
  <c r="O34" i="29" s="1"/>
  <c r="Q34" i="29" s="1"/>
  <c r="AC33" i="29"/>
  <c r="AA33" i="29"/>
  <c r="Z33" i="29"/>
  <c r="Y33" i="29"/>
  <c r="X33" i="29"/>
  <c r="W33" i="29"/>
  <c r="V33" i="29"/>
  <c r="U33" i="29"/>
  <c r="T33" i="29"/>
  <c r="S33" i="29"/>
  <c r="R33" i="29"/>
  <c r="M33" i="29"/>
  <c r="K33" i="29"/>
  <c r="J33" i="29"/>
  <c r="R32" i="29"/>
  <c r="A31" i="29"/>
  <c r="A44" i="29" s="1"/>
  <c r="A57" i="29" s="1"/>
  <c r="A70" i="29" s="1"/>
  <c r="A83" i="29" s="1"/>
  <c r="A96" i="29" s="1"/>
  <c r="A109" i="29" s="1"/>
  <c r="A122" i="29" s="1"/>
  <c r="A135" i="29" s="1"/>
  <c r="A148" i="29" s="1"/>
  <c r="A161" i="29" s="1"/>
  <c r="A174" i="29" s="1"/>
  <c r="A187" i="29" s="1"/>
  <c r="A200" i="29" s="1"/>
  <c r="A213" i="29" s="1"/>
  <c r="G30" i="29"/>
  <c r="H30" i="29" s="1"/>
  <c r="P30" i="29" s="1"/>
  <c r="AA27" i="29"/>
  <c r="Z27" i="29"/>
  <c r="Y27" i="29"/>
  <c r="X27" i="29"/>
  <c r="W27" i="29"/>
  <c r="V27" i="29"/>
  <c r="U27" i="29"/>
  <c r="T27" i="29"/>
  <c r="S27" i="29"/>
  <c r="R27" i="29"/>
  <c r="M27" i="29"/>
  <c r="L27" i="29"/>
  <c r="K27" i="29"/>
  <c r="J27" i="29"/>
  <c r="AC26" i="29"/>
  <c r="AB26" i="29"/>
  <c r="G26" i="29"/>
  <c r="H26" i="29" s="1"/>
  <c r="O26" i="29" s="1"/>
  <c r="Q26" i="29" s="1"/>
  <c r="AB25" i="29"/>
  <c r="AC25" i="29" s="1"/>
  <c r="O25" i="29"/>
  <c r="Q25" i="29" s="1"/>
  <c r="H25" i="29"/>
  <c r="G25" i="29"/>
  <c r="AB24" i="29"/>
  <c r="AC24" i="29" s="1"/>
  <c r="G24" i="29"/>
  <c r="H24" i="29" s="1"/>
  <c r="O24" i="29" s="1"/>
  <c r="AB23" i="29"/>
  <c r="AC23" i="29" s="1"/>
  <c r="G23" i="29"/>
  <c r="H23" i="29" s="1"/>
  <c r="O23" i="29" s="1"/>
  <c r="Q23" i="29" s="1"/>
  <c r="AB22" i="29"/>
  <c r="AC22" i="29" s="1"/>
  <c r="G22" i="29"/>
  <c r="H22" i="29" s="1"/>
  <c r="O22" i="29" s="1"/>
  <c r="Q22" i="29" s="1"/>
  <c r="AB21" i="29"/>
  <c r="AC21" i="29" s="1"/>
  <c r="G21" i="29"/>
  <c r="H21" i="29" s="1"/>
  <c r="AC20" i="29"/>
  <c r="AA20" i="29"/>
  <c r="Z20" i="29"/>
  <c r="Y20" i="29"/>
  <c r="X20" i="29"/>
  <c r="W20" i="29"/>
  <c r="V20" i="29"/>
  <c r="U20" i="29"/>
  <c r="T20" i="29"/>
  <c r="S20" i="29"/>
  <c r="R20" i="29"/>
  <c r="M20" i="29"/>
  <c r="K20" i="29"/>
  <c r="J20" i="29"/>
  <c r="R19" i="29"/>
  <c r="B19" i="29"/>
  <c r="B32" i="29" s="1"/>
  <c r="B45" i="29" s="1"/>
  <c r="B58" i="29" s="1"/>
  <c r="B71" i="29" s="1"/>
  <c r="B84" i="29" s="1"/>
  <c r="B97" i="29" s="1"/>
  <c r="B110" i="29" s="1"/>
  <c r="B123" i="29" s="1"/>
  <c r="G17" i="29"/>
  <c r="H17" i="29" s="1"/>
  <c r="P17" i="29" s="1"/>
  <c r="AA14" i="29"/>
  <c r="Z14" i="29"/>
  <c r="Y14" i="29"/>
  <c r="X14" i="29"/>
  <c r="W14" i="29"/>
  <c r="V14" i="29"/>
  <c r="U14" i="29"/>
  <c r="T14" i="29"/>
  <c r="S14" i="29"/>
  <c r="R14" i="29"/>
  <c r="M14" i="29"/>
  <c r="L14" i="29"/>
  <c r="K14" i="29"/>
  <c r="J14" i="29"/>
  <c r="N17" i="29" s="1"/>
  <c r="AC13" i="29"/>
  <c r="AB13" i="29"/>
  <c r="G13" i="29"/>
  <c r="H13" i="29" s="1"/>
  <c r="O13" i="29" s="1"/>
  <c r="Q13" i="29" s="1"/>
  <c r="AB12" i="29"/>
  <c r="AC12" i="29" s="1"/>
  <c r="G12" i="29"/>
  <c r="H12" i="29" s="1"/>
  <c r="O12" i="29" s="1"/>
  <c r="Q12" i="29" s="1"/>
  <c r="AC11" i="29"/>
  <c r="AB11" i="29"/>
  <c r="G11" i="29"/>
  <c r="H11" i="29" s="1"/>
  <c r="AB10" i="29"/>
  <c r="AC10" i="29" s="1"/>
  <c r="G10" i="29"/>
  <c r="H10" i="29" s="1"/>
  <c r="O10" i="29" s="1"/>
  <c r="AB9" i="29"/>
  <c r="AC9" i="29" s="1"/>
  <c r="G9" i="29"/>
  <c r="H9" i="29" s="1"/>
  <c r="O9" i="29" s="1"/>
  <c r="Q9" i="29" s="1"/>
  <c r="AB8" i="29"/>
  <c r="AC8" i="29" s="1"/>
  <c r="G8" i="29"/>
  <c r="H8" i="29" s="1"/>
  <c r="O8" i="29" s="1"/>
  <c r="Q8" i="29" s="1"/>
  <c r="AA7" i="29"/>
  <c r="Z7" i="29"/>
  <c r="Y7" i="29"/>
  <c r="X7" i="29"/>
  <c r="W7" i="29"/>
  <c r="V7" i="29"/>
  <c r="U7" i="29"/>
  <c r="T7" i="29"/>
  <c r="S7" i="29"/>
  <c r="R7" i="29"/>
  <c r="M7" i="29"/>
  <c r="K7" i="29"/>
  <c r="J7" i="29"/>
  <c r="E2" i="29"/>
  <c r="A6" i="29" s="1" a="1"/>
  <c r="A19" i="29" s="1"/>
  <c r="G199" i="27"/>
  <c r="H199" i="27" s="1"/>
  <c r="P199" i="27" s="1"/>
  <c r="AA196" i="27"/>
  <c r="Z196" i="27"/>
  <c r="Y196" i="27"/>
  <c r="X196" i="27"/>
  <c r="W196" i="27"/>
  <c r="V196" i="27"/>
  <c r="U196" i="27"/>
  <c r="T196" i="27"/>
  <c r="S196" i="27"/>
  <c r="R196" i="27"/>
  <c r="M196" i="27"/>
  <c r="L196" i="27"/>
  <c r="K196" i="27"/>
  <c r="J196" i="27"/>
  <c r="AB195" i="27"/>
  <c r="AC195" i="27" s="1"/>
  <c r="G195" i="27"/>
  <c r="H195" i="27" s="1"/>
  <c r="O195" i="27" s="1"/>
  <c r="Q195" i="27" s="1"/>
  <c r="AB194" i="27"/>
  <c r="AC194" i="27" s="1"/>
  <c r="G194" i="27"/>
  <c r="H194" i="27" s="1"/>
  <c r="O194" i="27" s="1"/>
  <c r="Q194" i="27" s="1"/>
  <c r="AB193" i="27"/>
  <c r="AC193" i="27" s="1"/>
  <c r="G193" i="27"/>
  <c r="H193" i="27" s="1"/>
  <c r="O193" i="27" s="1"/>
  <c r="Q193" i="27" s="1"/>
  <c r="AB192" i="27"/>
  <c r="AC192" i="27" s="1"/>
  <c r="G192" i="27"/>
  <c r="H192" i="27" s="1"/>
  <c r="O192" i="27" s="1"/>
  <c r="Q192" i="27" s="1"/>
  <c r="AB191" i="27"/>
  <c r="AC191" i="27" s="1"/>
  <c r="G191" i="27"/>
  <c r="H191" i="27" s="1"/>
  <c r="O191" i="27" s="1"/>
  <c r="Q191" i="27" s="1"/>
  <c r="AB190" i="27"/>
  <c r="AC190" i="27" s="1"/>
  <c r="G190" i="27"/>
  <c r="H190" i="27" s="1"/>
  <c r="AC189" i="27"/>
  <c r="AA189" i="27"/>
  <c r="Z189" i="27"/>
  <c r="Y189" i="27"/>
  <c r="X189" i="27"/>
  <c r="W189" i="27"/>
  <c r="V189" i="27"/>
  <c r="U189" i="27"/>
  <c r="T189" i="27"/>
  <c r="S189" i="27"/>
  <c r="R189" i="27"/>
  <c r="M189" i="27"/>
  <c r="K189" i="27"/>
  <c r="J189" i="27"/>
  <c r="G186" i="27"/>
  <c r="H186" i="27" s="1"/>
  <c r="P186" i="27" s="1"/>
  <c r="AA183" i="27"/>
  <c r="Z183" i="27"/>
  <c r="Y183" i="27"/>
  <c r="X183" i="27"/>
  <c r="W183" i="27"/>
  <c r="V183" i="27"/>
  <c r="U183" i="27"/>
  <c r="T183" i="27"/>
  <c r="S183" i="27"/>
  <c r="R183" i="27"/>
  <c r="M183" i="27"/>
  <c r="L183" i="27"/>
  <c r="K183" i="27"/>
  <c r="J183" i="27"/>
  <c r="AB182" i="27"/>
  <c r="AC182" i="27" s="1"/>
  <c r="G182" i="27"/>
  <c r="H182" i="27" s="1"/>
  <c r="O182" i="27" s="1"/>
  <c r="AB181" i="27"/>
  <c r="AC181" i="27" s="1"/>
  <c r="G181" i="27"/>
  <c r="H181" i="27" s="1"/>
  <c r="O181" i="27" s="1"/>
  <c r="AB180" i="27"/>
  <c r="AC180" i="27" s="1"/>
  <c r="G180" i="27"/>
  <c r="H180" i="27" s="1"/>
  <c r="AB179" i="27"/>
  <c r="AC179" i="27" s="1"/>
  <c r="G179" i="27"/>
  <c r="H179" i="27" s="1"/>
  <c r="O179" i="27" s="1"/>
  <c r="AB178" i="27"/>
  <c r="AC178" i="27" s="1"/>
  <c r="G178" i="27"/>
  <c r="H178" i="27" s="1"/>
  <c r="O178" i="27" s="1"/>
  <c r="Q178" i="27" s="1"/>
  <c r="AB177" i="27"/>
  <c r="AC177" i="27" s="1"/>
  <c r="G177" i="27"/>
  <c r="H177" i="27" s="1"/>
  <c r="O177" i="27" s="1"/>
  <c r="Q177" i="27" s="1"/>
  <c r="AC176" i="27"/>
  <c r="AA176" i="27"/>
  <c r="Z176" i="27"/>
  <c r="Y176" i="27"/>
  <c r="X176" i="27"/>
  <c r="W176" i="27"/>
  <c r="V176" i="27"/>
  <c r="U176" i="27"/>
  <c r="T176" i="27"/>
  <c r="S176" i="27"/>
  <c r="R176" i="27"/>
  <c r="M176" i="27"/>
  <c r="K176" i="27"/>
  <c r="J176" i="27"/>
  <c r="G173" i="27"/>
  <c r="H173" i="27" s="1"/>
  <c r="P173" i="27" s="1"/>
  <c r="AA170" i="27"/>
  <c r="Z170" i="27"/>
  <c r="Y170" i="27"/>
  <c r="X170" i="27"/>
  <c r="W170" i="27"/>
  <c r="V170" i="27"/>
  <c r="U170" i="27"/>
  <c r="T170" i="27"/>
  <c r="S170" i="27"/>
  <c r="R170" i="27"/>
  <c r="M170" i="27"/>
  <c r="L170" i="27"/>
  <c r="K170" i="27"/>
  <c r="J170" i="27"/>
  <c r="AB169" i="27"/>
  <c r="AC169" i="27" s="1"/>
  <c r="G169" i="27"/>
  <c r="H169" i="27" s="1"/>
  <c r="O169" i="27" s="1"/>
  <c r="Q169" i="27" s="1"/>
  <c r="AB168" i="27"/>
  <c r="AC168" i="27" s="1"/>
  <c r="G168" i="27"/>
  <c r="H168" i="27" s="1"/>
  <c r="O168" i="27" s="1"/>
  <c r="Q168" i="27" s="1"/>
  <c r="AB167" i="27"/>
  <c r="AC167" i="27" s="1"/>
  <c r="G167" i="27"/>
  <c r="H167" i="27" s="1"/>
  <c r="O167" i="27" s="1"/>
  <c r="Q167" i="27" s="1"/>
  <c r="AB166" i="27"/>
  <c r="AC166" i="27" s="1"/>
  <c r="G166" i="27"/>
  <c r="H166" i="27" s="1"/>
  <c r="O166" i="27" s="1"/>
  <c r="Q166" i="27" s="1"/>
  <c r="AB165" i="27"/>
  <c r="AC165" i="27" s="1"/>
  <c r="G165" i="27"/>
  <c r="H165" i="27" s="1"/>
  <c r="O165" i="27" s="1"/>
  <c r="Q165" i="27" s="1"/>
  <c r="AB164" i="27"/>
  <c r="AC164" i="27" s="1"/>
  <c r="G164" i="27"/>
  <c r="H164" i="27" s="1"/>
  <c r="O164" i="27" s="1"/>
  <c r="Q164" i="27" s="1"/>
  <c r="AC163" i="27"/>
  <c r="AA163" i="27"/>
  <c r="Z163" i="27"/>
  <c r="Y163" i="27"/>
  <c r="X163" i="27"/>
  <c r="W163" i="27"/>
  <c r="V163" i="27"/>
  <c r="U163" i="27"/>
  <c r="T163" i="27"/>
  <c r="S163" i="27"/>
  <c r="R163" i="27"/>
  <c r="M163" i="27"/>
  <c r="K163" i="27"/>
  <c r="J163" i="27"/>
  <c r="G160" i="27"/>
  <c r="H160" i="27" s="1"/>
  <c r="P160" i="27" s="1"/>
  <c r="AA157" i="27"/>
  <c r="Z157" i="27"/>
  <c r="Y157" i="27"/>
  <c r="X157" i="27"/>
  <c r="W157" i="27"/>
  <c r="V157" i="27"/>
  <c r="U157" i="27"/>
  <c r="T157" i="27"/>
  <c r="S157" i="27"/>
  <c r="R157" i="27"/>
  <c r="M157" i="27"/>
  <c r="L157" i="27"/>
  <c r="K157" i="27"/>
  <c r="J157" i="27"/>
  <c r="AB156" i="27"/>
  <c r="AC156" i="27" s="1"/>
  <c r="G156" i="27"/>
  <c r="H156" i="27" s="1"/>
  <c r="O156" i="27" s="1"/>
  <c r="AB155" i="27"/>
  <c r="AC155" i="27" s="1"/>
  <c r="G155" i="27"/>
  <c r="H155" i="27" s="1"/>
  <c r="O155" i="27" s="1"/>
  <c r="Q155" i="27" s="1"/>
  <c r="AB154" i="27"/>
  <c r="AC154" i="27" s="1"/>
  <c r="G154" i="27"/>
  <c r="H154" i="27" s="1"/>
  <c r="O154" i="27" s="1"/>
  <c r="AB153" i="27"/>
  <c r="AC153" i="27" s="1"/>
  <c r="G153" i="27"/>
  <c r="H153" i="27" s="1"/>
  <c r="O153" i="27" s="1"/>
  <c r="Q153" i="27" s="1"/>
  <c r="AB152" i="27"/>
  <c r="AC152" i="27" s="1"/>
  <c r="G152" i="27"/>
  <c r="H152" i="27" s="1"/>
  <c r="O152" i="27" s="1"/>
  <c r="Q152" i="27" s="1"/>
  <c r="AB151" i="27"/>
  <c r="AC151" i="27" s="1"/>
  <c r="G151" i="27"/>
  <c r="H151" i="27" s="1"/>
  <c r="AC150" i="27"/>
  <c r="AA150" i="27"/>
  <c r="Z150" i="27"/>
  <c r="Y150" i="27"/>
  <c r="X150" i="27"/>
  <c r="W150" i="27"/>
  <c r="V150" i="27"/>
  <c r="U150" i="27"/>
  <c r="T150" i="27"/>
  <c r="S150" i="27"/>
  <c r="R150" i="27"/>
  <c r="M150" i="27"/>
  <c r="K150" i="27"/>
  <c r="J150" i="27"/>
  <c r="G147" i="27"/>
  <c r="H147" i="27" s="1"/>
  <c r="P147" i="27" s="1"/>
  <c r="AA144" i="27"/>
  <c r="Z144" i="27"/>
  <c r="Y144" i="27"/>
  <c r="X144" i="27"/>
  <c r="W144" i="27"/>
  <c r="V144" i="27"/>
  <c r="U144" i="27"/>
  <c r="T144" i="27"/>
  <c r="S144" i="27"/>
  <c r="R144" i="27"/>
  <c r="M144" i="27"/>
  <c r="L144" i="27"/>
  <c r="K144" i="27"/>
  <c r="J144" i="27"/>
  <c r="AB143" i="27"/>
  <c r="AC143" i="27" s="1"/>
  <c r="G143" i="27"/>
  <c r="H143" i="27" s="1"/>
  <c r="O143" i="27" s="1"/>
  <c r="Q143" i="27" s="1"/>
  <c r="AB142" i="27"/>
  <c r="AC142" i="27" s="1"/>
  <c r="G142" i="27"/>
  <c r="H142" i="27" s="1"/>
  <c r="O142" i="27" s="1"/>
  <c r="Q142" i="27" s="1"/>
  <c r="AB141" i="27"/>
  <c r="AC141" i="27" s="1"/>
  <c r="G141" i="27"/>
  <c r="H141" i="27" s="1"/>
  <c r="O141" i="27" s="1"/>
  <c r="Q141" i="27" s="1"/>
  <c r="AB140" i="27"/>
  <c r="AC140" i="27" s="1"/>
  <c r="G140" i="27"/>
  <c r="H140" i="27" s="1"/>
  <c r="O140" i="27" s="1"/>
  <c r="Q140" i="27" s="1"/>
  <c r="AB139" i="27"/>
  <c r="AC139" i="27" s="1"/>
  <c r="G139" i="27"/>
  <c r="H139" i="27" s="1"/>
  <c r="O139" i="27" s="1"/>
  <c r="Q139" i="27" s="1"/>
  <c r="AB138" i="27"/>
  <c r="AC138" i="27" s="1"/>
  <c r="G138" i="27"/>
  <c r="H138" i="27" s="1"/>
  <c r="AC137" i="27"/>
  <c r="AA137" i="27"/>
  <c r="Z137" i="27"/>
  <c r="Y137" i="27"/>
  <c r="X137" i="27"/>
  <c r="W137" i="27"/>
  <c r="V137" i="27"/>
  <c r="U137" i="27"/>
  <c r="T137" i="27"/>
  <c r="S137" i="27"/>
  <c r="R137" i="27"/>
  <c r="M137" i="27"/>
  <c r="K137" i="27"/>
  <c r="J137" i="27"/>
  <c r="G134" i="27"/>
  <c r="H134" i="27" s="1"/>
  <c r="P134" i="27" s="1"/>
  <c r="AA131" i="27"/>
  <c r="Z131" i="27"/>
  <c r="Y131" i="27"/>
  <c r="X131" i="27"/>
  <c r="W131" i="27"/>
  <c r="V131" i="27"/>
  <c r="U131" i="27"/>
  <c r="T131" i="27"/>
  <c r="S131" i="27"/>
  <c r="R131" i="27"/>
  <c r="M131" i="27"/>
  <c r="L131" i="27"/>
  <c r="K131" i="27"/>
  <c r="J131" i="27"/>
  <c r="AB130" i="27"/>
  <c r="AC130" i="27" s="1"/>
  <c r="G130" i="27"/>
  <c r="H130" i="27" s="1"/>
  <c r="O130" i="27" s="1"/>
  <c r="Q130" i="27" s="1"/>
  <c r="AB129" i="27"/>
  <c r="AC129" i="27" s="1"/>
  <c r="G129" i="27"/>
  <c r="H129" i="27" s="1"/>
  <c r="O129" i="27" s="1"/>
  <c r="Q129" i="27" s="1"/>
  <c r="AB128" i="27"/>
  <c r="AC128" i="27" s="1"/>
  <c r="G128" i="27"/>
  <c r="H128" i="27" s="1"/>
  <c r="O128" i="27" s="1"/>
  <c r="AB127" i="27"/>
  <c r="AC127" i="27" s="1"/>
  <c r="G127" i="27"/>
  <c r="H127" i="27" s="1"/>
  <c r="O127" i="27" s="1"/>
  <c r="AB126" i="27"/>
  <c r="AC126" i="27" s="1"/>
  <c r="G126" i="27"/>
  <c r="H126" i="27" s="1"/>
  <c r="O126" i="27" s="1"/>
  <c r="Q126" i="27" s="1"/>
  <c r="AB125" i="27"/>
  <c r="AC125" i="27" s="1"/>
  <c r="G125" i="27"/>
  <c r="H125" i="27" s="1"/>
  <c r="O125" i="27" s="1"/>
  <c r="Q125" i="27" s="1"/>
  <c r="AC124" i="27"/>
  <c r="AA124" i="27"/>
  <c r="Z124" i="27"/>
  <c r="Y124" i="27"/>
  <c r="X124" i="27"/>
  <c r="W124" i="27"/>
  <c r="V124" i="27"/>
  <c r="U124" i="27"/>
  <c r="T124" i="27"/>
  <c r="S124" i="27"/>
  <c r="R124" i="27"/>
  <c r="M124" i="27"/>
  <c r="K124" i="27"/>
  <c r="J124" i="27"/>
  <c r="G121" i="27"/>
  <c r="H121" i="27" s="1"/>
  <c r="P121" i="27" s="1"/>
  <c r="AA118" i="27"/>
  <c r="Z118" i="27"/>
  <c r="Y118" i="27"/>
  <c r="X118" i="27"/>
  <c r="W118" i="27"/>
  <c r="V118" i="27"/>
  <c r="U118" i="27"/>
  <c r="T118" i="27"/>
  <c r="S118" i="27"/>
  <c r="R118" i="27"/>
  <c r="M118" i="27"/>
  <c r="L118" i="27"/>
  <c r="K118" i="27"/>
  <c r="J118" i="27"/>
  <c r="AB117" i="27"/>
  <c r="AC117" i="27" s="1"/>
  <c r="G117" i="27"/>
  <c r="H117" i="27" s="1"/>
  <c r="O117" i="27" s="1"/>
  <c r="Q117" i="27" s="1"/>
  <c r="AB116" i="27"/>
  <c r="AC116" i="27" s="1"/>
  <c r="G116" i="27"/>
  <c r="H116" i="27" s="1"/>
  <c r="O116" i="27" s="1"/>
  <c r="AB115" i="27"/>
  <c r="AC115" i="27" s="1"/>
  <c r="G115" i="27"/>
  <c r="H115" i="27" s="1"/>
  <c r="O115" i="27" s="1"/>
  <c r="AB114" i="27"/>
  <c r="AC114" i="27" s="1"/>
  <c r="G114" i="27"/>
  <c r="H114" i="27" s="1"/>
  <c r="O114" i="27" s="1"/>
  <c r="Q114" i="27" s="1"/>
  <c r="AB113" i="27"/>
  <c r="AC113" i="27" s="1"/>
  <c r="G113" i="27"/>
  <c r="H113" i="27" s="1"/>
  <c r="O113" i="27" s="1"/>
  <c r="Q113" i="27" s="1"/>
  <c r="AB112" i="27"/>
  <c r="AC112" i="27" s="1"/>
  <c r="G112" i="27"/>
  <c r="H112" i="27" s="1"/>
  <c r="AC111" i="27"/>
  <c r="AA111" i="27"/>
  <c r="Z111" i="27"/>
  <c r="Y111" i="27"/>
  <c r="X111" i="27"/>
  <c r="W111" i="27"/>
  <c r="V111" i="27"/>
  <c r="U111" i="27"/>
  <c r="T111" i="27"/>
  <c r="S111" i="27"/>
  <c r="R111" i="27"/>
  <c r="M111" i="27"/>
  <c r="K111" i="27"/>
  <c r="J111" i="27"/>
  <c r="G108" i="27"/>
  <c r="H108" i="27" s="1"/>
  <c r="P108" i="27" s="1"/>
  <c r="AA105" i="27"/>
  <c r="Z105" i="27"/>
  <c r="Y105" i="27"/>
  <c r="X105" i="27"/>
  <c r="W105" i="27"/>
  <c r="V105" i="27"/>
  <c r="U105" i="27"/>
  <c r="T105" i="27"/>
  <c r="S105" i="27"/>
  <c r="R105" i="27"/>
  <c r="M105" i="27"/>
  <c r="L105" i="27"/>
  <c r="K105" i="27"/>
  <c r="J105" i="27"/>
  <c r="AB104" i="27"/>
  <c r="AC104" i="27" s="1"/>
  <c r="G104" i="27"/>
  <c r="H104" i="27" s="1"/>
  <c r="O104" i="27" s="1"/>
  <c r="Q104" i="27" s="1"/>
  <c r="AB103" i="27"/>
  <c r="AC103" i="27" s="1"/>
  <c r="G103" i="27"/>
  <c r="H103" i="27" s="1"/>
  <c r="O103" i="27" s="1"/>
  <c r="Q103" i="27" s="1"/>
  <c r="AB102" i="27"/>
  <c r="AC102" i="27" s="1"/>
  <c r="G102" i="27"/>
  <c r="H102" i="27" s="1"/>
  <c r="O102" i="27" s="1"/>
  <c r="Q102" i="27" s="1"/>
  <c r="AB101" i="27"/>
  <c r="AC101" i="27" s="1"/>
  <c r="G101" i="27"/>
  <c r="H101" i="27" s="1"/>
  <c r="O101" i="27" s="1"/>
  <c r="AB100" i="27"/>
  <c r="AC100" i="27" s="1"/>
  <c r="G100" i="27"/>
  <c r="H100" i="27" s="1"/>
  <c r="O100" i="27" s="1"/>
  <c r="Q100" i="27" s="1"/>
  <c r="AB99" i="27"/>
  <c r="AC99" i="27" s="1"/>
  <c r="G99" i="27"/>
  <c r="H99" i="27" s="1"/>
  <c r="O99" i="27" s="1"/>
  <c r="Q99" i="27" s="1"/>
  <c r="AC98" i="27"/>
  <c r="AA98" i="27"/>
  <c r="Z98" i="27"/>
  <c r="Y98" i="27"/>
  <c r="X98" i="27"/>
  <c r="W98" i="27"/>
  <c r="V98" i="27"/>
  <c r="U98" i="27"/>
  <c r="T98" i="27"/>
  <c r="S98" i="27"/>
  <c r="R98" i="27"/>
  <c r="M98" i="27"/>
  <c r="K98" i="27"/>
  <c r="J98" i="27"/>
  <c r="G95" i="27"/>
  <c r="H95" i="27" s="1"/>
  <c r="P95" i="27" s="1"/>
  <c r="AA92" i="27"/>
  <c r="Z92" i="27"/>
  <c r="Y92" i="27"/>
  <c r="X92" i="27"/>
  <c r="W92" i="27"/>
  <c r="V92" i="27"/>
  <c r="U92" i="27"/>
  <c r="T92" i="27"/>
  <c r="S92" i="27"/>
  <c r="R92" i="27"/>
  <c r="M92" i="27"/>
  <c r="L92" i="27"/>
  <c r="K92" i="27"/>
  <c r="J92" i="27"/>
  <c r="AB91" i="27"/>
  <c r="AC91" i="27" s="1"/>
  <c r="G91" i="27"/>
  <c r="H91" i="27" s="1"/>
  <c r="O91" i="27" s="1"/>
  <c r="AB90" i="27"/>
  <c r="AC90" i="27" s="1"/>
  <c r="G90" i="27"/>
  <c r="H90" i="27" s="1"/>
  <c r="O90" i="27" s="1"/>
  <c r="Q90" i="27" s="1"/>
  <c r="AB89" i="27"/>
  <c r="AC89" i="27" s="1"/>
  <c r="H89" i="27"/>
  <c r="O89" i="27" s="1"/>
  <c r="Q89" i="27" s="1"/>
  <c r="G89" i="27"/>
  <c r="AB88" i="27"/>
  <c r="AC88" i="27" s="1"/>
  <c r="G88" i="27"/>
  <c r="H88" i="27" s="1"/>
  <c r="O88" i="27" s="1"/>
  <c r="Q88" i="27" s="1"/>
  <c r="AB87" i="27"/>
  <c r="AC87" i="27" s="1"/>
  <c r="G87" i="27"/>
  <c r="H87" i="27" s="1"/>
  <c r="O87" i="27" s="1"/>
  <c r="Q87" i="27" s="1"/>
  <c r="AB86" i="27"/>
  <c r="AC86" i="27" s="1"/>
  <c r="G86" i="27"/>
  <c r="H86" i="27" s="1"/>
  <c r="O86" i="27" s="1"/>
  <c r="Q86" i="27" s="1"/>
  <c r="AC85" i="27"/>
  <c r="AA85" i="27"/>
  <c r="Z85" i="27"/>
  <c r="Y85" i="27"/>
  <c r="X85" i="27"/>
  <c r="W85" i="27"/>
  <c r="V85" i="27"/>
  <c r="U85" i="27"/>
  <c r="T85" i="27"/>
  <c r="S85" i="27"/>
  <c r="R85" i="27"/>
  <c r="M85" i="27"/>
  <c r="K85" i="27"/>
  <c r="J85" i="27"/>
  <c r="G82" i="27"/>
  <c r="H82" i="27" s="1"/>
  <c r="P82" i="27" s="1"/>
  <c r="AA79" i="27"/>
  <c r="Z79" i="27"/>
  <c r="Y79" i="27"/>
  <c r="X79" i="27"/>
  <c r="W79" i="27"/>
  <c r="V79" i="27"/>
  <c r="U79" i="27"/>
  <c r="T79" i="27"/>
  <c r="S79" i="27"/>
  <c r="R79" i="27"/>
  <c r="M79" i="27"/>
  <c r="L79" i="27"/>
  <c r="K79" i="27"/>
  <c r="J79" i="27"/>
  <c r="N82" i="27" s="1"/>
  <c r="AB78" i="27"/>
  <c r="AC78" i="27" s="1"/>
  <c r="G78" i="27"/>
  <c r="H78" i="27" s="1"/>
  <c r="O78" i="27" s="1"/>
  <c r="Q78" i="27" s="1"/>
  <c r="AB77" i="27"/>
  <c r="AC77" i="27" s="1"/>
  <c r="G77" i="27"/>
  <c r="H77" i="27" s="1"/>
  <c r="O77" i="27" s="1"/>
  <c r="Q77" i="27" s="1"/>
  <c r="AB76" i="27"/>
  <c r="AC76" i="27" s="1"/>
  <c r="G76" i="27"/>
  <c r="H76" i="27" s="1"/>
  <c r="O76" i="27" s="1"/>
  <c r="AB75" i="27"/>
  <c r="AC75" i="27" s="1"/>
  <c r="G75" i="27"/>
  <c r="H75" i="27" s="1"/>
  <c r="O75" i="27" s="1"/>
  <c r="AB74" i="27"/>
  <c r="AC74" i="27" s="1"/>
  <c r="G74" i="27"/>
  <c r="H74" i="27" s="1"/>
  <c r="O74" i="27" s="1"/>
  <c r="AB73" i="27"/>
  <c r="AC73" i="27" s="1"/>
  <c r="G73" i="27"/>
  <c r="H73" i="27" s="1"/>
  <c r="AC72" i="27"/>
  <c r="AA72" i="27"/>
  <c r="Z72" i="27"/>
  <c r="Y72" i="27"/>
  <c r="X72" i="27"/>
  <c r="W72" i="27"/>
  <c r="V72" i="27"/>
  <c r="U72" i="27"/>
  <c r="T72" i="27"/>
  <c r="S72" i="27"/>
  <c r="R72" i="27"/>
  <c r="M72" i="27"/>
  <c r="K72" i="27"/>
  <c r="J72" i="27"/>
  <c r="G69" i="27"/>
  <c r="H69" i="27" s="1"/>
  <c r="P69" i="27" s="1"/>
  <c r="AA66" i="27"/>
  <c r="Z66" i="27"/>
  <c r="Y66" i="27"/>
  <c r="X66" i="27"/>
  <c r="W66" i="27"/>
  <c r="V66" i="27"/>
  <c r="U66" i="27"/>
  <c r="T66" i="27"/>
  <c r="S66" i="27"/>
  <c r="R66" i="27"/>
  <c r="M66" i="27"/>
  <c r="L66" i="27"/>
  <c r="K66" i="27"/>
  <c r="J66" i="27"/>
  <c r="AB65" i="27"/>
  <c r="AC65" i="27" s="1"/>
  <c r="G65" i="27"/>
  <c r="H65" i="27" s="1"/>
  <c r="O65" i="27" s="1"/>
  <c r="AB64" i="27"/>
  <c r="AC64" i="27" s="1"/>
  <c r="G64" i="27"/>
  <c r="H64" i="27" s="1"/>
  <c r="O64" i="27" s="1"/>
  <c r="Q64" i="27" s="1"/>
  <c r="AB63" i="27"/>
  <c r="AC63" i="27" s="1"/>
  <c r="G63" i="27"/>
  <c r="H63" i="27" s="1"/>
  <c r="O63" i="27" s="1"/>
  <c r="AB62" i="27"/>
  <c r="AC62" i="27" s="1"/>
  <c r="G62" i="27"/>
  <c r="H62" i="27" s="1"/>
  <c r="O62" i="27" s="1"/>
  <c r="AB61" i="27"/>
  <c r="AC61" i="27" s="1"/>
  <c r="G61" i="27"/>
  <c r="H61" i="27" s="1"/>
  <c r="O61" i="27" s="1"/>
  <c r="Q61" i="27" s="1"/>
  <c r="AB60" i="27"/>
  <c r="AC60" i="27" s="1"/>
  <c r="G60" i="27"/>
  <c r="H60" i="27" s="1"/>
  <c r="AC59" i="27"/>
  <c r="AA59" i="27"/>
  <c r="Z59" i="27"/>
  <c r="Y59" i="27"/>
  <c r="X59" i="27"/>
  <c r="W59" i="27"/>
  <c r="V59" i="27"/>
  <c r="U59" i="27"/>
  <c r="T59" i="27"/>
  <c r="S59" i="27"/>
  <c r="R59" i="27"/>
  <c r="M59" i="27"/>
  <c r="K59" i="27"/>
  <c r="J59" i="27"/>
  <c r="G56" i="27"/>
  <c r="H56" i="27" s="1"/>
  <c r="P56" i="27" s="1"/>
  <c r="AA53" i="27"/>
  <c r="Z53" i="27"/>
  <c r="Y53" i="27"/>
  <c r="X53" i="27"/>
  <c r="W53" i="27"/>
  <c r="V53" i="27"/>
  <c r="U53" i="27"/>
  <c r="T53" i="27"/>
  <c r="S53" i="27"/>
  <c r="R53" i="27"/>
  <c r="M53" i="27"/>
  <c r="L53" i="27"/>
  <c r="K53" i="27"/>
  <c r="J53" i="27"/>
  <c r="AB52" i="27"/>
  <c r="AC52" i="27" s="1"/>
  <c r="G52" i="27"/>
  <c r="H52" i="27" s="1"/>
  <c r="O52" i="27" s="1"/>
  <c r="Q52" i="27" s="1"/>
  <c r="AB51" i="27"/>
  <c r="AC51" i="27" s="1"/>
  <c r="G51" i="27"/>
  <c r="H51" i="27" s="1"/>
  <c r="O51" i="27" s="1"/>
  <c r="AB50" i="27"/>
  <c r="AC50" i="27" s="1"/>
  <c r="G50" i="27"/>
  <c r="H50" i="27" s="1"/>
  <c r="O50" i="27" s="1"/>
  <c r="Q50" i="27" s="1"/>
  <c r="AB49" i="27"/>
  <c r="AC49" i="27" s="1"/>
  <c r="G49" i="27"/>
  <c r="H49" i="27" s="1"/>
  <c r="O49" i="27" s="1"/>
  <c r="Q49" i="27" s="1"/>
  <c r="AB48" i="27"/>
  <c r="AC48" i="27" s="1"/>
  <c r="G48" i="27"/>
  <c r="H48" i="27" s="1"/>
  <c r="AB47" i="27"/>
  <c r="AC47" i="27" s="1"/>
  <c r="G47" i="27"/>
  <c r="H47" i="27" s="1"/>
  <c r="AC46" i="27"/>
  <c r="AA46" i="27"/>
  <c r="Z46" i="27"/>
  <c r="Y46" i="27"/>
  <c r="X46" i="27"/>
  <c r="W46" i="27"/>
  <c r="V46" i="27"/>
  <c r="U46" i="27"/>
  <c r="T46" i="27"/>
  <c r="S46" i="27"/>
  <c r="R46" i="27"/>
  <c r="M46" i="27"/>
  <c r="K46" i="27"/>
  <c r="J46" i="27"/>
  <c r="H43" i="27"/>
  <c r="P43" i="27" s="1"/>
  <c r="G43" i="27"/>
  <c r="AA40" i="27"/>
  <c r="Z40" i="27"/>
  <c r="Y40" i="27"/>
  <c r="X40" i="27"/>
  <c r="W40" i="27"/>
  <c r="V40" i="27"/>
  <c r="U40" i="27"/>
  <c r="T40" i="27"/>
  <c r="S40" i="27"/>
  <c r="R40" i="27"/>
  <c r="M40" i="27"/>
  <c r="L40" i="27"/>
  <c r="K40" i="27"/>
  <c r="J40" i="27"/>
  <c r="AB39" i="27"/>
  <c r="AC39" i="27" s="1"/>
  <c r="G39" i="27"/>
  <c r="H39" i="27" s="1"/>
  <c r="O39" i="27" s="1"/>
  <c r="Q39" i="27" s="1"/>
  <c r="AB38" i="27"/>
  <c r="AC38" i="27" s="1"/>
  <c r="G38" i="27"/>
  <c r="H38" i="27" s="1"/>
  <c r="O38" i="27" s="1"/>
  <c r="AB37" i="27"/>
  <c r="AC37" i="27" s="1"/>
  <c r="G37" i="27"/>
  <c r="H37" i="27" s="1"/>
  <c r="O37" i="27" s="1"/>
  <c r="AB36" i="27"/>
  <c r="AC36" i="27" s="1"/>
  <c r="G36" i="27"/>
  <c r="H36" i="27" s="1"/>
  <c r="O36" i="27" s="1"/>
  <c r="Q36" i="27" s="1"/>
  <c r="AB35" i="27"/>
  <c r="AC35" i="27" s="1"/>
  <c r="G35" i="27"/>
  <c r="H35" i="27" s="1"/>
  <c r="O35" i="27" s="1"/>
  <c r="AB34" i="27"/>
  <c r="AC34" i="27" s="1"/>
  <c r="G34" i="27"/>
  <c r="H34" i="27" s="1"/>
  <c r="AC33" i="27"/>
  <c r="AA33" i="27"/>
  <c r="Z33" i="27"/>
  <c r="Y33" i="27"/>
  <c r="X33" i="27"/>
  <c r="W33" i="27"/>
  <c r="V33" i="27"/>
  <c r="U33" i="27"/>
  <c r="T33" i="27"/>
  <c r="S33" i="27"/>
  <c r="R33" i="27"/>
  <c r="M33" i="27"/>
  <c r="K33" i="27"/>
  <c r="J33" i="27"/>
  <c r="A31" i="27"/>
  <c r="A44" i="27" s="1"/>
  <c r="A57" i="27" s="1"/>
  <c r="A70" i="27" s="1"/>
  <c r="A83" i="27" s="1"/>
  <c r="A96" i="27" s="1"/>
  <c r="A109" i="27" s="1"/>
  <c r="A122" i="27" s="1"/>
  <c r="A135" i="27" s="1"/>
  <c r="A148" i="27" s="1"/>
  <c r="A161" i="27" s="1"/>
  <c r="A174" i="27" s="1"/>
  <c r="A187" i="27" s="1"/>
  <c r="A200" i="27" s="1"/>
  <c r="G30" i="27"/>
  <c r="H30" i="27" s="1"/>
  <c r="P30" i="27" s="1"/>
  <c r="AA27" i="27"/>
  <c r="Z27" i="27"/>
  <c r="Y27" i="27"/>
  <c r="X27" i="27"/>
  <c r="W27" i="27"/>
  <c r="V27" i="27"/>
  <c r="U27" i="27"/>
  <c r="T27" i="27"/>
  <c r="S27" i="27"/>
  <c r="R27" i="27"/>
  <c r="M27" i="27"/>
  <c r="L27" i="27"/>
  <c r="K27" i="27"/>
  <c r="J27" i="27"/>
  <c r="AB26" i="27"/>
  <c r="AC26" i="27" s="1"/>
  <c r="G26" i="27"/>
  <c r="H26" i="27" s="1"/>
  <c r="O26" i="27" s="1"/>
  <c r="AB25" i="27"/>
  <c r="AC25" i="27" s="1"/>
  <c r="G25" i="27"/>
  <c r="H25" i="27" s="1"/>
  <c r="O25" i="27" s="1"/>
  <c r="Q25" i="27" s="1"/>
  <c r="AB24" i="27"/>
  <c r="AC24" i="27" s="1"/>
  <c r="G24" i="27"/>
  <c r="H24" i="27" s="1"/>
  <c r="O24" i="27" s="1"/>
  <c r="Q24" i="27" s="1"/>
  <c r="AB23" i="27"/>
  <c r="AC23" i="27" s="1"/>
  <c r="G23" i="27"/>
  <c r="H23" i="27" s="1"/>
  <c r="O23" i="27" s="1"/>
  <c r="AB22" i="27"/>
  <c r="AC22" i="27" s="1"/>
  <c r="G22" i="27"/>
  <c r="H22" i="27" s="1"/>
  <c r="O22" i="27" s="1"/>
  <c r="Q22" i="27" s="1"/>
  <c r="AB21" i="27"/>
  <c r="AC21" i="27" s="1"/>
  <c r="G21" i="27"/>
  <c r="H21" i="27" s="1"/>
  <c r="O21" i="27" s="1"/>
  <c r="Q21" i="27" s="1"/>
  <c r="AC20" i="27"/>
  <c r="AA20" i="27"/>
  <c r="Z20" i="27"/>
  <c r="Y20" i="27"/>
  <c r="X20" i="27"/>
  <c r="W20" i="27"/>
  <c r="V20" i="27"/>
  <c r="U20" i="27"/>
  <c r="T20" i="27"/>
  <c r="S20" i="27"/>
  <c r="R20" i="27"/>
  <c r="M20" i="27"/>
  <c r="K20" i="27"/>
  <c r="J20" i="27"/>
  <c r="R19" i="27"/>
  <c r="R32" i="27" s="1"/>
  <c r="R45" i="27" s="1"/>
  <c r="R58" i="27" s="1"/>
  <c r="R71" i="27" s="1"/>
  <c r="R84" i="27" s="1"/>
  <c r="R97" i="27" s="1"/>
  <c r="R110" i="27" s="1"/>
  <c r="R123" i="27" s="1"/>
  <c r="R136" i="27" s="1"/>
  <c r="R149" i="27" s="1"/>
  <c r="R162" i="27" s="1"/>
  <c r="R175" i="27" s="1"/>
  <c r="R188" i="27" s="1"/>
  <c r="B19" i="27"/>
  <c r="G17" i="27"/>
  <c r="H17" i="27" s="1"/>
  <c r="P17" i="27" s="1"/>
  <c r="AA14" i="27"/>
  <c r="Z14" i="27"/>
  <c r="Y14" i="27"/>
  <c r="X14" i="27"/>
  <c r="W14" i="27"/>
  <c r="V14" i="27"/>
  <c r="U14" i="27"/>
  <c r="T14" i="27"/>
  <c r="S14" i="27"/>
  <c r="R14" i="27"/>
  <c r="M14" i="27"/>
  <c r="L14" i="27"/>
  <c r="K14" i="27"/>
  <c r="J14" i="27"/>
  <c r="AB13" i="27"/>
  <c r="AC13" i="27" s="1"/>
  <c r="G13" i="27"/>
  <c r="H13" i="27" s="1"/>
  <c r="O13" i="27" s="1"/>
  <c r="Q13" i="27" s="1"/>
  <c r="AB12" i="27"/>
  <c r="AC12" i="27" s="1"/>
  <c r="G12" i="27"/>
  <c r="H12" i="27" s="1"/>
  <c r="Q12" i="27" s="1"/>
  <c r="AB11" i="27"/>
  <c r="AC11" i="27" s="1"/>
  <c r="G11" i="27"/>
  <c r="H11" i="27" s="1"/>
  <c r="AB10" i="27"/>
  <c r="AC10" i="27" s="1"/>
  <c r="G10" i="27"/>
  <c r="H10" i="27" s="1"/>
  <c r="Q10" i="27" s="1"/>
  <c r="AB9" i="27"/>
  <c r="AC9" i="27" s="1"/>
  <c r="G9" i="27"/>
  <c r="H9" i="27" s="1"/>
  <c r="Q9" i="27" s="1"/>
  <c r="AB8" i="27"/>
  <c r="AC8" i="27" s="1"/>
  <c r="G8" i="27"/>
  <c r="H8" i="27" s="1"/>
  <c r="Q8" i="27" s="1"/>
  <c r="AA7" i="27"/>
  <c r="Z7" i="27"/>
  <c r="Y7" i="27"/>
  <c r="X7" i="27"/>
  <c r="W7" i="27"/>
  <c r="V7" i="27"/>
  <c r="U7" i="27"/>
  <c r="T7" i="27"/>
  <c r="S7" i="27"/>
  <c r="M7" i="27"/>
  <c r="K7" i="27"/>
  <c r="J7" i="27"/>
  <c r="E2" i="27"/>
  <c r="A6" i="27" s="1" a="1"/>
  <c r="A19" i="27" s="1"/>
  <c r="I58" i="34"/>
  <c r="A58" i="34"/>
  <c r="I57" i="34"/>
  <c r="A57" i="34"/>
  <c r="Q56" i="34" a="1"/>
  <c r="I56" i="34"/>
  <c r="A56" i="34"/>
  <c r="A53" i="34"/>
  <c r="Q49" i="34"/>
  <c r="I49" i="34"/>
  <c r="Q48" i="34"/>
  <c r="I48" i="34"/>
  <c r="Q47" i="34"/>
  <c r="I47" i="34"/>
  <c r="Q46" i="34"/>
  <c r="I46" i="34"/>
  <c r="Q45" i="34"/>
  <c r="I45" i="34"/>
  <c r="Q44" i="34"/>
  <c r="I44" i="34"/>
  <c r="Q43" i="34"/>
  <c r="I43" i="34"/>
  <c r="Q42" i="34"/>
  <c r="I42" i="34"/>
  <c r="Q41" i="34"/>
  <c r="I41" i="34"/>
  <c r="Q40" i="34"/>
  <c r="I40" i="34"/>
  <c r="Q39" i="34"/>
  <c r="I39" i="34"/>
  <c r="Q38" i="34"/>
  <c r="I38" i="34"/>
  <c r="A38" i="34" a="1"/>
  <c r="A35" i="34"/>
  <c r="S28" i="34"/>
  <c r="M28" i="34"/>
  <c r="G28" i="34"/>
  <c r="S26" i="34"/>
  <c r="M26" i="34"/>
  <c r="G26" i="34"/>
  <c r="S25" i="34"/>
  <c r="M25" i="34"/>
  <c r="G25" i="34"/>
  <c r="S15" i="34"/>
  <c r="M15" i="34"/>
  <c r="G15" i="34"/>
  <c r="S13" i="34"/>
  <c r="M13" i="34"/>
  <c r="G13" i="34"/>
  <c r="S12" i="34"/>
  <c r="M12" i="34"/>
  <c r="G12" i="34"/>
  <c r="L5" i="34"/>
  <c r="G4" i="34"/>
  <c r="H1" i="36"/>
  <c r="K70" i="16"/>
  <c r="H70" i="16"/>
  <c r="E70" i="16"/>
  <c r="B70" i="16"/>
  <c r="N70" i="16" s="1"/>
  <c r="A66" i="16"/>
  <c r="K65" i="16"/>
  <c r="A65" i="16"/>
  <c r="I65" i="16" s="1"/>
  <c r="I64" i="16"/>
  <c r="A64" i="16"/>
  <c r="A63" i="16"/>
  <c r="I63" i="16" s="1"/>
  <c r="A62" i="16"/>
  <c r="I62" i="16" s="1"/>
  <c r="A61" i="16"/>
  <c r="I61" i="16" s="1"/>
  <c r="A60" i="16"/>
  <c r="I60" i="16" s="1"/>
  <c r="A59" i="16"/>
  <c r="I59" i="16" s="1"/>
  <c r="A58" i="16"/>
  <c r="A57" i="16"/>
  <c r="I57" i="16" s="1"/>
  <c r="A56" i="16"/>
  <c r="I56" i="16" s="1"/>
  <c r="A55" i="16"/>
  <c r="H41" i="16"/>
  <c r="AN18" i="16" s="1"/>
  <c r="A41" i="16"/>
  <c r="H40" i="16"/>
  <c r="AN17" i="16" s="1"/>
  <c r="A40" i="16"/>
  <c r="H39" i="16"/>
  <c r="AN16" i="16" s="1"/>
  <c r="A39" i="16"/>
  <c r="AS38" i="16"/>
  <c r="AQ38" i="16"/>
  <c r="AP38" i="16"/>
  <c r="H38" i="16"/>
  <c r="AN15" i="16" s="1"/>
  <c r="A38" i="16"/>
  <c r="AS37" i="16"/>
  <c r="AR37" i="16"/>
  <c r="AQ37" i="16"/>
  <c r="AP37" i="16"/>
  <c r="AO37" i="16"/>
  <c r="AN37" i="16"/>
  <c r="AM37" i="16"/>
  <c r="AL37" i="16"/>
  <c r="H37" i="16"/>
  <c r="AN14" i="16" s="1"/>
  <c r="A37" i="16"/>
  <c r="AS36" i="16"/>
  <c r="AR36" i="16"/>
  <c r="AQ36" i="16"/>
  <c r="AP36" i="16"/>
  <c r="AO36" i="16"/>
  <c r="AN36" i="16"/>
  <c r="AM36" i="16"/>
  <c r="AL36" i="16"/>
  <c r="H36" i="16"/>
  <c r="AN13" i="16" s="1"/>
  <c r="A36" i="16"/>
  <c r="AS35" i="16"/>
  <c r="AR35" i="16"/>
  <c r="AQ35" i="16"/>
  <c r="AP35" i="16"/>
  <c r="AO35" i="16"/>
  <c r="AN35" i="16"/>
  <c r="AM35" i="16"/>
  <c r="AL35" i="16"/>
  <c r="AK35" i="16"/>
  <c r="AJ35" i="16"/>
  <c r="AI35" i="16"/>
  <c r="AH35" i="16"/>
  <c r="AF35" i="16"/>
  <c r="H35" i="16"/>
  <c r="AN12" i="16" s="1"/>
  <c r="A35" i="16"/>
  <c r="AS34" i="16"/>
  <c r="AR34" i="16"/>
  <c r="AQ34" i="16"/>
  <c r="AP34" i="16"/>
  <c r="AO34" i="16"/>
  <c r="AN34" i="16"/>
  <c r="AM34" i="16"/>
  <c r="AL34" i="16"/>
  <c r="AK34" i="16"/>
  <c r="AJ34" i="16"/>
  <c r="AI34" i="16"/>
  <c r="AH34" i="16"/>
  <c r="AF34" i="16"/>
  <c r="H34" i="16"/>
  <c r="AN11" i="16" s="1"/>
  <c r="A34" i="16"/>
  <c r="AS33" i="16"/>
  <c r="AR33" i="16"/>
  <c r="AQ33" i="16"/>
  <c r="AP33" i="16"/>
  <c r="AO33" i="16"/>
  <c r="AN33" i="16"/>
  <c r="AM33" i="16"/>
  <c r="AL33" i="16"/>
  <c r="AK33" i="16"/>
  <c r="AJ33" i="16"/>
  <c r="AI33" i="16"/>
  <c r="AH33" i="16"/>
  <c r="H33" i="16"/>
  <c r="AN10" i="16" s="1"/>
  <c r="A33" i="16"/>
  <c r="E33" i="16" s="1"/>
  <c r="AM10" i="16" s="1"/>
  <c r="AS32" i="16"/>
  <c r="AR32" i="16"/>
  <c r="AQ32" i="16"/>
  <c r="AP32" i="16"/>
  <c r="AO32" i="16"/>
  <c r="AN32" i="16"/>
  <c r="AM32" i="16"/>
  <c r="AL32" i="16"/>
  <c r="AK32" i="16"/>
  <c r="AJ32" i="16"/>
  <c r="AI32" i="16"/>
  <c r="AH32" i="16"/>
  <c r="AF32" i="16"/>
  <c r="H32" i="16"/>
  <c r="AN9" i="16" s="1"/>
  <c r="A32" i="16"/>
  <c r="AF38" i="16" s="1"/>
  <c r="AS9" i="16" s="1"/>
  <c r="AS31" i="16"/>
  <c r="AR31" i="16"/>
  <c r="AQ31" i="16"/>
  <c r="AP31" i="16"/>
  <c r="AO31" i="16"/>
  <c r="AN31" i="16"/>
  <c r="AM31" i="16"/>
  <c r="AL31" i="16"/>
  <c r="AK31" i="16"/>
  <c r="AJ31" i="16"/>
  <c r="AI31" i="16"/>
  <c r="AH31" i="16"/>
  <c r="AF31" i="16"/>
  <c r="H31" i="16"/>
  <c r="AJ37" i="16" s="1"/>
  <c r="A31" i="16"/>
  <c r="AF37" i="16" s="1"/>
  <c r="AS8" i="16" s="1"/>
  <c r="AS30" i="16"/>
  <c r="AR30" i="16"/>
  <c r="AQ30" i="16"/>
  <c r="AP30" i="16"/>
  <c r="AO30" i="16"/>
  <c r="AN30" i="16"/>
  <c r="AM30" i="16"/>
  <c r="AL30" i="16"/>
  <c r="AK30" i="16"/>
  <c r="AJ30" i="16"/>
  <c r="AI30" i="16"/>
  <c r="AH30" i="16"/>
  <c r="AF30" i="16"/>
  <c r="A30" i="16"/>
  <c r="AF36" i="16" s="1"/>
  <c r="AS29" i="16"/>
  <c r="AR29" i="16"/>
  <c r="AQ29" i="16"/>
  <c r="AP29" i="16"/>
  <c r="AO29" i="16"/>
  <c r="AN29" i="16"/>
  <c r="AM29" i="16"/>
  <c r="AL29" i="16"/>
  <c r="AK29" i="16"/>
  <c r="AJ29" i="16"/>
  <c r="AI29" i="16"/>
  <c r="AH29" i="16"/>
  <c r="AF29" i="16"/>
  <c r="AS28" i="16"/>
  <c r="AR28" i="16"/>
  <c r="AQ28" i="16"/>
  <c r="AP28" i="16"/>
  <c r="AO28" i="16"/>
  <c r="AN28" i="16"/>
  <c r="AM28" i="16"/>
  <c r="AL28" i="16"/>
  <c r="AK28" i="16"/>
  <c r="AJ28" i="16"/>
  <c r="AI28" i="16"/>
  <c r="AH28" i="16"/>
  <c r="AF28" i="16"/>
  <c r="AS27" i="16"/>
  <c r="AR27" i="16"/>
  <c r="AQ27" i="16"/>
  <c r="AP27" i="16"/>
  <c r="AO27" i="16"/>
  <c r="AN27" i="16"/>
  <c r="AM27" i="16"/>
  <c r="AL27" i="16"/>
  <c r="AF27" i="16"/>
  <c r="Q21" i="16"/>
  <c r="AS18" i="16"/>
  <c r="AQ18" i="16"/>
  <c r="AP18" i="16"/>
  <c r="AF18" i="16"/>
  <c r="A18" i="16"/>
  <c r="A32" i="26" s="1"/>
  <c r="AS17" i="16"/>
  <c r="AQ17" i="16"/>
  <c r="AP17" i="16"/>
  <c r="A17" i="16"/>
  <c r="A24" i="25" s="1"/>
  <c r="I24" i="25" s="1"/>
  <c r="AS16" i="16"/>
  <c r="AQ16" i="16"/>
  <c r="AP16" i="16"/>
  <c r="A16" i="16"/>
  <c r="AF16" i="16" s="1"/>
  <c r="AS15" i="16"/>
  <c r="AQ15" i="16"/>
  <c r="AP15" i="16"/>
  <c r="A15" i="16"/>
  <c r="A20" i="25" s="1"/>
  <c r="I20" i="25" s="1"/>
  <c r="AS14" i="16"/>
  <c r="AQ14" i="16"/>
  <c r="AP14" i="16"/>
  <c r="A14" i="16"/>
  <c r="A24" i="26" s="1"/>
  <c r="AS13" i="16"/>
  <c r="AQ13" i="16"/>
  <c r="AP13" i="16"/>
  <c r="A13" i="16"/>
  <c r="AF13" i="16" s="1"/>
  <c r="AS12" i="16"/>
  <c r="AQ12" i="16"/>
  <c r="AP12" i="16"/>
  <c r="A12" i="16"/>
  <c r="A14" i="25" s="1"/>
  <c r="I14" i="25" s="1"/>
  <c r="AS11" i="16"/>
  <c r="AQ11" i="16"/>
  <c r="AP11" i="16"/>
  <c r="A11" i="16"/>
  <c r="A18" i="26" s="1"/>
  <c r="AS10" i="16"/>
  <c r="AQ10" i="16"/>
  <c r="AP10" i="16"/>
  <c r="A10" i="16"/>
  <c r="AQ9" i="16"/>
  <c r="AP9" i="16"/>
  <c r="A9" i="16"/>
  <c r="AQ8" i="16"/>
  <c r="AP8" i="16"/>
  <c r="AN8" i="16"/>
  <c r="A8" i="16"/>
  <c r="AF8" i="16" s="1"/>
  <c r="A7" i="16"/>
  <c r="K31" i="24"/>
  <c r="O212" i="29" s="1"/>
  <c r="W30" i="24"/>
  <c r="W24" i="24"/>
  <c r="W25" i="24" s="1"/>
  <c r="U31" i="24" s="1"/>
  <c r="V31" i="24" s="1"/>
  <c r="V17" i="24"/>
  <c r="B15" i="24"/>
  <c r="L7" i="31" s="1"/>
  <c r="J29" i="3" l="1"/>
  <c r="I52" i="6"/>
  <c r="I72" i="6"/>
  <c r="J10" i="3"/>
  <c r="I27" i="3"/>
  <c r="J72" i="3"/>
  <c r="I30" i="3"/>
  <c r="P87" i="30"/>
  <c r="I51" i="6"/>
  <c r="I76" i="3"/>
  <c r="P90" i="30"/>
  <c r="I29" i="6"/>
  <c r="J54" i="6"/>
  <c r="J6" i="3"/>
  <c r="A6" i="25"/>
  <c r="I6" i="25" s="1"/>
  <c r="O212" i="33"/>
  <c r="O186" i="32"/>
  <c r="AJ38" i="16"/>
  <c r="N212" i="33"/>
  <c r="AC209" i="33"/>
  <c r="P207" i="33"/>
  <c r="Q87" i="30"/>
  <c r="P88" i="30"/>
  <c r="P34" i="31"/>
  <c r="Q10" i="29"/>
  <c r="P10" i="29"/>
  <c r="N30" i="29"/>
  <c r="N43" i="29"/>
  <c r="P34" i="29"/>
  <c r="AB53" i="29"/>
  <c r="AC53" i="29"/>
  <c r="Q48" i="29"/>
  <c r="P48" i="29"/>
  <c r="N69" i="29"/>
  <c r="AB79" i="29"/>
  <c r="AC79" i="29" s="1"/>
  <c r="N82" i="29"/>
  <c r="P74" i="29"/>
  <c r="Q74" i="29"/>
  <c r="N108" i="29"/>
  <c r="Q99" i="29"/>
  <c r="P99" i="29"/>
  <c r="N134" i="29"/>
  <c r="P126" i="29"/>
  <c r="AB144" i="29"/>
  <c r="AC144" i="29" s="1"/>
  <c r="N147" i="29"/>
  <c r="P138" i="29"/>
  <c r="AC157" i="29"/>
  <c r="P153" i="29"/>
  <c r="Q183" i="29"/>
  <c r="O178" i="29"/>
  <c r="AB196" i="29"/>
  <c r="AC196" i="29" s="1"/>
  <c r="AB209" i="29"/>
  <c r="AC209" i="29"/>
  <c r="N212" i="29"/>
  <c r="P114" i="30"/>
  <c r="P129" i="30"/>
  <c r="N14" i="33"/>
  <c r="A28" i="26"/>
  <c r="P52" i="29"/>
  <c r="P101" i="30"/>
  <c r="L163" i="30"/>
  <c r="P62" i="31"/>
  <c r="P34" i="33"/>
  <c r="P89" i="33"/>
  <c r="I10" i="6"/>
  <c r="I76" i="6"/>
  <c r="I93" i="6"/>
  <c r="G96" i="6"/>
  <c r="A22" i="25"/>
  <c r="I22" i="25" s="1"/>
  <c r="J27" i="6"/>
  <c r="I33" i="6"/>
  <c r="I8" i="3"/>
  <c r="I11" i="3"/>
  <c r="I74" i="3"/>
  <c r="C26" i="25"/>
  <c r="E26" i="25" s="1"/>
  <c r="F26" i="25" s="1"/>
  <c r="G26" i="25" s="1"/>
  <c r="N40" i="30"/>
  <c r="P194" i="30"/>
  <c r="P63" i="31"/>
  <c r="P117" i="33"/>
  <c r="N170" i="33"/>
  <c r="P170" i="33" s="1"/>
  <c r="J31" i="3"/>
  <c r="J54" i="3"/>
  <c r="J50" i="6"/>
  <c r="P50" i="29"/>
  <c r="N157" i="32"/>
  <c r="P157" i="32" s="1"/>
  <c r="A12" i="26"/>
  <c r="J75" i="6"/>
  <c r="N183" i="32"/>
  <c r="O69" i="27"/>
  <c r="Q69" i="27" s="1"/>
  <c r="O173" i="31"/>
  <c r="Q173" i="31" s="1"/>
  <c r="A26" i="26"/>
  <c r="I50" i="3"/>
  <c r="J95" i="3"/>
  <c r="P113" i="32"/>
  <c r="P115" i="32"/>
  <c r="N105" i="29"/>
  <c r="P105" i="29" s="1"/>
  <c r="L124" i="30"/>
  <c r="N79" i="30"/>
  <c r="P79" i="30" s="1"/>
  <c r="P143" i="31"/>
  <c r="P112" i="33"/>
  <c r="N144" i="33"/>
  <c r="J8" i="6"/>
  <c r="J31" i="6"/>
  <c r="J71" i="6"/>
  <c r="P177" i="32"/>
  <c r="J53" i="6"/>
  <c r="I53" i="6"/>
  <c r="J74" i="6"/>
  <c r="I7" i="3"/>
  <c r="J51" i="3"/>
  <c r="I51" i="3"/>
  <c r="I56" i="3" s="1"/>
  <c r="J71" i="3"/>
  <c r="G78" i="3"/>
  <c r="I71" i="3"/>
  <c r="J77" i="3"/>
  <c r="I77" i="3"/>
  <c r="A18" i="25"/>
  <c r="I18" i="25" s="1"/>
  <c r="I94" i="3"/>
  <c r="P11" i="33"/>
  <c r="N118" i="33"/>
  <c r="J30" i="6"/>
  <c r="I30" i="6"/>
  <c r="J77" i="6"/>
  <c r="I77" i="6"/>
  <c r="AF14" i="16"/>
  <c r="N144" i="29"/>
  <c r="P144" i="29" s="1"/>
  <c r="I9" i="6"/>
  <c r="J73" i="6"/>
  <c r="I73" i="6"/>
  <c r="I78" i="6" s="1"/>
  <c r="I66" i="16"/>
  <c r="K66" i="16"/>
  <c r="E66" i="16"/>
  <c r="J55" i="3"/>
  <c r="I55" i="3"/>
  <c r="J75" i="3"/>
  <c r="I75" i="3"/>
  <c r="H66" i="16"/>
  <c r="J7" i="6"/>
  <c r="I7" i="6"/>
  <c r="C12" i="25"/>
  <c r="E12" i="25" s="1"/>
  <c r="F12" i="25" s="1"/>
  <c r="G12" i="25" s="1"/>
  <c r="AF7" i="16"/>
  <c r="A4" i="25"/>
  <c r="I4" i="25" s="1"/>
  <c r="A10" i="26"/>
  <c r="J28" i="3"/>
  <c r="I28" i="3"/>
  <c r="G34" i="3"/>
  <c r="A8" i="25"/>
  <c r="I8" i="25" s="1"/>
  <c r="A14" i="26"/>
  <c r="N92" i="32"/>
  <c r="P92" i="32" s="1"/>
  <c r="J9" i="3"/>
  <c r="I9" i="3"/>
  <c r="AF9" i="16"/>
  <c r="N92" i="31"/>
  <c r="G12" i="6"/>
  <c r="J5" i="6"/>
  <c r="G56" i="6"/>
  <c r="J49" i="6"/>
  <c r="I49" i="6"/>
  <c r="J93" i="3"/>
  <c r="J96" i="3" s="1"/>
  <c r="I93" i="3"/>
  <c r="I96" i="3" s="1"/>
  <c r="J11" i="6"/>
  <c r="I11" i="6"/>
  <c r="I55" i="6"/>
  <c r="I53" i="3"/>
  <c r="G96" i="3"/>
  <c r="N53" i="33"/>
  <c r="P53" i="33" s="1"/>
  <c r="I5" i="6"/>
  <c r="G34" i="6"/>
  <c r="J28" i="6"/>
  <c r="J32" i="3"/>
  <c r="I32" i="3"/>
  <c r="G78" i="6"/>
  <c r="J96" i="6"/>
  <c r="G12" i="3"/>
  <c r="J5" i="3"/>
  <c r="J12" i="3" s="1"/>
  <c r="I5" i="3"/>
  <c r="G56" i="3"/>
  <c r="J49" i="3"/>
  <c r="N40" i="33"/>
  <c r="N183" i="33"/>
  <c r="P183" i="33" s="1"/>
  <c r="A26" i="25"/>
  <c r="I26" i="25" s="1"/>
  <c r="O30" i="32"/>
  <c r="Q30" i="32" s="1"/>
  <c r="P155" i="30"/>
  <c r="P103" i="33"/>
  <c r="O43" i="27"/>
  <c r="Q43" i="27" s="1"/>
  <c r="O56" i="27"/>
  <c r="Q56" i="27" s="1"/>
  <c r="AF15" i="16"/>
  <c r="AF17" i="16"/>
  <c r="P180" i="31"/>
  <c r="A30" i="26"/>
  <c r="E65" i="16"/>
  <c r="H65" i="16"/>
  <c r="N40" i="29"/>
  <c r="P35" i="30"/>
  <c r="N157" i="30"/>
  <c r="P157" i="30" s="1"/>
  <c r="P51" i="33"/>
  <c r="N196" i="33"/>
  <c r="I94" i="6"/>
  <c r="I96" i="6" s="1"/>
  <c r="I73" i="3"/>
  <c r="L85" i="30"/>
  <c r="P169" i="31"/>
  <c r="P166" i="32"/>
  <c r="P8" i="33"/>
  <c r="AB92" i="30"/>
  <c r="AC131" i="32"/>
  <c r="O60" i="33"/>
  <c r="H66" i="33"/>
  <c r="O66" i="33" s="1"/>
  <c r="Q66" i="33" s="1"/>
  <c r="P204" i="33"/>
  <c r="Q87" i="33"/>
  <c r="P87" i="33"/>
  <c r="Q10" i="33"/>
  <c r="P10" i="33"/>
  <c r="H14" i="33"/>
  <c r="O14" i="33" s="1"/>
  <c r="Q14" i="33" s="1"/>
  <c r="O13" i="33"/>
  <c r="Q13" i="33" s="1"/>
  <c r="O139" i="33"/>
  <c r="H144" i="33"/>
  <c r="O144" i="33" s="1"/>
  <c r="P169" i="33"/>
  <c r="O151" i="33"/>
  <c r="Q151" i="33" s="1"/>
  <c r="H157" i="33"/>
  <c r="O157" i="33" s="1"/>
  <c r="Q157" i="33" s="1"/>
  <c r="P90" i="33"/>
  <c r="Q90" i="33"/>
  <c r="H79" i="33"/>
  <c r="O79" i="33" s="1"/>
  <c r="Q79" i="33" s="1"/>
  <c r="O73" i="33"/>
  <c r="Q73" i="33" s="1"/>
  <c r="P61" i="33"/>
  <c r="Q61" i="33"/>
  <c r="P91" i="33"/>
  <c r="Q88" i="33"/>
  <c r="P88" i="33"/>
  <c r="Q194" i="33"/>
  <c r="P194" i="33"/>
  <c r="P65" i="33"/>
  <c r="Q65" i="33"/>
  <c r="Q192" i="33"/>
  <c r="P192" i="33"/>
  <c r="O21" i="33"/>
  <c r="Q21" i="33" s="1"/>
  <c r="H27" i="33"/>
  <c r="O27" i="33" s="1"/>
  <c r="Q27" i="33" s="1"/>
  <c r="Q63" i="33"/>
  <c r="P63" i="33"/>
  <c r="Q38" i="33"/>
  <c r="P38" i="33"/>
  <c r="Q36" i="33"/>
  <c r="P36" i="33"/>
  <c r="H53" i="33"/>
  <c r="O53" i="33" s="1"/>
  <c r="Q53" i="33" s="1"/>
  <c r="O47" i="33"/>
  <c r="Q47" i="33" s="1"/>
  <c r="Q142" i="33"/>
  <c r="P142" i="33"/>
  <c r="P9" i="33"/>
  <c r="Q11" i="33"/>
  <c r="AB53" i="33"/>
  <c r="AC53" i="33" s="1"/>
  <c r="Q89" i="33"/>
  <c r="Q100" i="33"/>
  <c r="Q112" i="33"/>
  <c r="Q117" i="33"/>
  <c r="AB131" i="33"/>
  <c r="AC131" i="33" s="1"/>
  <c r="P152" i="33"/>
  <c r="P167" i="33"/>
  <c r="P181" i="33"/>
  <c r="P208" i="33"/>
  <c r="Q166" i="33"/>
  <c r="P166" i="33"/>
  <c r="Q143" i="33"/>
  <c r="P143" i="33"/>
  <c r="P37" i="33"/>
  <c r="Q37" i="33"/>
  <c r="N27" i="33"/>
  <c r="P35" i="33"/>
  <c r="O164" i="33"/>
  <c r="H170" i="33"/>
  <c r="O170" i="33" s="1"/>
  <c r="Q170" i="33" s="1"/>
  <c r="AC79" i="33"/>
  <c r="P151" i="33"/>
  <c r="H40" i="33"/>
  <c r="O40" i="33" s="1"/>
  <c r="Q40" i="33" s="1"/>
  <c r="Q51" i="33"/>
  <c r="P77" i="33"/>
  <c r="P114" i="33"/>
  <c r="N186" i="33"/>
  <c r="O203" i="33"/>
  <c r="Q203" i="33" s="1"/>
  <c r="H209" i="33"/>
  <c r="O209" i="33" s="1"/>
  <c r="Q209" i="33" s="1"/>
  <c r="Q191" i="33"/>
  <c r="P191" i="33"/>
  <c r="H196" i="33"/>
  <c r="O196" i="33" s="1"/>
  <c r="Q196" i="33" s="1"/>
  <c r="P206" i="33"/>
  <c r="P155" i="33"/>
  <c r="P25" i="33"/>
  <c r="P48" i="33"/>
  <c r="P64" i="33"/>
  <c r="N105" i="33"/>
  <c r="P140" i="33"/>
  <c r="H183" i="33"/>
  <c r="O183" i="33" s="1"/>
  <c r="Q183" i="33" s="1"/>
  <c r="AB40" i="33"/>
  <c r="AC40" i="33" s="1"/>
  <c r="P74" i="33"/>
  <c r="P101" i="33"/>
  <c r="Q103" i="33"/>
  <c r="P130" i="33"/>
  <c r="Q168" i="33"/>
  <c r="P168" i="33"/>
  <c r="Q116" i="33"/>
  <c r="P116" i="33"/>
  <c r="Q141" i="33"/>
  <c r="P178" i="33"/>
  <c r="P73" i="33"/>
  <c r="N79" i="33"/>
  <c r="P79" i="33" s="1"/>
  <c r="Q115" i="33"/>
  <c r="P115" i="33"/>
  <c r="P76" i="33"/>
  <c r="P78" i="33"/>
  <c r="O125" i="33"/>
  <c r="Q125" i="33" s="1"/>
  <c r="H131" i="33"/>
  <c r="O131" i="33" s="1"/>
  <c r="Q131" i="33" s="1"/>
  <c r="P179" i="33"/>
  <c r="P62" i="33"/>
  <c r="H105" i="33"/>
  <c r="O105" i="33" s="1"/>
  <c r="Q105" i="33" s="1"/>
  <c r="Q113" i="33"/>
  <c r="P113" i="33"/>
  <c r="H118" i="33"/>
  <c r="O118" i="33" s="1"/>
  <c r="Q118" i="33" s="1"/>
  <c r="P125" i="33"/>
  <c r="N131" i="33"/>
  <c r="P131" i="33" s="1"/>
  <c r="N157" i="33"/>
  <c r="P157" i="33" s="1"/>
  <c r="P165" i="33"/>
  <c r="N66" i="33"/>
  <c r="P66" i="33" s="1"/>
  <c r="O86" i="33"/>
  <c r="H92" i="33"/>
  <c r="O92" i="33" s="1"/>
  <c r="Q92" i="33" s="1"/>
  <c r="N92" i="33"/>
  <c r="O99" i="33"/>
  <c r="Q99" i="33" s="1"/>
  <c r="P128" i="33"/>
  <c r="Q138" i="33"/>
  <c r="P138" i="33"/>
  <c r="O177" i="33"/>
  <c r="Q177" i="33" s="1"/>
  <c r="AB196" i="33"/>
  <c r="AC196" i="33" s="1"/>
  <c r="P50" i="33"/>
  <c r="P153" i="33"/>
  <c r="P75" i="33"/>
  <c r="P102" i="33"/>
  <c r="AB105" i="33"/>
  <c r="AC105" i="33" s="1"/>
  <c r="P180" i="33"/>
  <c r="AB183" i="33"/>
  <c r="AC183" i="33" s="1"/>
  <c r="P24" i="33"/>
  <c r="P154" i="33"/>
  <c r="AB157" i="33"/>
  <c r="AC157" i="33" s="1"/>
  <c r="P193" i="33"/>
  <c r="P127" i="33"/>
  <c r="P205" i="33"/>
  <c r="P49" i="33"/>
  <c r="P156" i="33"/>
  <c r="N209" i="33"/>
  <c r="P191" i="32"/>
  <c r="A6" i="33"/>
  <c r="A19" i="33" s="1"/>
  <c r="A52" i="16"/>
  <c r="A57" i="36" s="1"/>
  <c r="U3" i="36" s="1"/>
  <c r="A19" i="32"/>
  <c r="P38" i="32"/>
  <c r="P165" i="32"/>
  <c r="P168" i="32"/>
  <c r="O8" i="32"/>
  <c r="Q8" i="32" s="1"/>
  <c r="H14" i="32"/>
  <c r="O14" i="32" s="1"/>
  <c r="Q14" i="32" s="1"/>
  <c r="N27" i="32"/>
  <c r="P27" i="32" s="1"/>
  <c r="P112" i="32"/>
  <c r="P142" i="32"/>
  <c r="P47" i="32"/>
  <c r="O164" i="32"/>
  <c r="Q164" i="32" s="1"/>
  <c r="H170" i="32"/>
  <c r="O170" i="32" s="1"/>
  <c r="Q170" i="32" s="1"/>
  <c r="P35" i="32"/>
  <c r="H53" i="32"/>
  <c r="O53" i="32" s="1"/>
  <c r="Q53" i="32" s="1"/>
  <c r="O73" i="32"/>
  <c r="H79" i="32"/>
  <c r="O79" i="32" s="1"/>
  <c r="Q79" i="32" s="1"/>
  <c r="H105" i="32"/>
  <c r="O105" i="32" s="1"/>
  <c r="Q105" i="32" s="1"/>
  <c r="H144" i="32"/>
  <c r="O144" i="32" s="1"/>
  <c r="Q144" i="32" s="1"/>
  <c r="P164" i="32"/>
  <c r="N170" i="32"/>
  <c r="P170" i="32" s="1"/>
  <c r="P91" i="32"/>
  <c r="P26" i="32"/>
  <c r="Q100" i="32"/>
  <c r="P100" i="32"/>
  <c r="P62" i="32"/>
  <c r="P101" i="32"/>
  <c r="Q101" i="32"/>
  <c r="P155" i="32"/>
  <c r="P193" i="32"/>
  <c r="P50" i="32"/>
  <c r="P90" i="32"/>
  <c r="AC105" i="32"/>
  <c r="N108" i="32"/>
  <c r="P116" i="32"/>
  <c r="Q116" i="32"/>
  <c r="P156" i="32"/>
  <c r="P194" i="32"/>
  <c r="P23" i="32"/>
  <c r="P103" i="32"/>
  <c r="P195" i="32"/>
  <c r="H40" i="32"/>
  <c r="O40" i="32" s="1"/>
  <c r="Q40" i="32" s="1"/>
  <c r="P76" i="32"/>
  <c r="AB196" i="32"/>
  <c r="AC196" i="32" s="1"/>
  <c r="N66" i="32"/>
  <c r="AB157" i="32"/>
  <c r="AC157" i="32" s="1"/>
  <c r="O60" i="32"/>
  <c r="H66" i="32"/>
  <c r="O66" i="32" s="1"/>
  <c r="Q66" i="32" s="1"/>
  <c r="P114" i="32"/>
  <c r="N118" i="32"/>
  <c r="P51" i="32"/>
  <c r="P178" i="32"/>
  <c r="H27" i="32"/>
  <c r="O27" i="32" s="1"/>
  <c r="Q27" i="32" s="1"/>
  <c r="P154" i="32"/>
  <c r="N53" i="32"/>
  <c r="P53" i="32" s="1"/>
  <c r="P139" i="32"/>
  <c r="P25" i="32"/>
  <c r="P39" i="32"/>
  <c r="P89" i="32"/>
  <c r="P192" i="32"/>
  <c r="N105" i="32"/>
  <c r="P99" i="32"/>
  <c r="P182" i="32"/>
  <c r="P10" i="32"/>
  <c r="N131" i="32"/>
  <c r="P131" i="32" s="1"/>
  <c r="P126" i="32"/>
  <c r="AB14" i="32"/>
  <c r="AC14" i="32" s="1"/>
  <c r="P21" i="32"/>
  <c r="N79" i="32"/>
  <c r="H92" i="32"/>
  <c r="O92" i="32" s="1"/>
  <c r="Q92" i="32" s="1"/>
  <c r="P102" i="32"/>
  <c r="P104" i="32"/>
  <c r="P117" i="32"/>
  <c r="H183" i="32"/>
  <c r="O183" i="32" s="1"/>
  <c r="Q183" i="32" s="1"/>
  <c r="H118" i="32"/>
  <c r="O118" i="32" s="1"/>
  <c r="Q118" i="32" s="1"/>
  <c r="AC144" i="32"/>
  <c r="P78" i="32"/>
  <c r="N14" i="32"/>
  <c r="P49" i="32"/>
  <c r="P128" i="32"/>
  <c r="P64" i="32"/>
  <c r="P87" i="32"/>
  <c r="P143" i="32"/>
  <c r="P152" i="32"/>
  <c r="P167" i="32"/>
  <c r="Q169" i="32"/>
  <c r="H196" i="32"/>
  <c r="O196" i="32" s="1"/>
  <c r="Q196" i="32" s="1"/>
  <c r="N196" i="32"/>
  <c r="P196" i="32" s="1"/>
  <c r="N40" i="32"/>
  <c r="P40" i="32" s="1"/>
  <c r="AB118" i="32"/>
  <c r="AC118" i="32" s="1"/>
  <c r="P129" i="32"/>
  <c r="O151" i="32"/>
  <c r="H157" i="32"/>
  <c r="O157" i="32" s="1"/>
  <c r="Q157" i="32" s="1"/>
  <c r="P179" i="32"/>
  <c r="P37" i="32"/>
  <c r="P61" i="32"/>
  <c r="O125" i="32"/>
  <c r="Q125" i="32" s="1"/>
  <c r="H131" i="32"/>
  <c r="O131" i="32" s="1"/>
  <c r="Q131" i="32" s="1"/>
  <c r="N144" i="32"/>
  <c r="P34" i="32"/>
  <c r="P190" i="32"/>
  <c r="H53" i="31"/>
  <c r="O53" i="31" s="1"/>
  <c r="Q53" i="31" s="1"/>
  <c r="O47" i="31"/>
  <c r="Q47" i="31" s="1"/>
  <c r="H131" i="31"/>
  <c r="O131" i="31" s="1"/>
  <c r="Q131" i="31" s="1"/>
  <c r="O125" i="31"/>
  <c r="Q125" i="31" s="1"/>
  <c r="O61" i="31"/>
  <c r="Q61" i="31" s="1"/>
  <c r="H66" i="31"/>
  <c r="O66" i="31" s="1"/>
  <c r="Q66" i="31" s="1"/>
  <c r="Q114" i="31"/>
  <c r="P114" i="31"/>
  <c r="Q37" i="31"/>
  <c r="P37" i="31"/>
  <c r="P156" i="31"/>
  <c r="P11" i="31"/>
  <c r="H79" i="31"/>
  <c r="O79" i="31" s="1"/>
  <c r="Q79" i="31" s="1"/>
  <c r="P194" i="31"/>
  <c r="Q25" i="31"/>
  <c r="P25" i="31"/>
  <c r="Q180" i="31"/>
  <c r="N79" i="31"/>
  <c r="P79" i="31" s="1"/>
  <c r="Q193" i="31"/>
  <c r="P193" i="31"/>
  <c r="P13" i="31"/>
  <c r="Q115" i="31"/>
  <c r="P115" i="31"/>
  <c r="P167" i="31"/>
  <c r="O8" i="31"/>
  <c r="Q8" i="31" s="1"/>
  <c r="H14" i="31"/>
  <c r="O14" i="31" s="1"/>
  <c r="Q14" i="31" s="1"/>
  <c r="N27" i="31"/>
  <c r="P27" i="31" s="1"/>
  <c r="Q24" i="31"/>
  <c r="P24" i="31"/>
  <c r="P179" i="31"/>
  <c r="P182" i="31"/>
  <c r="O21" i="31"/>
  <c r="Q21" i="31" s="1"/>
  <c r="Q87" i="31"/>
  <c r="P87" i="31"/>
  <c r="P100" i="31"/>
  <c r="Q113" i="31"/>
  <c r="P113" i="31"/>
  <c r="N105" i="31"/>
  <c r="Q143" i="31"/>
  <c r="P168" i="31"/>
  <c r="N66" i="31"/>
  <c r="P66" i="31" s="1"/>
  <c r="P61" i="31"/>
  <c r="P90" i="31"/>
  <c r="P116" i="31"/>
  <c r="N118" i="31"/>
  <c r="P208" i="31"/>
  <c r="P22" i="31"/>
  <c r="P64" i="31"/>
  <c r="Q88" i="31"/>
  <c r="P88" i="31"/>
  <c r="N14" i="31"/>
  <c r="P125" i="31"/>
  <c r="H40" i="31"/>
  <c r="O40" i="31" s="1"/>
  <c r="Q40" i="31" s="1"/>
  <c r="Q23" i="31"/>
  <c r="P23" i="31"/>
  <c r="N53" i="31"/>
  <c r="P53" i="31" s="1"/>
  <c r="Q74" i="31"/>
  <c r="P74" i="31"/>
  <c r="P77" i="31"/>
  <c r="O99" i="31"/>
  <c r="Q99" i="31" s="1"/>
  <c r="H105" i="31"/>
  <c r="O105" i="31" s="1"/>
  <c r="Q105" i="31" s="1"/>
  <c r="P117" i="31"/>
  <c r="AC66" i="31"/>
  <c r="H92" i="31"/>
  <c r="O92" i="31" s="1"/>
  <c r="Q92" i="31" s="1"/>
  <c r="O86" i="31"/>
  <c r="P91" i="31"/>
  <c r="AC118" i="31"/>
  <c r="P153" i="31"/>
  <c r="Q153" i="31"/>
  <c r="O164" i="31"/>
  <c r="Q164" i="31" s="1"/>
  <c r="H170" i="31"/>
  <c r="O170" i="31" s="1"/>
  <c r="Q170" i="31" s="1"/>
  <c r="P155" i="31"/>
  <c r="N170" i="31"/>
  <c r="P170" i="31" s="1"/>
  <c r="P164" i="31"/>
  <c r="P166" i="31"/>
  <c r="P60" i="31"/>
  <c r="P99" i="31"/>
  <c r="H118" i="31"/>
  <c r="O118" i="31" s="1"/>
  <c r="Q118" i="31" s="1"/>
  <c r="N183" i="31"/>
  <c r="N196" i="31"/>
  <c r="P192" i="31"/>
  <c r="P12" i="31"/>
  <c r="N131" i="31"/>
  <c r="P131" i="31" s="1"/>
  <c r="N157" i="31"/>
  <c r="P157" i="31" s="1"/>
  <c r="N17" i="31"/>
  <c r="AB53" i="31"/>
  <c r="AC53" i="31" s="1"/>
  <c r="P76" i="31"/>
  <c r="P78" i="31"/>
  <c r="O112" i="31"/>
  <c r="P178" i="31"/>
  <c r="P190" i="31"/>
  <c r="P195" i="31"/>
  <c r="AB105" i="31"/>
  <c r="AC105" i="31" s="1"/>
  <c r="H157" i="31"/>
  <c r="O157" i="31" s="1"/>
  <c r="Q157" i="31" s="1"/>
  <c r="H183" i="31"/>
  <c r="O183" i="31" s="1"/>
  <c r="Q183" i="31" s="1"/>
  <c r="P191" i="31"/>
  <c r="P75" i="31"/>
  <c r="P142" i="31"/>
  <c r="H209" i="31"/>
  <c r="O209" i="31" s="1"/>
  <c r="Q209" i="31" s="1"/>
  <c r="P207" i="31"/>
  <c r="P49" i="31"/>
  <c r="P51" i="31"/>
  <c r="Q63" i="31"/>
  <c r="P104" i="31"/>
  <c r="O177" i="31"/>
  <c r="P205" i="31"/>
  <c r="P127" i="31"/>
  <c r="P129" i="31"/>
  <c r="H196" i="31"/>
  <c r="O196" i="31" s="1"/>
  <c r="Q196" i="31" s="1"/>
  <c r="O203" i="31"/>
  <c r="N209" i="31"/>
  <c r="P52" i="31"/>
  <c r="AB131" i="31"/>
  <c r="AC131" i="31" s="1"/>
  <c r="P152" i="31"/>
  <c r="P204" i="31"/>
  <c r="N147" i="31"/>
  <c r="AB170" i="31"/>
  <c r="AC170" i="31" s="1"/>
  <c r="P181" i="31"/>
  <c r="H144" i="31"/>
  <c r="O144" i="31" s="1"/>
  <c r="P39" i="31"/>
  <c r="AB79" i="31"/>
  <c r="AC79" i="31" s="1"/>
  <c r="P101" i="31"/>
  <c r="AB196" i="31"/>
  <c r="AC196" i="31" s="1"/>
  <c r="AB144" i="31"/>
  <c r="P169" i="30"/>
  <c r="P49" i="30"/>
  <c r="P178" i="30"/>
  <c r="O60" i="30"/>
  <c r="Q60" i="30" s="1"/>
  <c r="H66" i="30"/>
  <c r="O66" i="30" s="1"/>
  <c r="Q66" i="30" s="1"/>
  <c r="A19" i="30"/>
  <c r="A27" i="16"/>
  <c r="A6" i="31"/>
  <c r="A19" i="31" s="1"/>
  <c r="P191" i="30"/>
  <c r="Q191" i="30"/>
  <c r="O177" i="30"/>
  <c r="Q177" i="30" s="1"/>
  <c r="H183" i="30"/>
  <c r="O183" i="30" s="1"/>
  <c r="Q183" i="30" s="1"/>
  <c r="P193" i="30"/>
  <c r="P75" i="30"/>
  <c r="H14" i="30"/>
  <c r="O14" i="30" s="1"/>
  <c r="Q14" i="30" s="1"/>
  <c r="P38" i="30"/>
  <c r="P167" i="30"/>
  <c r="P51" i="30"/>
  <c r="P62" i="30"/>
  <c r="Q62" i="30"/>
  <c r="N118" i="30"/>
  <c r="P112" i="30"/>
  <c r="H40" i="30"/>
  <c r="O40" i="30" s="1"/>
  <c r="Q40" i="30" s="1"/>
  <c r="O34" i="30"/>
  <c r="O47" i="30"/>
  <c r="H53" i="30"/>
  <c r="O53" i="30" s="1"/>
  <c r="Q53" i="30" s="1"/>
  <c r="N131" i="30"/>
  <c r="AB183" i="30"/>
  <c r="AC183" i="30" s="1"/>
  <c r="P154" i="30"/>
  <c r="N43" i="30"/>
  <c r="P126" i="30"/>
  <c r="Q126" i="30"/>
  <c r="P152" i="30"/>
  <c r="P182" i="30"/>
  <c r="P40" i="30"/>
  <c r="Q101" i="30"/>
  <c r="Q91" i="30"/>
  <c r="P91" i="30"/>
  <c r="P117" i="30"/>
  <c r="Q117" i="30"/>
  <c r="P180" i="30"/>
  <c r="Q22" i="30"/>
  <c r="P22" i="30"/>
  <c r="H27" i="30"/>
  <c r="O27" i="30" s="1"/>
  <c r="Q27" i="30" s="1"/>
  <c r="P77" i="30"/>
  <c r="P64" i="30"/>
  <c r="P190" i="30"/>
  <c r="P104" i="30"/>
  <c r="H79" i="30"/>
  <c r="O79" i="30" s="1"/>
  <c r="Q79" i="30" s="1"/>
  <c r="P102" i="30"/>
  <c r="Q102" i="30"/>
  <c r="P165" i="30"/>
  <c r="N53" i="30"/>
  <c r="P53" i="30" s="1"/>
  <c r="P130" i="30"/>
  <c r="N170" i="30"/>
  <c r="P170" i="30" s="1"/>
  <c r="P60" i="30"/>
  <c r="N66" i="30"/>
  <c r="P66" i="30" s="1"/>
  <c r="Q35" i="30"/>
  <c r="AB40" i="30"/>
  <c r="AC40" i="30" s="1"/>
  <c r="AC66" i="30"/>
  <c r="N144" i="30"/>
  <c r="H170" i="30"/>
  <c r="O170" i="30" s="1"/>
  <c r="Q170" i="30" s="1"/>
  <c r="P39" i="30"/>
  <c r="P78" i="30"/>
  <c r="P151" i="30"/>
  <c r="H196" i="30"/>
  <c r="O196" i="30" s="1"/>
  <c r="Q196" i="30" s="1"/>
  <c r="N14" i="30"/>
  <c r="P8" i="30"/>
  <c r="P48" i="30"/>
  <c r="P50" i="30"/>
  <c r="H118" i="30"/>
  <c r="O118" i="30" s="1"/>
  <c r="Q118" i="30" s="1"/>
  <c r="Q155" i="30"/>
  <c r="P168" i="30"/>
  <c r="N183" i="30"/>
  <c r="P183" i="30" s="1"/>
  <c r="P179" i="30"/>
  <c r="P192" i="30"/>
  <c r="Q194" i="30"/>
  <c r="N196" i="30"/>
  <c r="P196" i="30" s="1"/>
  <c r="N27" i="30"/>
  <c r="P142" i="30"/>
  <c r="P100" i="30"/>
  <c r="P115" i="30"/>
  <c r="P153" i="30"/>
  <c r="P74" i="30"/>
  <c r="O99" i="30"/>
  <c r="H105" i="30"/>
  <c r="O105" i="30" s="1"/>
  <c r="H131" i="30"/>
  <c r="O131" i="30" s="1"/>
  <c r="Q131" i="30" s="1"/>
  <c r="P164" i="30"/>
  <c r="P166" i="30"/>
  <c r="O190" i="30"/>
  <c r="Q190" i="30" s="1"/>
  <c r="P63" i="30"/>
  <c r="N82" i="30"/>
  <c r="P127" i="30"/>
  <c r="AB157" i="30"/>
  <c r="AC157" i="30" s="1"/>
  <c r="O138" i="30"/>
  <c r="Q138" i="30" s="1"/>
  <c r="H144" i="30"/>
  <c r="O144" i="30" s="1"/>
  <c r="Q144" i="30" s="1"/>
  <c r="P139" i="30"/>
  <c r="P21" i="30"/>
  <c r="P138" i="30"/>
  <c r="AB14" i="30"/>
  <c r="AC14" i="30" s="1"/>
  <c r="O86" i="29"/>
  <c r="Q86" i="29" s="1"/>
  <c r="H92" i="29"/>
  <c r="O92" i="29" s="1"/>
  <c r="Q92" i="29" s="1"/>
  <c r="Q152" i="29"/>
  <c r="P152" i="29"/>
  <c r="O21" i="29"/>
  <c r="H27" i="29"/>
  <c r="O27" i="29" s="1"/>
  <c r="Q27" i="29" s="1"/>
  <c r="P35" i="29"/>
  <c r="Q88" i="29"/>
  <c r="P88" i="29"/>
  <c r="P140" i="29"/>
  <c r="H66" i="29"/>
  <c r="O66" i="29" s="1"/>
  <c r="Q66" i="29" s="1"/>
  <c r="O60" i="29"/>
  <c r="Q60" i="29" s="1"/>
  <c r="Q65" i="29"/>
  <c r="P103" i="29"/>
  <c r="P129" i="29"/>
  <c r="P164" i="29"/>
  <c r="P117" i="29"/>
  <c r="A32" i="29"/>
  <c r="A45" i="29" s="1"/>
  <c r="A58" i="29" s="1"/>
  <c r="A71" i="29" s="1"/>
  <c r="A84" i="29" s="1"/>
  <c r="A97" i="29" s="1"/>
  <c r="A110" i="29" s="1"/>
  <c r="A123" i="29" s="1"/>
  <c r="A136" i="29" s="1"/>
  <c r="A149" i="29" s="1"/>
  <c r="A162" i="29" s="1"/>
  <c r="A175" i="29" s="1"/>
  <c r="A188" i="29" s="1"/>
  <c r="A201" i="29" s="1"/>
  <c r="N27" i="29"/>
  <c r="P27" i="29" s="1"/>
  <c r="P25" i="29"/>
  <c r="Q52" i="29"/>
  <c r="O11" i="29"/>
  <c r="Q11" i="29" s="1"/>
  <c r="H14" i="29"/>
  <c r="O14" i="29" s="1"/>
  <c r="Q14" i="29" s="1"/>
  <c r="P63" i="29"/>
  <c r="O190" i="29"/>
  <c r="Q190" i="29" s="1"/>
  <c r="H196" i="29"/>
  <c r="O196" i="29" s="1"/>
  <c r="Q196" i="29" s="1"/>
  <c r="P193" i="29"/>
  <c r="P115" i="29"/>
  <c r="P181" i="29"/>
  <c r="Q50" i="29"/>
  <c r="P78" i="29"/>
  <c r="N14" i="29"/>
  <c r="P9" i="29"/>
  <c r="H79" i="29"/>
  <c r="O79" i="29" s="1"/>
  <c r="Q79" i="29" s="1"/>
  <c r="O73" i="29"/>
  <c r="Q73" i="29" s="1"/>
  <c r="Q178" i="29"/>
  <c r="P178" i="29"/>
  <c r="P12" i="29"/>
  <c r="Q24" i="29"/>
  <c r="P24" i="29"/>
  <c r="Q62" i="29"/>
  <c r="P62" i="29"/>
  <c r="P191" i="29"/>
  <c r="P76" i="29"/>
  <c r="H131" i="29"/>
  <c r="O131" i="29" s="1"/>
  <c r="Q131" i="29" s="1"/>
  <c r="O125" i="29"/>
  <c r="Q125" i="29" s="1"/>
  <c r="P66" i="29"/>
  <c r="Q168" i="29"/>
  <c r="P168" i="29"/>
  <c r="Q112" i="29"/>
  <c r="P112" i="29"/>
  <c r="P22" i="29"/>
  <c r="P47" i="29"/>
  <c r="O151" i="29"/>
  <c r="Q151" i="29" s="1"/>
  <c r="H157" i="29"/>
  <c r="O157" i="29" s="1"/>
  <c r="Q157" i="29" s="1"/>
  <c r="P205" i="29"/>
  <c r="P113" i="29"/>
  <c r="N118" i="29"/>
  <c r="P118" i="29" s="1"/>
  <c r="P169" i="29"/>
  <c r="P23" i="29"/>
  <c r="P86" i="29"/>
  <c r="P143" i="29"/>
  <c r="N79" i="29"/>
  <c r="P79" i="29" s="1"/>
  <c r="N183" i="29"/>
  <c r="P183" i="29" s="1"/>
  <c r="P207" i="29"/>
  <c r="P37" i="29"/>
  <c r="P127" i="29"/>
  <c r="Q165" i="29"/>
  <c r="P165" i="29"/>
  <c r="P154" i="29"/>
  <c r="P179" i="29"/>
  <c r="P195" i="29"/>
  <c r="P102" i="29"/>
  <c r="P139" i="29"/>
  <c r="N209" i="29"/>
  <c r="P209" i="29" s="1"/>
  <c r="P208" i="29"/>
  <c r="AB27" i="29"/>
  <c r="AC27" i="29" s="1"/>
  <c r="H40" i="29"/>
  <c r="O40" i="29" s="1"/>
  <c r="Q40" i="29" s="1"/>
  <c r="N53" i="29"/>
  <c r="N92" i="29"/>
  <c r="H105" i="29"/>
  <c r="O105" i="29" s="1"/>
  <c r="Q105" i="29" s="1"/>
  <c r="P26" i="29"/>
  <c r="P100" i="29"/>
  <c r="P182" i="29"/>
  <c r="AB183" i="29"/>
  <c r="AC183" i="29" s="1"/>
  <c r="P203" i="29"/>
  <c r="P128" i="29"/>
  <c r="P142" i="29"/>
  <c r="P155" i="29"/>
  <c r="N170" i="29"/>
  <c r="P166" i="29"/>
  <c r="P206" i="29"/>
  <c r="P101" i="29"/>
  <c r="P75" i="29"/>
  <c r="N157" i="29"/>
  <c r="P157" i="29" s="1"/>
  <c r="P151" i="29"/>
  <c r="P167" i="29"/>
  <c r="H53" i="29"/>
  <c r="O53" i="29" s="1"/>
  <c r="Q53" i="29" s="1"/>
  <c r="P64" i="29"/>
  <c r="H118" i="29"/>
  <c r="O118" i="29" s="1"/>
  <c r="Q118" i="29" s="1"/>
  <c r="P141" i="29"/>
  <c r="H170" i="29"/>
  <c r="O170" i="29" s="1"/>
  <c r="Q170" i="29" s="1"/>
  <c r="H209" i="29"/>
  <c r="O209" i="29" s="1"/>
  <c r="Q209" i="29" s="1"/>
  <c r="P49" i="29"/>
  <c r="P114" i="29"/>
  <c r="N131" i="29"/>
  <c r="P8" i="29"/>
  <c r="AB14" i="29"/>
  <c r="AC14" i="29" s="1"/>
  <c r="P90" i="29"/>
  <c r="P180" i="29"/>
  <c r="N196" i="29"/>
  <c r="AB40" i="29"/>
  <c r="AC40" i="29" s="1"/>
  <c r="P39" i="29"/>
  <c r="AB105" i="29"/>
  <c r="AC105" i="29" s="1"/>
  <c r="P51" i="29"/>
  <c r="P77" i="29"/>
  <c r="P116" i="29"/>
  <c r="P192" i="29"/>
  <c r="P204" i="29"/>
  <c r="P87" i="29"/>
  <c r="AB131" i="29"/>
  <c r="AC131" i="29" s="1"/>
  <c r="P177" i="29"/>
  <c r="H144" i="29"/>
  <c r="O144" i="29" s="1"/>
  <c r="Q144" i="29" s="1"/>
  <c r="P13" i="29"/>
  <c r="P104" i="29"/>
  <c r="P36" i="29"/>
  <c r="P89" i="29"/>
  <c r="P117" i="27"/>
  <c r="P77" i="27"/>
  <c r="N40" i="27"/>
  <c r="O160" i="33"/>
  <c r="Q160" i="33" s="1"/>
  <c r="Q144" i="31"/>
  <c r="AC144" i="31"/>
  <c r="N144" i="31"/>
  <c r="P138" i="31"/>
  <c r="AB40" i="31"/>
  <c r="AC40" i="31"/>
  <c r="N40" i="31"/>
  <c r="AC92" i="30"/>
  <c r="N92" i="30"/>
  <c r="P92" i="30" s="1"/>
  <c r="P86" i="30"/>
  <c r="Q92" i="30"/>
  <c r="E34" i="16"/>
  <c r="AM11" i="16" s="1"/>
  <c r="L46" i="30"/>
  <c r="L189" i="31"/>
  <c r="L7" i="27"/>
  <c r="L111" i="27"/>
  <c r="L33" i="30"/>
  <c r="L72" i="30"/>
  <c r="L111" i="30"/>
  <c r="L150" i="30"/>
  <c r="L189" i="30"/>
  <c r="L176" i="31"/>
  <c r="L20" i="31"/>
  <c r="L59" i="31"/>
  <c r="L98" i="31"/>
  <c r="L137" i="31"/>
  <c r="L46" i="32"/>
  <c r="L85" i="32"/>
  <c r="L124" i="32"/>
  <c r="L163" i="32"/>
  <c r="L46" i="33"/>
  <c r="L85" i="33"/>
  <c r="L124" i="33"/>
  <c r="L163" i="33"/>
  <c r="L202" i="33"/>
  <c r="L20" i="27"/>
  <c r="L137" i="27"/>
  <c r="L150" i="27"/>
  <c r="L163" i="27"/>
  <c r="L176" i="27"/>
  <c r="L33" i="29"/>
  <c r="L111" i="29"/>
  <c r="L150" i="29"/>
  <c r="L72" i="31"/>
  <c r="L150" i="31"/>
  <c r="L59" i="32"/>
  <c r="L137" i="32"/>
  <c r="L20" i="33"/>
  <c r="L59" i="33"/>
  <c r="L7" i="30"/>
  <c r="L124" i="27"/>
  <c r="L20" i="29"/>
  <c r="L59" i="29"/>
  <c r="L98" i="29"/>
  <c r="L137" i="29"/>
  <c r="L33" i="27"/>
  <c r="L7" i="32"/>
  <c r="L7" i="33"/>
  <c r="L46" i="27"/>
  <c r="L20" i="30"/>
  <c r="L59" i="30"/>
  <c r="L98" i="30"/>
  <c r="L137" i="30"/>
  <c r="L176" i="30"/>
  <c r="L202" i="31"/>
  <c r="L46" i="31"/>
  <c r="L85" i="31"/>
  <c r="L124" i="31"/>
  <c r="L163" i="31"/>
  <c r="L33" i="32"/>
  <c r="L72" i="32"/>
  <c r="L111" i="32"/>
  <c r="L150" i="32"/>
  <c r="L189" i="32"/>
  <c r="L33" i="33"/>
  <c r="L72" i="33"/>
  <c r="L111" i="33"/>
  <c r="L150" i="33"/>
  <c r="L189" i="33"/>
  <c r="L72" i="29"/>
  <c r="L189" i="29"/>
  <c r="L33" i="31"/>
  <c r="L111" i="31"/>
  <c r="L20" i="32"/>
  <c r="L98" i="32"/>
  <c r="L176" i="32"/>
  <c r="L98" i="33"/>
  <c r="L137" i="33"/>
  <c r="L176" i="33"/>
  <c r="L98" i="27"/>
  <c r="L176" i="29"/>
  <c r="L59" i="27"/>
  <c r="L72" i="27"/>
  <c r="L189" i="27"/>
  <c r="L46" i="29"/>
  <c r="L85" i="29"/>
  <c r="L124" i="29"/>
  <c r="L163" i="29"/>
  <c r="L202" i="29"/>
  <c r="L85" i="27"/>
  <c r="L7" i="29"/>
  <c r="L9" i="16"/>
  <c r="L7" i="16"/>
  <c r="B60" i="16"/>
  <c r="I58" i="16"/>
  <c r="B55" i="16"/>
  <c r="AP7" i="16" s="1"/>
  <c r="B63" i="16"/>
  <c r="O43" i="32"/>
  <c r="Q43" i="32" s="1"/>
  <c r="H157" i="27"/>
  <c r="O157" i="27" s="1"/>
  <c r="Q157" i="27" s="1"/>
  <c r="P114" i="27"/>
  <c r="N186" i="27"/>
  <c r="N108" i="27"/>
  <c r="N66" i="27"/>
  <c r="N43" i="27"/>
  <c r="N131" i="27"/>
  <c r="AB131" i="27"/>
  <c r="AC131" i="27" s="1"/>
  <c r="P129" i="27"/>
  <c r="P104" i="27"/>
  <c r="AB157" i="27"/>
  <c r="AC157" i="27" s="1"/>
  <c r="H118" i="27"/>
  <c r="O118" i="27" s="1"/>
  <c r="Q118" i="27" s="1"/>
  <c r="N157" i="27"/>
  <c r="AB92" i="27"/>
  <c r="AC92" i="27" s="1"/>
  <c r="O173" i="27"/>
  <c r="Q173" i="27" s="1"/>
  <c r="P168" i="27"/>
  <c r="P193" i="27"/>
  <c r="P22" i="27"/>
  <c r="B32" i="27"/>
  <c r="O69" i="33"/>
  <c r="Q69" i="33" s="1"/>
  <c r="O121" i="32"/>
  <c r="Q121" i="32" s="1"/>
  <c r="O160" i="31"/>
  <c r="Q160" i="31" s="1"/>
  <c r="AB27" i="27"/>
  <c r="AC27" i="27" s="1"/>
  <c r="AB53" i="27"/>
  <c r="AC53" i="27" s="1"/>
  <c r="N69" i="27"/>
  <c r="P125" i="27"/>
  <c r="AB40" i="27"/>
  <c r="AC40" i="27" s="1"/>
  <c r="P140" i="27"/>
  <c r="O151" i="27"/>
  <c r="Q151" i="27" s="1"/>
  <c r="AB14" i="27"/>
  <c r="AC14" i="27" s="1"/>
  <c r="O112" i="27"/>
  <c r="Q112" i="27" s="1"/>
  <c r="P143" i="27"/>
  <c r="P165" i="27"/>
  <c r="N105" i="27"/>
  <c r="AB118" i="27"/>
  <c r="AC118" i="27" s="1"/>
  <c r="N134" i="27"/>
  <c r="P152" i="27"/>
  <c r="H183" i="27"/>
  <c r="O183" i="27" s="1"/>
  <c r="Q183" i="27" s="1"/>
  <c r="P191" i="27"/>
  <c r="O134" i="32"/>
  <c r="Q134" i="32" s="1"/>
  <c r="P141" i="27"/>
  <c r="P155" i="27"/>
  <c r="O186" i="30"/>
  <c r="Q186" i="30" s="1"/>
  <c r="P169" i="27"/>
  <c r="P8" i="27"/>
  <c r="N53" i="27"/>
  <c r="AB66" i="27"/>
  <c r="AC66" i="27" s="1"/>
  <c r="P13" i="27"/>
  <c r="AB105" i="27"/>
  <c r="AC105" i="27" s="1"/>
  <c r="AB79" i="27"/>
  <c r="AC79" i="27" s="1"/>
  <c r="N27" i="27"/>
  <c r="O30" i="27"/>
  <c r="Q30" i="27" s="1"/>
  <c r="Q76" i="27"/>
  <c r="P76" i="27"/>
  <c r="P51" i="27"/>
  <c r="Q51" i="27"/>
  <c r="O73" i="27"/>
  <c r="Q73" i="27" s="1"/>
  <c r="H79" i="27"/>
  <c r="O79" i="27" s="1"/>
  <c r="Q79" i="27" s="1"/>
  <c r="P89" i="27"/>
  <c r="P9" i="27"/>
  <c r="Q101" i="27"/>
  <c r="P101" i="27"/>
  <c r="P128" i="27"/>
  <c r="Q128" i="27"/>
  <c r="Q154" i="27"/>
  <c r="P154" i="27"/>
  <c r="H66" i="27"/>
  <c r="O66" i="27" s="1"/>
  <c r="Q66" i="27" s="1"/>
  <c r="O60" i="27"/>
  <c r="Q63" i="27"/>
  <c r="P63" i="27"/>
  <c r="Q115" i="27"/>
  <c r="P115" i="27"/>
  <c r="P25" i="27"/>
  <c r="P36" i="27"/>
  <c r="P39" i="27"/>
  <c r="Q74" i="27"/>
  <c r="P74" i="27"/>
  <c r="Q62" i="27"/>
  <c r="P62" i="27"/>
  <c r="A32" i="27"/>
  <c r="A45" i="27" s="1"/>
  <c r="A58" i="27" s="1"/>
  <c r="A71" i="27" s="1"/>
  <c r="A84" i="27" s="1"/>
  <c r="A97" i="27" s="1"/>
  <c r="A110" i="27" s="1"/>
  <c r="A123" i="27" s="1"/>
  <c r="A136" i="27" s="1"/>
  <c r="A149" i="27" s="1"/>
  <c r="A162" i="27" s="1"/>
  <c r="A175" i="27" s="1"/>
  <c r="A188" i="27" s="1"/>
  <c r="Q91" i="27"/>
  <c r="P91" i="27"/>
  <c r="P23" i="27"/>
  <c r="Q23" i="27"/>
  <c r="Q116" i="27"/>
  <c r="P116" i="27"/>
  <c r="P48" i="27"/>
  <c r="Q48" i="27"/>
  <c r="Q65" i="27"/>
  <c r="P65" i="27"/>
  <c r="Q11" i="27"/>
  <c r="P11" i="27"/>
  <c r="Q37" i="27"/>
  <c r="P37" i="27"/>
  <c r="P26" i="27"/>
  <c r="Q26" i="27"/>
  <c r="O34" i="27"/>
  <c r="H40" i="27"/>
  <c r="O40" i="27" s="1"/>
  <c r="Q40" i="27" s="1"/>
  <c r="H53" i="27"/>
  <c r="O53" i="27" s="1"/>
  <c r="Q53" i="27" s="1"/>
  <c r="P61" i="27"/>
  <c r="P64" i="27"/>
  <c r="P75" i="27"/>
  <c r="Q75" i="27"/>
  <c r="P88" i="27"/>
  <c r="H27" i="27"/>
  <c r="O27" i="27" s="1"/>
  <c r="Q27" i="27" s="1"/>
  <c r="P50" i="27"/>
  <c r="Q127" i="27"/>
  <c r="P127" i="27"/>
  <c r="Q181" i="27"/>
  <c r="P181" i="27"/>
  <c r="Q35" i="27"/>
  <c r="P35" i="27"/>
  <c r="Q38" i="27"/>
  <c r="P38" i="27"/>
  <c r="P78" i="27"/>
  <c r="Q156" i="27"/>
  <c r="P156" i="27"/>
  <c r="N14" i="27"/>
  <c r="N144" i="27"/>
  <c r="Q182" i="27"/>
  <c r="P182" i="27"/>
  <c r="H14" i="27"/>
  <c r="O14" i="27" s="1"/>
  <c r="Q14" i="27" s="1"/>
  <c r="O56" i="32"/>
  <c r="Q56" i="32" s="1"/>
  <c r="O56" i="30"/>
  <c r="Q56" i="30" s="1"/>
  <c r="O56" i="31"/>
  <c r="Q56" i="31" s="1"/>
  <c r="O56" i="29"/>
  <c r="Q56" i="29" s="1"/>
  <c r="O56" i="33"/>
  <c r="Q56" i="33" s="1"/>
  <c r="P86" i="27"/>
  <c r="N121" i="27"/>
  <c r="O138" i="27"/>
  <c r="Q138" i="27" s="1"/>
  <c r="H144" i="27"/>
  <c r="O144" i="27" s="1"/>
  <c r="Q144" i="27" s="1"/>
  <c r="O17" i="27"/>
  <c r="Q17" i="27" s="1"/>
  <c r="N30" i="27"/>
  <c r="O47" i="27"/>
  <c r="Q47" i="27" s="1"/>
  <c r="O82" i="33"/>
  <c r="Q82" i="33" s="1"/>
  <c r="O82" i="32"/>
  <c r="Q82" i="32" s="1"/>
  <c r="P99" i="27"/>
  <c r="O121" i="27"/>
  <c r="Q121" i="27" s="1"/>
  <c r="P130" i="27"/>
  <c r="P153" i="27"/>
  <c r="AB170" i="27"/>
  <c r="AC170" i="27" s="1"/>
  <c r="O180" i="27"/>
  <c r="Q180" i="27" s="1"/>
  <c r="N196" i="27"/>
  <c r="O160" i="29"/>
  <c r="Q160" i="29" s="1"/>
  <c r="O17" i="33"/>
  <c r="Q17" i="33" s="1"/>
  <c r="O17" i="32"/>
  <c r="Q17" i="32" s="1"/>
  <c r="O43" i="30"/>
  <c r="Q43" i="30" s="1"/>
  <c r="O43" i="31"/>
  <c r="Q43" i="31" s="1"/>
  <c r="O43" i="29"/>
  <c r="Q43" i="29" s="1"/>
  <c r="O43" i="33"/>
  <c r="Q43" i="33" s="1"/>
  <c r="O95" i="27"/>
  <c r="Q95" i="27" s="1"/>
  <c r="N95" i="27"/>
  <c r="O134" i="27"/>
  <c r="Q134" i="27" s="1"/>
  <c r="AB144" i="27"/>
  <c r="AC144" i="27" s="1"/>
  <c r="P166" i="27"/>
  <c r="P194" i="27"/>
  <c r="O82" i="30"/>
  <c r="Q82" i="30" s="1"/>
  <c r="O173" i="33"/>
  <c r="Q173" i="33" s="1"/>
  <c r="P90" i="27"/>
  <c r="O95" i="30"/>
  <c r="Q95" i="30" s="1"/>
  <c r="O95" i="32"/>
  <c r="Q95" i="32" s="1"/>
  <c r="P103" i="27"/>
  <c r="O108" i="27"/>
  <c r="Q108" i="27" s="1"/>
  <c r="AB196" i="27"/>
  <c r="AC196" i="27" s="1"/>
  <c r="O95" i="31"/>
  <c r="Q95" i="31" s="1"/>
  <c r="A4" i="16"/>
  <c r="A22" i="36" s="1"/>
  <c r="A3" i="36" s="1"/>
  <c r="O30" i="31"/>
  <c r="Q30" i="31" s="1"/>
  <c r="O30" i="29"/>
  <c r="Q30" i="29" s="1"/>
  <c r="O30" i="33"/>
  <c r="Q30" i="33" s="1"/>
  <c r="N79" i="27"/>
  <c r="O108" i="31"/>
  <c r="Q108" i="31" s="1"/>
  <c r="O108" i="29"/>
  <c r="Q108" i="29" s="1"/>
  <c r="O108" i="33"/>
  <c r="Q108" i="33" s="1"/>
  <c r="O121" i="30"/>
  <c r="Q121" i="30" s="1"/>
  <c r="N170" i="27"/>
  <c r="P164" i="27"/>
  <c r="P178" i="27"/>
  <c r="O190" i="27"/>
  <c r="Q190" i="27" s="1"/>
  <c r="H196" i="27"/>
  <c r="O196" i="27" s="1"/>
  <c r="Q196" i="27" s="1"/>
  <c r="P192" i="27"/>
  <c r="O17" i="29"/>
  <c r="Q17" i="29" s="1"/>
  <c r="O30" i="30"/>
  <c r="Q30" i="30" s="1"/>
  <c r="H131" i="27"/>
  <c r="O131" i="27" s="1"/>
  <c r="O186" i="29"/>
  <c r="Q186" i="29" s="1"/>
  <c r="O186" i="33"/>
  <c r="Q186" i="33" s="1"/>
  <c r="O186" i="31"/>
  <c r="Q186" i="31" s="1"/>
  <c r="P21" i="27"/>
  <c r="P24" i="27"/>
  <c r="P49" i="27"/>
  <c r="P52" i="27"/>
  <c r="P87" i="27"/>
  <c r="N92" i="27"/>
  <c r="N118" i="27"/>
  <c r="P139" i="27"/>
  <c r="O95" i="29"/>
  <c r="Q95" i="29" s="1"/>
  <c r="O160" i="30"/>
  <c r="Q160" i="30" s="1"/>
  <c r="O82" i="31"/>
  <c r="Q82" i="31" s="1"/>
  <c r="O108" i="32"/>
  <c r="Q108" i="32" s="1"/>
  <c r="P100" i="27"/>
  <c r="P126" i="27"/>
  <c r="O147" i="27"/>
  <c r="Q147" i="27" s="1"/>
  <c r="N147" i="27"/>
  <c r="N160" i="27"/>
  <c r="P167" i="27"/>
  <c r="Q179" i="27"/>
  <c r="P179" i="27"/>
  <c r="P195" i="27"/>
  <c r="P10" i="27"/>
  <c r="P102" i="27"/>
  <c r="P113" i="27"/>
  <c r="O147" i="32"/>
  <c r="Q147" i="32" s="1"/>
  <c r="O147" i="30"/>
  <c r="Q147" i="30" s="1"/>
  <c r="O147" i="31"/>
  <c r="Q147" i="31" s="1"/>
  <c r="O147" i="29"/>
  <c r="Q147" i="29" s="1"/>
  <c r="O160" i="27"/>
  <c r="Q160" i="27" s="1"/>
  <c r="H170" i="27"/>
  <c r="O170" i="27" s="1"/>
  <c r="Q170" i="27" s="1"/>
  <c r="N183" i="27"/>
  <c r="O186" i="27"/>
  <c r="Q186" i="27" s="1"/>
  <c r="O108" i="30"/>
  <c r="Q108" i="30" s="1"/>
  <c r="O147" i="33"/>
  <c r="Q147" i="33" s="1"/>
  <c r="N56" i="27"/>
  <c r="O69" i="32"/>
  <c r="Q69" i="32" s="1"/>
  <c r="O69" i="30"/>
  <c r="Q69" i="30" s="1"/>
  <c r="O69" i="31"/>
  <c r="Q69" i="31" s="1"/>
  <c r="O69" i="29"/>
  <c r="Q69" i="29" s="1"/>
  <c r="O82" i="27"/>
  <c r="Q82" i="27" s="1"/>
  <c r="H92" i="27"/>
  <c r="O92" i="27" s="1"/>
  <c r="Q92" i="27" s="1"/>
  <c r="N173" i="27"/>
  <c r="O199" i="27"/>
  <c r="Q199" i="27" s="1"/>
  <c r="N199" i="27"/>
  <c r="O82" i="29"/>
  <c r="Q82" i="29" s="1"/>
  <c r="H105" i="27"/>
  <c r="O105" i="27" s="1"/>
  <c r="Q105" i="27" s="1"/>
  <c r="P142" i="27"/>
  <c r="O173" i="30"/>
  <c r="Q173" i="30" s="1"/>
  <c r="O173" i="32"/>
  <c r="Q173" i="32" s="1"/>
  <c r="P177" i="27"/>
  <c r="AB183" i="27"/>
  <c r="AC183" i="27" s="1"/>
  <c r="O199" i="32"/>
  <c r="Q199" i="32" s="1"/>
  <c r="O199" i="30"/>
  <c r="Q199" i="30" s="1"/>
  <c r="O199" i="29"/>
  <c r="Q199" i="29" s="1"/>
  <c r="O199" i="33"/>
  <c r="Q199" i="33" s="1"/>
  <c r="O199" i="31"/>
  <c r="Q199" i="31" s="1"/>
  <c r="O173" i="29"/>
  <c r="Q173" i="29" s="1"/>
  <c r="Q186" i="32"/>
  <c r="O95" i="33"/>
  <c r="Q95" i="33" s="1"/>
  <c r="O134" i="33"/>
  <c r="Q134" i="33" s="1"/>
  <c r="O134" i="29"/>
  <c r="Q134" i="29" s="1"/>
  <c r="O134" i="31"/>
  <c r="Q134" i="31" s="1"/>
  <c r="O160" i="32"/>
  <c r="Q160" i="32" s="1"/>
  <c r="O134" i="30"/>
  <c r="Q134" i="30" s="1"/>
  <c r="O121" i="33"/>
  <c r="Q121" i="33" s="1"/>
  <c r="O121" i="29"/>
  <c r="Q121" i="29" s="1"/>
  <c r="O121" i="31"/>
  <c r="Q121" i="31" s="1"/>
  <c r="P12" i="27"/>
  <c r="O17" i="30"/>
  <c r="Q17" i="30" s="1"/>
  <c r="O17" i="31"/>
  <c r="Q17" i="31" s="1"/>
  <c r="N17" i="27"/>
  <c r="I55" i="16"/>
  <c r="K26" i="25" s="1"/>
  <c r="B65" i="16"/>
  <c r="B59" i="16"/>
  <c r="B66" i="16"/>
  <c r="B62" i="16"/>
  <c r="B58" i="16"/>
  <c r="B61" i="16"/>
  <c r="B57" i="16"/>
  <c r="B64" i="16"/>
  <c r="AF12" i="16"/>
  <c r="A16" i="25"/>
  <c r="I16" i="25" s="1"/>
  <c r="A22" i="26"/>
  <c r="A20" i="26"/>
  <c r="I7" i="16"/>
  <c r="I8" i="16"/>
  <c r="L8" i="16"/>
  <c r="I9" i="16"/>
  <c r="AF11" i="16"/>
  <c r="A12" i="25"/>
  <c r="I12" i="25" s="1"/>
  <c r="A16" i="26"/>
  <c r="AF10" i="16"/>
  <c r="A10" i="25"/>
  <c r="I10" i="25" s="1"/>
  <c r="L10" i="16"/>
  <c r="B56" i="16"/>
  <c r="E38" i="16"/>
  <c r="AM15" i="16" s="1"/>
  <c r="E40" i="16"/>
  <c r="AM17" i="16" s="1"/>
  <c r="E31" i="16"/>
  <c r="AM8" i="16" s="1"/>
  <c r="E36" i="16"/>
  <c r="AM13" i="16" s="1"/>
  <c r="E35" i="16"/>
  <c r="AM12" i="16" s="1"/>
  <c r="E32" i="16"/>
  <c r="AI38" i="16" s="1"/>
  <c r="E37" i="16"/>
  <c r="AM14" i="16" s="1"/>
  <c r="E41" i="16"/>
  <c r="AM18" i="16" s="1"/>
  <c r="E30" i="16"/>
  <c r="E39" i="16"/>
  <c r="J78" i="6" l="1"/>
  <c r="I34" i="3"/>
  <c r="J34" i="3"/>
  <c r="I34" i="6"/>
  <c r="E47" i="34"/>
  <c r="E57" i="34"/>
  <c r="P209" i="33"/>
  <c r="P203" i="33"/>
  <c r="P60" i="29"/>
  <c r="P92" i="29"/>
  <c r="P125" i="29"/>
  <c r="P131" i="29"/>
  <c r="P170" i="27"/>
  <c r="P151" i="27"/>
  <c r="P53" i="27"/>
  <c r="P14" i="32"/>
  <c r="P14" i="31"/>
  <c r="P8" i="31"/>
  <c r="P14" i="30"/>
  <c r="E43" i="34"/>
  <c r="N65" i="16"/>
  <c r="J34" i="6"/>
  <c r="C10" i="25"/>
  <c r="E10" i="25" s="1"/>
  <c r="F10" i="25" s="1"/>
  <c r="G10" i="25" s="1"/>
  <c r="C6" i="25"/>
  <c r="E6" i="25" s="1"/>
  <c r="F6" i="25" s="1"/>
  <c r="G6" i="25" s="1"/>
  <c r="E46" i="34"/>
  <c r="E58" i="34"/>
  <c r="I78" i="3"/>
  <c r="J78" i="3"/>
  <c r="J12" i="6"/>
  <c r="C20" i="25"/>
  <c r="E20" i="25" s="1"/>
  <c r="F20" i="25" s="1"/>
  <c r="G20" i="25" s="1"/>
  <c r="K20" i="25"/>
  <c r="C4" i="25"/>
  <c r="K4" i="25"/>
  <c r="I12" i="6"/>
  <c r="C14" i="25"/>
  <c r="E14" i="25" s="1"/>
  <c r="F14" i="25" s="1"/>
  <c r="G14" i="25" s="1"/>
  <c r="C8" i="25"/>
  <c r="E8" i="25" s="1"/>
  <c r="F8" i="25" s="1"/>
  <c r="G8" i="25" s="1"/>
  <c r="N66" i="16"/>
  <c r="E56" i="34"/>
  <c r="K18" i="25"/>
  <c r="C18" i="25"/>
  <c r="E18" i="25" s="1"/>
  <c r="F18" i="25" s="1"/>
  <c r="G18" i="25" s="1"/>
  <c r="J56" i="3"/>
  <c r="I56" i="6"/>
  <c r="C24" i="25"/>
  <c r="E24" i="25" s="1"/>
  <c r="F24" i="25" s="1"/>
  <c r="G24" i="25" s="1"/>
  <c r="K24" i="25"/>
  <c r="J56" i="6"/>
  <c r="C16" i="25"/>
  <c r="E16" i="25" s="1"/>
  <c r="F16" i="25" s="1"/>
  <c r="G16" i="25" s="1"/>
  <c r="C48" i="34"/>
  <c r="C56" i="34"/>
  <c r="I12" i="3"/>
  <c r="C22" i="25"/>
  <c r="E22" i="25" s="1"/>
  <c r="F22" i="25" s="1"/>
  <c r="G22" i="25" s="1"/>
  <c r="K22" i="25"/>
  <c r="P92" i="33"/>
  <c r="P27" i="33"/>
  <c r="Q144" i="33"/>
  <c r="P144" i="33"/>
  <c r="P99" i="33"/>
  <c r="Q86" i="33"/>
  <c r="P86" i="33"/>
  <c r="P164" i="33"/>
  <c r="Q164" i="33"/>
  <c r="P105" i="33"/>
  <c r="P40" i="33"/>
  <c r="P21" i="33"/>
  <c r="P196" i="33"/>
  <c r="P14" i="33"/>
  <c r="Q139" i="33"/>
  <c r="P139" i="33"/>
  <c r="P118" i="33"/>
  <c r="P13" i="33"/>
  <c r="P47" i="33"/>
  <c r="P177" i="33"/>
  <c r="P60" i="33"/>
  <c r="Q60" i="33"/>
  <c r="P118" i="32"/>
  <c r="Q73" i="32"/>
  <c r="P73" i="32"/>
  <c r="P105" i="32"/>
  <c r="P60" i="32"/>
  <c r="Q60" i="32"/>
  <c r="A32" i="32"/>
  <c r="P144" i="32"/>
  <c r="P151" i="32"/>
  <c r="Q151" i="32"/>
  <c r="P79" i="32"/>
  <c r="P66" i="32"/>
  <c r="A32" i="33"/>
  <c r="P183" i="32"/>
  <c r="P8" i="32"/>
  <c r="P125" i="32"/>
  <c r="P112" i="31"/>
  <c r="Q112" i="31"/>
  <c r="Q86" i="31"/>
  <c r="P86" i="31"/>
  <c r="P92" i="31"/>
  <c r="P21" i="31"/>
  <c r="P196" i="31"/>
  <c r="P118" i="31"/>
  <c r="P209" i="31"/>
  <c r="P203" i="31"/>
  <c r="Q203" i="31"/>
  <c r="P105" i="31"/>
  <c r="P40" i="31"/>
  <c r="P177" i="31"/>
  <c r="Q177" i="31"/>
  <c r="P144" i="31"/>
  <c r="P183" i="31"/>
  <c r="P47" i="31"/>
  <c r="P27" i="30"/>
  <c r="AF33" i="16"/>
  <c r="A39" i="36"/>
  <c r="H3" i="36" s="1"/>
  <c r="P177" i="30"/>
  <c r="P99" i="30"/>
  <c r="Q99" i="30"/>
  <c r="P144" i="30"/>
  <c r="P47" i="30"/>
  <c r="Q47" i="30"/>
  <c r="P118" i="30"/>
  <c r="A32" i="31"/>
  <c r="A32" i="30"/>
  <c r="Q105" i="30"/>
  <c r="P105" i="30"/>
  <c r="P131" i="30"/>
  <c r="Q34" i="30"/>
  <c r="P34" i="30"/>
  <c r="E42" i="34"/>
  <c r="E39" i="34"/>
  <c r="E49" i="34"/>
  <c r="E40" i="34"/>
  <c r="Q21" i="29"/>
  <c r="P21" i="29"/>
  <c r="E45" i="34"/>
  <c r="P170" i="29"/>
  <c r="P53" i="29"/>
  <c r="E48" i="34"/>
  <c r="P40" i="29"/>
  <c r="E44" i="34"/>
  <c r="E41" i="34"/>
  <c r="P196" i="29"/>
  <c r="P11" i="29"/>
  <c r="P14" i="29"/>
  <c r="P190" i="29"/>
  <c r="P73" i="29"/>
  <c r="C49" i="34"/>
  <c r="P183" i="27"/>
  <c r="P66" i="27"/>
  <c r="L15" i="16"/>
  <c r="L16" i="16"/>
  <c r="L14" i="16"/>
  <c r="L12" i="16"/>
  <c r="K59" i="16"/>
  <c r="AL38" i="16"/>
  <c r="H57" i="16"/>
  <c r="AI37" i="16"/>
  <c r="O65" i="16"/>
  <c r="C47" i="34"/>
  <c r="C42" i="34"/>
  <c r="C45" i="34"/>
  <c r="C46" i="34"/>
  <c r="P118" i="27"/>
  <c r="P14" i="27"/>
  <c r="F8" i="16"/>
  <c r="C43" i="34"/>
  <c r="C58" i="34"/>
  <c r="C9" i="16"/>
  <c r="P157" i="27"/>
  <c r="C40" i="34"/>
  <c r="C39" i="34"/>
  <c r="P47" i="27"/>
  <c r="F7" i="16"/>
  <c r="C8" i="16"/>
  <c r="C44" i="34"/>
  <c r="C41" i="34"/>
  <c r="C7" i="16"/>
  <c r="P79" i="27"/>
  <c r="P40" i="27"/>
  <c r="B45" i="27"/>
  <c r="P112" i="27"/>
  <c r="E7" i="16" s="1"/>
  <c r="AI7" i="16" s="1"/>
  <c r="Q34" i="27"/>
  <c r="P34" i="27"/>
  <c r="P138" i="27"/>
  <c r="P73" i="27"/>
  <c r="Q212" i="29" s="1"/>
  <c r="E8" i="16"/>
  <c r="AI8" i="16" s="1"/>
  <c r="P92" i="27"/>
  <c r="Q60" i="27"/>
  <c r="P60" i="27"/>
  <c r="F11" i="16"/>
  <c r="P105" i="27"/>
  <c r="P190" i="27"/>
  <c r="P196" i="27"/>
  <c r="F10" i="16"/>
  <c r="P27" i="27"/>
  <c r="F9" i="16"/>
  <c r="C57" i="34"/>
  <c r="E9" i="16"/>
  <c r="AI9" i="16" s="1"/>
  <c r="Q131" i="27"/>
  <c r="P131" i="27"/>
  <c r="P144" i="27"/>
  <c r="P180" i="27"/>
  <c r="I68" i="16"/>
  <c r="B68" i="16"/>
  <c r="B69" i="16" s="1"/>
  <c r="A61" i="36" a="1"/>
  <c r="O66" i="16"/>
  <c r="I13" i="16"/>
  <c r="F13" i="16"/>
  <c r="L13" i="16"/>
  <c r="F12" i="16"/>
  <c r="E12" i="16"/>
  <c r="AI12" i="16" s="1"/>
  <c r="E38" i="34"/>
  <c r="C38" i="34"/>
  <c r="L56" i="16"/>
  <c r="C32" i="16"/>
  <c r="L32" i="16"/>
  <c r="AM9" i="16"/>
  <c r="C31" i="16"/>
  <c r="AI36" i="16"/>
  <c r="AM7" i="16"/>
  <c r="K32" i="16"/>
  <c r="F32" i="16"/>
  <c r="I31" i="16"/>
  <c r="I32" i="16"/>
  <c r="K8" i="25" s="1"/>
  <c r="B31" i="16"/>
  <c r="E43" i="16"/>
  <c r="E44" i="16" s="1"/>
  <c r="E45" i="16" s="1"/>
  <c r="AM16" i="16"/>
  <c r="G43" i="34" l="1"/>
  <c r="E59" i="34"/>
  <c r="E23" i="34" s="1"/>
  <c r="E30" i="34" s="1"/>
  <c r="E32" i="34" s="1"/>
  <c r="G58" i="34"/>
  <c r="G39" i="34"/>
  <c r="G56" i="34"/>
  <c r="G46" i="34"/>
  <c r="E4" i="25"/>
  <c r="C29" i="25"/>
  <c r="G48" i="34"/>
  <c r="G42" i="34"/>
  <c r="G49" i="34"/>
  <c r="G41" i="34"/>
  <c r="G44" i="34"/>
  <c r="G45" i="34"/>
  <c r="A45" i="33"/>
  <c r="A45" i="32"/>
  <c r="A45" i="30"/>
  <c r="A45" i="31"/>
  <c r="E50" i="34"/>
  <c r="E10" i="34" s="1"/>
  <c r="E17" i="34" s="1"/>
  <c r="E19" i="34" s="1"/>
  <c r="G40" i="34"/>
  <c r="L31" i="16"/>
  <c r="C12" i="16"/>
  <c r="K13" i="16"/>
  <c r="AK13" i="16" s="1"/>
  <c r="P8" i="16"/>
  <c r="N6" i="25"/>
  <c r="E10" i="16"/>
  <c r="AI10" i="16" s="1"/>
  <c r="C10" i="16"/>
  <c r="E15" i="16"/>
  <c r="AI15" i="16" s="1"/>
  <c r="C13" i="16"/>
  <c r="P13" i="16" s="1"/>
  <c r="C11" i="16"/>
  <c r="I10" i="16"/>
  <c r="I14" i="16"/>
  <c r="I15" i="16"/>
  <c r="I16" i="16"/>
  <c r="E11" i="16"/>
  <c r="AI11" i="16" s="1"/>
  <c r="L11" i="16"/>
  <c r="L17" i="16"/>
  <c r="L18" i="16"/>
  <c r="E13" i="16"/>
  <c r="AI13" i="16" s="1"/>
  <c r="I11" i="16"/>
  <c r="I18" i="16"/>
  <c r="I17" i="16"/>
  <c r="I12" i="16"/>
  <c r="C55" i="16"/>
  <c r="C62" i="16"/>
  <c r="C61" i="16"/>
  <c r="C57" i="16"/>
  <c r="C58" i="16"/>
  <c r="C63" i="16"/>
  <c r="C66" i="16"/>
  <c r="C64" i="16"/>
  <c r="C59" i="16"/>
  <c r="C60" i="16"/>
  <c r="C65" i="16"/>
  <c r="E55" i="16"/>
  <c r="AM38" i="16" s="1"/>
  <c r="B32" i="16"/>
  <c r="O32" i="16" s="1"/>
  <c r="I30" i="16"/>
  <c r="K6" i="25" s="1"/>
  <c r="I38" i="16"/>
  <c r="K14" i="25" s="1"/>
  <c r="I35" i="16"/>
  <c r="I33" i="16"/>
  <c r="I40" i="16"/>
  <c r="K16" i="25" s="1"/>
  <c r="I37" i="16"/>
  <c r="I39" i="16"/>
  <c r="I41" i="16"/>
  <c r="I36" i="16"/>
  <c r="K12" i="25" s="1"/>
  <c r="I34" i="16"/>
  <c r="K10" i="25" s="1"/>
  <c r="F30" i="16"/>
  <c r="F39" i="16"/>
  <c r="F38" i="16"/>
  <c r="F40" i="16"/>
  <c r="F37" i="16"/>
  <c r="F41" i="16"/>
  <c r="F33" i="16"/>
  <c r="F36" i="16"/>
  <c r="F34" i="16"/>
  <c r="F35" i="16"/>
  <c r="K55" i="16"/>
  <c r="AS7" i="16" s="1"/>
  <c r="P7" i="16"/>
  <c r="K60" i="16"/>
  <c r="K56" i="16"/>
  <c r="K58" i="16"/>
  <c r="K57" i="16"/>
  <c r="H63" i="16"/>
  <c r="H64" i="16"/>
  <c r="H62" i="16"/>
  <c r="H56" i="16"/>
  <c r="F56" i="16"/>
  <c r="K63" i="16"/>
  <c r="K62" i="16"/>
  <c r="K64" i="16"/>
  <c r="F55" i="16"/>
  <c r="F57" i="16"/>
  <c r="F58" i="16"/>
  <c r="F64" i="16"/>
  <c r="F66" i="16"/>
  <c r="F62" i="16"/>
  <c r="F61" i="16"/>
  <c r="F60" i="16"/>
  <c r="F63" i="16"/>
  <c r="F65" i="16"/>
  <c r="F59" i="16"/>
  <c r="E63" i="16"/>
  <c r="E64" i="16"/>
  <c r="E62" i="16"/>
  <c r="K31" i="16"/>
  <c r="N31" i="16" s="1"/>
  <c r="C56" i="16"/>
  <c r="H58" i="16"/>
  <c r="C30" i="16"/>
  <c r="C38" i="16"/>
  <c r="C36" i="16"/>
  <c r="C34" i="16"/>
  <c r="C41" i="16"/>
  <c r="C37" i="16"/>
  <c r="C40" i="16"/>
  <c r="C33" i="16"/>
  <c r="C39" i="16"/>
  <c r="C35" i="16"/>
  <c r="H55" i="16"/>
  <c r="E56" i="16"/>
  <c r="E57" i="16"/>
  <c r="E58" i="16"/>
  <c r="K61" i="16"/>
  <c r="L55" i="16"/>
  <c r="L58" i="16"/>
  <c r="L66" i="16"/>
  <c r="L64" i="16"/>
  <c r="L65" i="16"/>
  <c r="L60" i="16"/>
  <c r="L57" i="16"/>
  <c r="L61" i="16"/>
  <c r="L62" i="16"/>
  <c r="L63" i="16"/>
  <c r="L59" i="16"/>
  <c r="H61" i="16"/>
  <c r="H59" i="16"/>
  <c r="H60" i="16"/>
  <c r="L30" i="16"/>
  <c r="L36" i="16"/>
  <c r="L33" i="16"/>
  <c r="L34" i="16"/>
  <c r="L39" i="16"/>
  <c r="L37" i="16"/>
  <c r="L38" i="16"/>
  <c r="L40" i="16"/>
  <c r="L35" i="16"/>
  <c r="L41" i="16"/>
  <c r="B30" i="16"/>
  <c r="AL7" i="16" s="1"/>
  <c r="B37" i="16"/>
  <c r="B33" i="16"/>
  <c r="B36" i="16"/>
  <c r="B41" i="16"/>
  <c r="B38" i="16"/>
  <c r="B39" i="16"/>
  <c r="B40" i="16"/>
  <c r="B34" i="16"/>
  <c r="B35" i="16"/>
  <c r="K30" i="16"/>
  <c r="AO7" i="16" s="1"/>
  <c r="K41" i="16"/>
  <c r="AO18" i="16" s="1"/>
  <c r="K39" i="16"/>
  <c r="AO16" i="16" s="1"/>
  <c r="K34" i="16"/>
  <c r="AO11" i="16" s="1"/>
  <c r="K37" i="16"/>
  <c r="AO14" i="16" s="1"/>
  <c r="K36" i="16"/>
  <c r="AO13" i="16" s="1"/>
  <c r="K40" i="16"/>
  <c r="AO17" i="16" s="1"/>
  <c r="K35" i="16"/>
  <c r="AO12" i="16" s="1"/>
  <c r="K33" i="16"/>
  <c r="AO10" i="16" s="1"/>
  <c r="K38" i="16"/>
  <c r="AO15" i="16" s="1"/>
  <c r="H30" i="16"/>
  <c r="AN7" i="16" s="1"/>
  <c r="F31" i="16"/>
  <c r="E59" i="16"/>
  <c r="E61" i="16"/>
  <c r="E60" i="16"/>
  <c r="L6" i="25"/>
  <c r="N8" i="25"/>
  <c r="E17" i="16"/>
  <c r="AI17" i="16" s="1"/>
  <c r="L4" i="25"/>
  <c r="O4" i="25" s="1"/>
  <c r="P4" i="25" s="1"/>
  <c r="P29" i="25" s="1"/>
  <c r="K14" i="16"/>
  <c r="AK14" i="16" s="1"/>
  <c r="N4" i="25"/>
  <c r="H18" i="16"/>
  <c r="AJ18" i="16" s="1"/>
  <c r="B14" i="16"/>
  <c r="AH14" i="16" s="1"/>
  <c r="K16" i="16"/>
  <c r="AK16" i="16" s="1"/>
  <c r="B15" i="16"/>
  <c r="AH15" i="16" s="1"/>
  <c r="P9" i="16"/>
  <c r="L8" i="25"/>
  <c r="O8" i="25" s="1"/>
  <c r="P8" i="25" s="1"/>
  <c r="B58" i="27"/>
  <c r="C14" i="16"/>
  <c r="B8" i="16"/>
  <c r="K8" i="16"/>
  <c r="H8" i="16"/>
  <c r="AJ8" i="16" s="1"/>
  <c r="H15" i="16"/>
  <c r="AJ15" i="16" s="1"/>
  <c r="H9" i="16"/>
  <c r="AJ9" i="16" s="1"/>
  <c r="B9" i="16"/>
  <c r="C18" i="16"/>
  <c r="K18" i="16"/>
  <c r="AK18" i="16" s="1"/>
  <c r="G57" i="34"/>
  <c r="C59" i="34"/>
  <c r="C23" i="34" s="1"/>
  <c r="B18" i="16"/>
  <c r="C16" i="16"/>
  <c r="H17" i="16"/>
  <c r="AJ17" i="16" s="1"/>
  <c r="H7" i="16"/>
  <c r="AJ7" i="16" s="1"/>
  <c r="B7" i="16"/>
  <c r="K7" i="16"/>
  <c r="E18" i="16"/>
  <c r="AI18" i="16" s="1"/>
  <c r="E16" i="16"/>
  <c r="AI16" i="16" s="1"/>
  <c r="E14" i="16"/>
  <c r="AI14" i="16" s="1"/>
  <c r="B17" i="16"/>
  <c r="AH17" i="16" s="1"/>
  <c r="K9" i="16"/>
  <c r="F14" i="16"/>
  <c r="F18" i="16"/>
  <c r="F17" i="16"/>
  <c r="F16" i="16"/>
  <c r="F15" i="16"/>
  <c r="B13" i="16"/>
  <c r="AH13" i="16" s="1"/>
  <c r="K15" i="16"/>
  <c r="AK15" i="16" s="1"/>
  <c r="H16" i="16"/>
  <c r="AJ16" i="16" s="1"/>
  <c r="B16" i="16"/>
  <c r="AH16" i="16" s="1"/>
  <c r="Q212" i="33"/>
  <c r="H14" i="16"/>
  <c r="AJ14" i="16" s="1"/>
  <c r="C15" i="16"/>
  <c r="K17" i="16"/>
  <c r="AK17" i="16" s="1"/>
  <c r="O212" i="31"/>
  <c r="Q212" i="31" s="1"/>
  <c r="C17" i="16"/>
  <c r="H13" i="16"/>
  <c r="AJ13" i="16" s="1"/>
  <c r="B12" i="16"/>
  <c r="K12" i="16"/>
  <c r="H12" i="16"/>
  <c r="AJ12" i="16" s="1"/>
  <c r="H11" i="16"/>
  <c r="AJ11" i="16" s="1"/>
  <c r="K11" i="16"/>
  <c r="B11" i="16"/>
  <c r="G38" i="34"/>
  <c r="C50" i="34"/>
  <c r="C10" i="34" s="1"/>
  <c r="H10" i="16"/>
  <c r="B10" i="16"/>
  <c r="K10" i="16"/>
  <c r="P32" i="16"/>
  <c r="AR9" i="16" s="1"/>
  <c r="AK38" i="16"/>
  <c r="AO9" i="16"/>
  <c r="AL8" i="16"/>
  <c r="AH37" i="16"/>
  <c r="G59" i="34" l="1"/>
  <c r="F4" i="25"/>
  <c r="G4" i="25" s="1"/>
  <c r="G29" i="25" s="1"/>
  <c r="E29" i="25"/>
  <c r="F29" i="25" s="1"/>
  <c r="G50" i="34"/>
  <c r="N56" i="16"/>
  <c r="A58" i="33"/>
  <c r="A58" i="32"/>
  <c r="A58" i="31"/>
  <c r="A58" i="30"/>
  <c r="P31" i="16"/>
  <c r="AR8" i="16" s="1"/>
  <c r="AJ36" i="16"/>
  <c r="H43" i="16"/>
  <c r="H44" i="16" s="1"/>
  <c r="H45" i="16" s="1"/>
  <c r="N32" i="16"/>
  <c r="H68" i="16"/>
  <c r="H69" i="16" s="1"/>
  <c r="AN38" i="16"/>
  <c r="AR7" i="16"/>
  <c r="AO8" i="16"/>
  <c r="AK37" i="16"/>
  <c r="O31" i="16"/>
  <c r="K43" i="16"/>
  <c r="K44" i="16" s="1"/>
  <c r="K45" i="16" s="1"/>
  <c r="AK36" i="16"/>
  <c r="A43" i="36" a="1"/>
  <c r="P12" i="16"/>
  <c r="L16" i="25"/>
  <c r="O16" i="25" s="1"/>
  <c r="P16" i="25" s="1"/>
  <c r="I21" i="16"/>
  <c r="O56" i="16"/>
  <c r="N16" i="25"/>
  <c r="P10" i="16"/>
  <c r="P56" i="16"/>
  <c r="P57" i="16"/>
  <c r="N12" i="25"/>
  <c r="I20" i="16"/>
  <c r="P11" i="16"/>
  <c r="D43" i="36" a="1"/>
  <c r="L68" i="16"/>
  <c r="N14" i="25"/>
  <c r="I43" i="16"/>
  <c r="L12" i="25"/>
  <c r="O12" i="25" s="1"/>
  <c r="P12" i="25" s="1"/>
  <c r="AZ61" i="36" a="1"/>
  <c r="P40" i="16"/>
  <c r="AR17" i="16" s="1"/>
  <c r="K68" i="16"/>
  <c r="K69" i="16" s="1"/>
  <c r="L20" i="16"/>
  <c r="P65" i="16"/>
  <c r="L21" i="16"/>
  <c r="N10" i="25"/>
  <c r="P41" i="16"/>
  <c r="AR18" i="16" s="1"/>
  <c r="P60" i="16"/>
  <c r="P55" i="16"/>
  <c r="AR38" i="16" s="1"/>
  <c r="P35" i="16"/>
  <c r="AR12" i="16" s="1"/>
  <c r="L14" i="25"/>
  <c r="O14" i="25" s="1"/>
  <c r="P14" i="25" s="1"/>
  <c r="L10" i="25"/>
  <c r="O10" i="25" s="1"/>
  <c r="P10" i="25" s="1"/>
  <c r="F68" i="16"/>
  <c r="C68" i="16"/>
  <c r="U61" i="36" a="1"/>
  <c r="AD43" i="36" a="1"/>
  <c r="N43" i="36" a="1"/>
  <c r="L43" i="16"/>
  <c r="P37" i="16"/>
  <c r="AR14" i="16" s="1"/>
  <c r="AN43" i="36" a="1"/>
  <c r="P38" i="16"/>
  <c r="AR15" i="16" s="1"/>
  <c r="F43" i="16"/>
  <c r="N60" i="16"/>
  <c r="O60" i="16"/>
  <c r="P34" i="16"/>
  <c r="AR11" i="16" s="1"/>
  <c r="P59" i="16"/>
  <c r="N59" i="16"/>
  <c r="O59" i="16"/>
  <c r="N58" i="16"/>
  <c r="O58" i="16"/>
  <c r="AH36" i="16"/>
  <c r="D61" i="36" a="1"/>
  <c r="AL17" i="16"/>
  <c r="N40" i="16"/>
  <c r="O40" i="16"/>
  <c r="O36" i="16"/>
  <c r="AL13" i="16"/>
  <c r="N36" i="16"/>
  <c r="O63" i="16"/>
  <c r="N63" i="16"/>
  <c r="AN61" i="36" a="1"/>
  <c r="O30" i="16"/>
  <c r="AO38" i="16"/>
  <c r="P66" i="16"/>
  <c r="O57" i="16"/>
  <c r="N57" i="16"/>
  <c r="N61" i="36" a="1"/>
  <c r="AZ43" i="36" a="1"/>
  <c r="P30" i="16"/>
  <c r="AD61" i="36" a="1"/>
  <c r="E68" i="16"/>
  <c r="E69" i="16" s="1"/>
  <c r="AL16" i="16"/>
  <c r="N39" i="16"/>
  <c r="O39" i="16"/>
  <c r="P61" i="16"/>
  <c r="AL10" i="16"/>
  <c r="O33" i="16"/>
  <c r="N33" i="16"/>
  <c r="AL14" i="16"/>
  <c r="N37" i="16"/>
  <c r="O37" i="16"/>
  <c r="N61" i="16"/>
  <c r="O61" i="16"/>
  <c r="P36" i="16"/>
  <c r="AR13" i="16" s="1"/>
  <c r="H61" i="36" a="1"/>
  <c r="N35" i="16"/>
  <c r="O35" i="16"/>
  <c r="AL12" i="16"/>
  <c r="P58" i="16"/>
  <c r="C43" i="16"/>
  <c r="N55" i="16"/>
  <c r="AQ7" i="16"/>
  <c r="N38" i="16"/>
  <c r="O38" i="16"/>
  <c r="AL15" i="16"/>
  <c r="P39" i="16"/>
  <c r="AR16" i="16" s="1"/>
  <c r="N62" i="16"/>
  <c r="O62" i="16"/>
  <c r="P62" i="16"/>
  <c r="H43" i="36" a="1"/>
  <c r="B43" i="16"/>
  <c r="U43" i="36" a="1"/>
  <c r="N30" i="16"/>
  <c r="P64" i="16"/>
  <c r="P63" i="16"/>
  <c r="O55" i="16"/>
  <c r="AL11" i="16"/>
  <c r="O34" i="16"/>
  <c r="N34" i="16"/>
  <c r="O6" i="25"/>
  <c r="P6" i="25" s="1"/>
  <c r="AL18" i="16"/>
  <c r="N41" i="16"/>
  <c r="O41" i="16"/>
  <c r="P33" i="16"/>
  <c r="AR10" i="16" s="1"/>
  <c r="N64" i="16"/>
  <c r="O64" i="16"/>
  <c r="AH38" i="16"/>
  <c r="AL9" i="16"/>
  <c r="E21" i="16"/>
  <c r="E20" i="16"/>
  <c r="E23" i="16" s="1"/>
  <c r="AI27" i="16" s="1"/>
  <c r="N26" i="25"/>
  <c r="L20" i="25"/>
  <c r="O20" i="25" s="1"/>
  <c r="P20" i="25" s="1"/>
  <c r="N15" i="16"/>
  <c r="N18" i="25"/>
  <c r="P15" i="16"/>
  <c r="N24" i="25"/>
  <c r="C20" i="16"/>
  <c r="M20" i="25"/>
  <c r="O14" i="16"/>
  <c r="O17" i="16"/>
  <c r="O15" i="16"/>
  <c r="B71" i="27"/>
  <c r="N14" i="16"/>
  <c r="L24" i="25"/>
  <c r="O24" i="25" s="1"/>
  <c r="P24" i="25" s="1"/>
  <c r="AH18" i="16"/>
  <c r="O18" i="16"/>
  <c r="P18" i="16"/>
  <c r="L26" i="25"/>
  <c r="O26" i="25" s="1"/>
  <c r="P26" i="25" s="1"/>
  <c r="M24" i="25"/>
  <c r="C30" i="34"/>
  <c r="C32" i="34" s="1"/>
  <c r="G23" i="34"/>
  <c r="G30" i="34" s="1"/>
  <c r="G32" i="34" s="1"/>
  <c r="F20" i="16"/>
  <c r="M22" i="25"/>
  <c r="AH9" i="16"/>
  <c r="O9" i="16"/>
  <c r="N9" i="16"/>
  <c r="C21" i="16"/>
  <c r="O16" i="16"/>
  <c r="N18" i="16"/>
  <c r="AK7" i="16"/>
  <c r="M4" i="25"/>
  <c r="N17" i="16"/>
  <c r="AH7" i="16"/>
  <c r="N7" i="16"/>
  <c r="O7" i="16"/>
  <c r="F21" i="16"/>
  <c r="M26" i="25"/>
  <c r="M18" i="25"/>
  <c r="P17" i="16"/>
  <c r="N22" i="25"/>
  <c r="P16" i="16"/>
  <c r="L22" i="25"/>
  <c r="O22" i="25" s="1"/>
  <c r="P22" i="25" s="1"/>
  <c r="AK8" i="16"/>
  <c r="M6" i="25"/>
  <c r="AH8" i="16"/>
  <c r="O8" i="16"/>
  <c r="N8" i="16"/>
  <c r="L18" i="25"/>
  <c r="O18" i="25" s="1"/>
  <c r="P18" i="25" s="1"/>
  <c r="N16" i="16"/>
  <c r="N20" i="25"/>
  <c r="AK9" i="16"/>
  <c r="M8" i="25"/>
  <c r="P14" i="16"/>
  <c r="N13" i="16"/>
  <c r="M16" i="25"/>
  <c r="O13" i="16"/>
  <c r="H26" i="36" a="1"/>
  <c r="AK12" i="16"/>
  <c r="M14" i="25"/>
  <c r="AH12" i="16"/>
  <c r="N12" i="16"/>
  <c r="O12" i="16"/>
  <c r="C51" i="34"/>
  <c r="N11" i="16"/>
  <c r="AH11" i="16"/>
  <c r="O11" i="16"/>
  <c r="AK11" i="16"/>
  <c r="M12" i="25"/>
  <c r="C17" i="34"/>
  <c r="C19" i="34" s="1"/>
  <c r="G10" i="34"/>
  <c r="G17" i="34" s="1"/>
  <c r="G19" i="34" s="1"/>
  <c r="AJ10" i="16"/>
  <c r="H21" i="16"/>
  <c r="U26" i="36" a="1"/>
  <c r="H20" i="16"/>
  <c r="AK10" i="16"/>
  <c r="M10" i="25"/>
  <c r="AN26" i="36" a="1"/>
  <c r="K21" i="16"/>
  <c r="K20" i="16"/>
  <c r="AH10" i="16"/>
  <c r="O10" i="16"/>
  <c r="N10" i="16"/>
  <c r="A26" i="36" a="1"/>
  <c r="B20" i="16"/>
  <c r="B21" i="16"/>
  <c r="D26" i="36" a="1"/>
  <c r="N26" i="36" a="1"/>
  <c r="AD26" i="36" a="1"/>
  <c r="AZ26" i="36" a="1"/>
  <c r="E22" i="16" l="1"/>
  <c r="A71" i="32"/>
  <c r="A71" i="33"/>
  <c r="A71" i="30"/>
  <c r="A71" i="31"/>
  <c r="N43" i="16"/>
  <c r="B44" i="16"/>
  <c r="O44" i="16" s="1"/>
  <c r="O43" i="16"/>
  <c r="P68" i="16"/>
  <c r="O68" i="16"/>
  <c r="O69" i="16"/>
  <c r="BM61" i="36" a="1"/>
  <c r="AB15" i="36" s="1"/>
  <c r="CC61" i="36" a="1"/>
  <c r="AD10" i="36" s="1"/>
  <c r="P43" i="16"/>
  <c r="CC43" i="36" a="1"/>
  <c r="N8" i="36" s="1"/>
  <c r="BM43" i="36" a="1"/>
  <c r="H7" i="36" s="1"/>
  <c r="N68" i="16"/>
  <c r="P21" i="16"/>
  <c r="P20" i="16"/>
  <c r="B84" i="27"/>
  <c r="CC26" i="36" a="1"/>
  <c r="F8" i="36" s="1"/>
  <c r="N20" i="16"/>
  <c r="B22" i="16"/>
  <c r="B23" i="16"/>
  <c r="H22" i="16"/>
  <c r="H23" i="16"/>
  <c r="AJ27" i="16" s="1"/>
  <c r="BM26" i="36" a="1"/>
  <c r="O21" i="16"/>
  <c r="O20" i="16"/>
  <c r="K22" i="16"/>
  <c r="K23" i="16"/>
  <c r="A84" i="32" l="1"/>
  <c r="S47" i="34" s="1"/>
  <c r="S46" i="34"/>
  <c r="S57" i="34"/>
  <c r="A84" i="33"/>
  <c r="A84" i="31"/>
  <c r="A84" i="30"/>
  <c r="B45" i="16"/>
  <c r="N45" i="16" s="1"/>
  <c r="AB5" i="36"/>
  <c r="U7" i="36"/>
  <c r="AB6" i="36"/>
  <c r="U10" i="36"/>
  <c r="U12" i="36"/>
  <c r="AB11" i="36"/>
  <c r="S14" i="36"/>
  <c r="AB14" i="36"/>
  <c r="S15" i="36"/>
  <c r="AB7" i="36"/>
  <c r="N10" i="36"/>
  <c r="U16" i="36"/>
  <c r="U6" i="36"/>
  <c r="U13" i="36"/>
  <c r="N16" i="36"/>
  <c r="AD13" i="36"/>
  <c r="AD6" i="36"/>
  <c r="N12" i="36"/>
  <c r="AB12" i="36"/>
  <c r="AD8" i="36"/>
  <c r="S5" i="36"/>
  <c r="U11" i="36"/>
  <c r="N9" i="36"/>
  <c r="U9" i="36"/>
  <c r="S6" i="36"/>
  <c r="H15" i="36"/>
  <c r="N5" i="36" s="1"/>
  <c r="H13" i="36"/>
  <c r="S7" i="36"/>
  <c r="H8" i="36"/>
  <c r="AL12" i="36"/>
  <c r="N7" i="36"/>
  <c r="H9" i="36"/>
  <c r="U5" i="36" s="1"/>
  <c r="AL6" i="36"/>
  <c r="N6" i="36"/>
  <c r="L9" i="36"/>
  <c r="AB10" i="36"/>
  <c r="S13" i="36"/>
  <c r="U15" i="36"/>
  <c r="U8" i="36"/>
  <c r="AL7" i="36"/>
  <c r="AD12" i="36"/>
  <c r="AD7" i="36"/>
  <c r="AL15" i="36"/>
  <c r="AL11" i="36"/>
  <c r="AD9" i="36"/>
  <c r="AD15" i="36"/>
  <c r="AL14" i="36"/>
  <c r="AD11" i="36"/>
  <c r="S10" i="36"/>
  <c r="U14" i="36"/>
  <c r="AL9" i="36"/>
  <c r="AL10" i="36"/>
  <c r="N14" i="36"/>
  <c r="L15" i="36"/>
  <c r="AB9" i="36"/>
  <c r="AD16" i="36"/>
  <c r="AD5" i="36" s="1"/>
  <c r="S12" i="36"/>
  <c r="H6" i="36"/>
  <c r="AB8" i="36"/>
  <c r="AB13" i="36"/>
  <c r="AL16" i="36"/>
  <c r="AL13" i="36"/>
  <c r="N15" i="36"/>
  <c r="H10" i="36"/>
  <c r="AB16" i="36"/>
  <c r="AD14" i="36"/>
  <c r="AL5" i="36"/>
  <c r="L13" i="36"/>
  <c r="L14" i="36"/>
  <c r="L16" i="36"/>
  <c r="L5" i="36"/>
  <c r="L6" i="36"/>
  <c r="AL8" i="36"/>
  <c r="H16" i="36"/>
  <c r="L10" i="36"/>
  <c r="L7" i="36"/>
  <c r="S16" i="36"/>
  <c r="H11" i="36"/>
  <c r="H14" i="36"/>
  <c r="N11" i="36"/>
  <c r="S9" i="36"/>
  <c r="L11" i="36"/>
  <c r="L8" i="36"/>
  <c r="S8" i="36"/>
  <c r="S11" i="36"/>
  <c r="H12" i="36"/>
  <c r="H5" i="36" s="1"/>
  <c r="N13" i="36"/>
  <c r="L12" i="36"/>
  <c r="B97" i="27"/>
  <c r="B110" i="27" s="1"/>
  <c r="B123" i="27" s="1"/>
  <c r="B136" i="27" s="1"/>
  <c r="B149" i="27" s="1"/>
  <c r="B162" i="27" s="1"/>
  <c r="B175" i="27" s="1"/>
  <c r="B188" i="27" s="1"/>
  <c r="F14" i="36"/>
  <c r="D9" i="36"/>
  <c r="D13" i="36"/>
  <c r="D14" i="36"/>
  <c r="F13" i="36"/>
  <c r="D7" i="36"/>
  <c r="D16" i="36"/>
  <c r="D8" i="36"/>
  <c r="D15" i="36"/>
  <c r="F9" i="36"/>
  <c r="F16" i="36"/>
  <c r="F10" i="36"/>
  <c r="F15" i="36"/>
  <c r="D11" i="36"/>
  <c r="D5" i="36" s="1"/>
  <c r="F11" i="36"/>
  <c r="F5" i="36"/>
  <c r="D12" i="36"/>
  <c r="D6" i="36"/>
  <c r="F12" i="36"/>
  <c r="F6" i="36"/>
  <c r="F7" i="36"/>
  <c r="D10" i="36"/>
  <c r="AK27" i="16"/>
  <c r="B15" i="36"/>
  <c r="A12" i="36"/>
  <c r="B16" i="36"/>
  <c r="A10" i="36"/>
  <c r="B14" i="36"/>
  <c r="A8" i="36"/>
  <c r="B13" i="36"/>
  <c r="A6" i="36"/>
  <c r="B7" i="36"/>
  <c r="A7" i="36"/>
  <c r="B12" i="36"/>
  <c r="A15" i="36"/>
  <c r="A13" i="36"/>
  <c r="A14" i="36"/>
  <c r="B10" i="36"/>
  <c r="B9" i="36"/>
  <c r="A11" i="36"/>
  <c r="A16" i="36"/>
  <c r="B6" i="36"/>
  <c r="B8" i="36"/>
  <c r="A9" i="36"/>
  <c r="A5" i="36" s="1"/>
  <c r="B5" i="36"/>
  <c r="B11" i="36"/>
  <c r="AH27" i="16"/>
  <c r="N23" i="16"/>
  <c r="O22" i="16"/>
  <c r="S58" i="34" l="1"/>
  <c r="S38" i="34"/>
  <c r="A97" i="32"/>
  <c r="A110" i="32" s="1"/>
  <c r="A123" i="32" s="1"/>
  <c r="A136" i="32" s="1"/>
  <c r="A149" i="32" s="1"/>
  <c r="A162" i="32" s="1"/>
  <c r="A175" i="32" s="1"/>
  <c r="A188" i="32" s="1"/>
  <c r="S39" i="34"/>
  <c r="S44" i="34"/>
  <c r="S42" i="34"/>
  <c r="S45" i="34"/>
  <c r="S41" i="34"/>
  <c r="S56" i="34"/>
  <c r="S43" i="34"/>
  <c r="S40" i="34"/>
  <c r="S48" i="34"/>
  <c r="S49" i="34"/>
  <c r="A97" i="33"/>
  <c r="A97" i="30"/>
  <c r="A97" i="31"/>
  <c r="S59" i="34" l="1"/>
  <c r="O23" i="34" s="1"/>
  <c r="O30" i="34" s="1"/>
  <c r="O32" i="34" s="1"/>
  <c r="A110" i="33"/>
  <c r="S50" i="34"/>
  <c r="A110" i="31"/>
  <c r="A110" i="30"/>
  <c r="A123" i="33" l="1"/>
  <c r="O10" i="34"/>
  <c r="O17" i="34" s="1"/>
  <c r="O19" i="34" s="1"/>
  <c r="A123" i="30"/>
  <c r="A123" i="31"/>
  <c r="A136" i="31" s="1"/>
  <c r="A149" i="31" s="1"/>
  <c r="A162" i="31" s="1"/>
  <c r="A175" i="31" s="1"/>
  <c r="A188" i="31" s="1"/>
  <c r="A201" i="31" s="1"/>
  <c r="M47" i="34" s="1"/>
  <c r="M42" i="34"/>
  <c r="M39" i="34"/>
  <c r="A136" i="33" l="1"/>
  <c r="M46" i="34"/>
  <c r="M57" i="34"/>
  <c r="A136" i="30"/>
  <c r="A149" i="30" s="1"/>
  <c r="A162" i="30" s="1"/>
  <c r="A175" i="30" s="1"/>
  <c r="A188" i="30" s="1"/>
  <c r="K46" i="34"/>
  <c r="M40" i="34"/>
  <c r="M49" i="34"/>
  <c r="M58" i="34"/>
  <c r="M41" i="34"/>
  <c r="M44" i="34"/>
  <c r="M45" i="34"/>
  <c r="M43" i="34"/>
  <c r="M38" i="34"/>
  <c r="M48" i="34"/>
  <c r="M56" i="34"/>
  <c r="O46" i="34" l="1"/>
  <c r="A149" i="33"/>
  <c r="A162" i="33" s="1"/>
  <c r="A175" i="33" s="1"/>
  <c r="A188" i="33" s="1"/>
  <c r="A201" i="33" s="1"/>
  <c r="U47" i="34"/>
  <c r="M59" i="34"/>
  <c r="M50" i="34"/>
  <c r="K10" i="34" s="1"/>
  <c r="K39" i="34"/>
  <c r="O39" i="34" s="1"/>
  <c r="K48" i="34"/>
  <c r="O48" i="34" s="1"/>
  <c r="K43" i="34"/>
  <c r="O43" i="34" s="1"/>
  <c r="K40" i="34"/>
  <c r="O40" i="34" s="1"/>
  <c r="K49" i="34"/>
  <c r="O49" i="34" s="1"/>
  <c r="K41" i="34"/>
  <c r="O41" i="34" s="1"/>
  <c r="K58" i="34"/>
  <c r="O58" i="34" s="1"/>
  <c r="K38" i="34"/>
  <c r="K56" i="34"/>
  <c r="K44" i="34"/>
  <c r="O44" i="34" s="1"/>
  <c r="K45" i="34"/>
  <c r="O45" i="34" s="1"/>
  <c r="K47" i="34"/>
  <c r="K57" i="34"/>
  <c r="O57" i="34" s="1"/>
  <c r="K42" i="34"/>
  <c r="O42" i="34" s="1"/>
  <c r="U57" i="34" l="1"/>
  <c r="W57" i="34" s="1"/>
  <c r="U48" i="34"/>
  <c r="W48" i="34" s="1"/>
  <c r="U42" i="34"/>
  <c r="W42" i="34" s="1"/>
  <c r="U44" i="34"/>
  <c r="W44" i="34" s="1"/>
  <c r="U40" i="34"/>
  <c r="W40" i="34" s="1"/>
  <c r="U45" i="34"/>
  <c r="W45" i="34" s="1"/>
  <c r="U58" i="34"/>
  <c r="W58" i="34" s="1"/>
  <c r="U49" i="34"/>
  <c r="W49" i="34" s="1"/>
  <c r="U56" i="34"/>
  <c r="U41" i="34"/>
  <c r="W41" i="34" s="1"/>
  <c r="U38" i="34"/>
  <c r="U46" i="34"/>
  <c r="W46" i="34" s="1"/>
  <c r="U43" i="34"/>
  <c r="W43" i="34" s="1"/>
  <c r="U39" i="34"/>
  <c r="W39" i="34" s="1"/>
  <c r="O56" i="34"/>
  <c r="O59" i="34" s="1"/>
  <c r="K59" i="34"/>
  <c r="K50" i="34"/>
  <c r="O38" i="34"/>
  <c r="O50" i="34" s="1"/>
  <c r="K17" i="34"/>
  <c r="K19" i="34" s="1"/>
  <c r="U50" i="34" l="1"/>
  <c r="W38" i="34"/>
  <c r="W50" i="34" s="1"/>
  <c r="U59" i="34"/>
  <c r="Q23" i="34" s="1"/>
  <c r="W56" i="34"/>
  <c r="W59" i="34" s="1"/>
  <c r="K51" i="34"/>
  <c r="I10" i="34"/>
  <c r="K23" i="34"/>
  <c r="I23" i="34"/>
  <c r="I30" i="34" s="1"/>
  <c r="I32" i="34" s="1"/>
  <c r="Q10" i="34" l="1"/>
  <c r="S51" i="34"/>
  <c r="S23" i="34"/>
  <c r="S30" i="34" s="1"/>
  <c r="S32" i="34" s="1"/>
  <c r="Q30" i="34"/>
  <c r="Q32" i="34" s="1"/>
  <c r="M23" i="34"/>
  <c r="M30" i="34" s="1"/>
  <c r="M32" i="34" s="1"/>
  <c r="K30" i="34"/>
  <c r="K32" i="34" s="1"/>
  <c r="I17" i="34"/>
  <c r="I19" i="34" s="1"/>
  <c r="M10" i="34"/>
  <c r="M17" i="34" s="1"/>
  <c r="M19" i="34" s="1"/>
  <c r="Q17" i="34" l="1"/>
  <c r="Q19" i="34" s="1"/>
  <c r="S10" i="34"/>
  <c r="S17" i="34" s="1"/>
  <c r="S19" i="3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Bill Michaud</author>
    <author>Guest User</author>
  </authors>
  <commentList>
    <comment ref="J14" authorId="0" shapeId="0" xr:uid="{1A4C2B2F-AB43-459D-901C-96367F49F7B5}">
      <text>
        <r>
          <rPr>
            <b/>
            <sz val="9"/>
            <color indexed="81"/>
            <rFont val="Tahoma"/>
            <family val="2"/>
          </rPr>
          <t>Bill Michaud:</t>
        </r>
        <r>
          <rPr>
            <sz val="9"/>
            <color indexed="81"/>
            <rFont val="Tahoma"/>
            <family val="2"/>
          </rPr>
          <t xml:space="preserve">
Adjust monthly by carrying forward last months team average.  </t>
        </r>
      </text>
    </comment>
    <comment ref="F16" authorId="0" shapeId="0" xr:uid="{55EEDB7B-8FDE-4BB7-A6F5-D82F1DB3085A}">
      <text>
        <r>
          <rPr>
            <b/>
            <sz val="9"/>
            <color indexed="81"/>
            <rFont val="Tahoma"/>
            <family val="2"/>
          </rPr>
          <t>Bill Michaud:</t>
        </r>
        <r>
          <rPr>
            <sz val="9"/>
            <color indexed="81"/>
            <rFont val="Tahoma"/>
            <family val="2"/>
          </rPr>
          <t xml:space="preserve">
Adjust zero in "IF" function if an alternate use for this line is identificed to bring in secondary minutes allowance</t>
        </r>
      </text>
    </comment>
    <comment ref="J16" authorId="1" shapeId="0" xr:uid="{AE59C18A-ED0F-4E41-951F-81F8F5C62C59}">
      <text>
        <r>
          <rPr>
            <sz val="11"/>
            <color theme="1"/>
            <rFont val="Calibri"/>
            <family val="2"/>
            <scheme val="minor"/>
          </rPr>
          <t xml:space="preserve">Unknown User:
This includes time for the daily huddle if your team has a formal huddle daily.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Bill Michaud</author>
  </authors>
  <commentList>
    <comment ref="J6" authorId="0" shapeId="0" xr:uid="{CFA614B9-384D-4E68-89B7-B80BE5229029}">
      <text>
        <r>
          <rPr>
            <sz val="11"/>
            <color theme="1"/>
            <rFont val="Calibri"/>
            <family val="2"/>
            <scheme val="minor"/>
          </rPr>
          <t xml:space="preserve">Bill Michaud:
Do Not Count DND's, Verbal DND's or any other rooms which were assigned but not cleaned. </t>
        </r>
      </text>
    </comment>
    <comment ref="T16" authorId="0" shapeId="0" xr:uid="{5134DCA7-92A7-4EB8-8382-E732776D6F52}">
      <text>
        <r>
          <rPr>
            <b/>
            <sz val="9"/>
            <color indexed="81"/>
            <rFont val="Tahoma"/>
            <family val="2"/>
          </rPr>
          <t>Bill Michaud:</t>
        </r>
        <r>
          <rPr>
            <sz val="9"/>
            <color indexed="81"/>
            <rFont val="Tahoma"/>
            <family val="2"/>
          </rPr>
          <t xml:space="preserve">
Minutes input here will be added to the "Calculated Minutes" number in cell P20</t>
        </r>
      </text>
    </comment>
    <comment ref="N17" authorId="0" shapeId="0" xr:uid="{4B446862-F3E3-483F-8F32-6414D41F1DCF}">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7" authorId="0" shapeId="0" xr:uid="{9C97E337-5576-403B-A11C-7A709D644E4D}">
      <text>
        <r>
          <rPr>
            <sz val="11"/>
            <color theme="1"/>
            <rFont val="Calibri"/>
            <family val="2"/>
            <scheme val="minor"/>
          </rPr>
          <t xml:space="preserve">Bill Michaud:
Input Items such as:
Linen Inventory
Deep Cleaning Rooms
Cleaning Carpets
Rotating Mattresses
Doing Supply Inv / Order
</t>
        </r>
      </text>
    </comment>
    <comment ref="J19" authorId="0" shapeId="0" xr:uid="{B4D2731D-4604-421C-AA25-492B8164FDA8}">
      <text>
        <r>
          <rPr>
            <sz val="11"/>
            <color theme="1"/>
            <rFont val="Calibri"/>
            <family val="2"/>
            <scheme val="minor"/>
          </rPr>
          <t xml:space="preserve">Bill Michaud:
Do Not Count DND's, Verbal DND's or any other rooms which were assigned but not cleaned. </t>
        </r>
      </text>
    </comment>
    <comment ref="T29" authorId="0" shapeId="0" xr:uid="{29B630DE-AFAA-4D85-AC03-DF7F2457FC96}">
      <text>
        <r>
          <rPr>
            <b/>
            <sz val="9"/>
            <color indexed="81"/>
            <rFont val="Tahoma"/>
            <family val="2"/>
          </rPr>
          <t>Bill Michaud:</t>
        </r>
        <r>
          <rPr>
            <sz val="9"/>
            <color indexed="81"/>
            <rFont val="Tahoma"/>
            <family val="2"/>
          </rPr>
          <t xml:space="preserve">
Minutes input here will be added to the "Calculated Minutes" number in cell P20</t>
        </r>
      </text>
    </comment>
    <comment ref="N30" authorId="0" shapeId="0" xr:uid="{43592A93-126E-4D79-94D3-34D728486089}">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30" authorId="0" shapeId="0" xr:uid="{7A2B9C9C-C86C-4376-B786-DE13E47AEEA0}">
      <text>
        <r>
          <rPr>
            <sz val="11"/>
            <color theme="1"/>
            <rFont val="Calibri"/>
            <family val="2"/>
            <scheme val="minor"/>
          </rPr>
          <t xml:space="preserve">Bill Michaud:
Input Items such as:
Linen Inventory
Deep Cleaning Rooms
Cleaning Carpets
Rotating Mattresses
Doing Supply Inv / Order
</t>
        </r>
      </text>
    </comment>
    <comment ref="J32" authorId="0" shapeId="0" xr:uid="{1D7C80B4-1C72-4A54-85E2-3ECA4DD211D2}">
      <text>
        <r>
          <rPr>
            <sz val="11"/>
            <color theme="1"/>
            <rFont val="Calibri"/>
            <family val="2"/>
            <scheme val="minor"/>
          </rPr>
          <t xml:space="preserve">Bill Michaud:
Do Not Count DND's, Verbal DND's or any other rooms which were assigned but not cleaned. </t>
        </r>
      </text>
    </comment>
    <comment ref="T42" authorId="0" shapeId="0" xr:uid="{3E7278AF-40DD-4E83-8EF3-A1F26EDCDB8A}">
      <text>
        <r>
          <rPr>
            <b/>
            <sz val="9"/>
            <color indexed="81"/>
            <rFont val="Tahoma"/>
            <family val="2"/>
          </rPr>
          <t>Bill Michaud:</t>
        </r>
        <r>
          <rPr>
            <sz val="9"/>
            <color indexed="81"/>
            <rFont val="Tahoma"/>
            <family val="2"/>
          </rPr>
          <t xml:space="preserve">
Minutes input here will be added to the "Calculated Minutes" number in cell P20</t>
        </r>
      </text>
    </comment>
    <comment ref="N43" authorId="0" shapeId="0" xr:uid="{BF62BCA7-0E35-4158-8618-028164A2483A}">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43" authorId="0" shapeId="0" xr:uid="{D9D7A5EB-7733-40F0-A92E-60C11761A06D}">
      <text>
        <r>
          <rPr>
            <sz val="11"/>
            <color theme="1"/>
            <rFont val="Calibri"/>
            <family val="2"/>
            <scheme val="minor"/>
          </rPr>
          <t xml:space="preserve">Bill Michaud:
Input Items such as:
Linen Inventory
Deep Cleaning Rooms
Cleaning Carpets
Rotating Mattresses
Doing Supply Inv / Order
</t>
        </r>
      </text>
    </comment>
    <comment ref="J45" authorId="0" shapeId="0" xr:uid="{5B3C3C99-4B97-4800-811C-D3891FF99610}">
      <text>
        <r>
          <rPr>
            <sz val="11"/>
            <color theme="1"/>
            <rFont val="Calibri"/>
            <family val="2"/>
            <scheme val="minor"/>
          </rPr>
          <t xml:space="preserve">Bill Michaud:
Do Not Count DND's, Verbal DND's or any other rooms which were assigned but not cleaned. </t>
        </r>
      </text>
    </comment>
    <comment ref="T55" authorId="0" shapeId="0" xr:uid="{DCC4FE7F-A16C-4034-989D-B216A2D412DB}">
      <text>
        <r>
          <rPr>
            <b/>
            <sz val="9"/>
            <color indexed="81"/>
            <rFont val="Tahoma"/>
            <family val="2"/>
          </rPr>
          <t>Bill Michaud:</t>
        </r>
        <r>
          <rPr>
            <sz val="9"/>
            <color indexed="81"/>
            <rFont val="Tahoma"/>
            <family val="2"/>
          </rPr>
          <t xml:space="preserve">
Minutes input here will be added to the "Calculated Minutes" number in cell P20</t>
        </r>
      </text>
    </comment>
    <comment ref="N56" authorId="0" shapeId="0" xr:uid="{E2B939A3-D0B4-4FB0-9FDA-084BF74F9917}">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56" authorId="0" shapeId="0" xr:uid="{1D967198-93A1-4F5D-B62B-80A1793B4EE8}">
      <text>
        <r>
          <rPr>
            <sz val="11"/>
            <color theme="1"/>
            <rFont val="Calibri"/>
            <family val="2"/>
            <scheme val="minor"/>
          </rPr>
          <t xml:space="preserve">Bill Michaud:
Input Items such as:
Linen Inventory
Deep Cleaning Rooms
Cleaning Carpets
Rotating Mattresses
Doing Supply Inv / Order
</t>
        </r>
      </text>
    </comment>
    <comment ref="J58" authorId="0" shapeId="0" xr:uid="{F0773399-CC84-477E-91FE-676E6F98B90D}">
      <text>
        <r>
          <rPr>
            <sz val="11"/>
            <color theme="1"/>
            <rFont val="Calibri"/>
            <family val="2"/>
            <scheme val="minor"/>
          </rPr>
          <t xml:space="preserve">Bill Michaud:
Do Not Count DND's, Verbal DND's or any other rooms which were assigned but not cleaned. </t>
        </r>
      </text>
    </comment>
    <comment ref="T68" authorId="0" shapeId="0" xr:uid="{C5835FEB-1E71-47B5-8393-6962C8E40A95}">
      <text>
        <r>
          <rPr>
            <b/>
            <sz val="9"/>
            <color indexed="81"/>
            <rFont val="Tahoma"/>
            <family val="2"/>
          </rPr>
          <t>Bill Michaud:</t>
        </r>
        <r>
          <rPr>
            <sz val="9"/>
            <color indexed="81"/>
            <rFont val="Tahoma"/>
            <family val="2"/>
          </rPr>
          <t xml:space="preserve">
Minutes input here will be added to the "Calculated Minutes" number in cell P20</t>
        </r>
      </text>
    </comment>
    <comment ref="N69" authorId="0" shapeId="0" xr:uid="{7EEF91F6-9922-4FAD-A659-46A23B22B2C1}">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69" authorId="0" shapeId="0" xr:uid="{0257ACDF-F465-44EA-9F57-567BFC0C2787}">
      <text>
        <r>
          <rPr>
            <sz val="11"/>
            <color theme="1"/>
            <rFont val="Calibri"/>
            <family val="2"/>
            <scheme val="minor"/>
          </rPr>
          <t xml:space="preserve">Bill Michaud:
Input Items such as:
Linen Inventory
Deep Cleaning Rooms
Cleaning Carpets
Rotating Mattresses
Doing Supply Inv / Order
</t>
        </r>
      </text>
    </comment>
    <comment ref="J71" authorId="0" shapeId="0" xr:uid="{746EBC11-4AEB-469D-9831-214D6FAE9414}">
      <text>
        <r>
          <rPr>
            <sz val="11"/>
            <color theme="1"/>
            <rFont val="Calibri"/>
            <family val="2"/>
            <scheme val="minor"/>
          </rPr>
          <t xml:space="preserve">Bill Michaud:
Do Not Count DND's, Verbal DND's or any other rooms which were assigned but not cleaned. </t>
        </r>
      </text>
    </comment>
    <comment ref="T81" authorId="0" shapeId="0" xr:uid="{BE06125B-90D2-4A01-B635-4AFDFF8B944F}">
      <text>
        <r>
          <rPr>
            <b/>
            <sz val="9"/>
            <color indexed="81"/>
            <rFont val="Tahoma"/>
            <family val="2"/>
          </rPr>
          <t>Bill Michaud:</t>
        </r>
        <r>
          <rPr>
            <sz val="9"/>
            <color indexed="81"/>
            <rFont val="Tahoma"/>
            <family val="2"/>
          </rPr>
          <t xml:space="preserve">
Minutes input here will be added to the "Calculated Minutes" number in cell P20</t>
        </r>
      </text>
    </comment>
    <comment ref="N82" authorId="0" shapeId="0" xr:uid="{C3DE22CC-97B2-43C2-9B42-353308C4999C}">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82" authorId="0" shapeId="0" xr:uid="{170BCBA2-BDCB-429C-8F13-2E09D1698356}">
      <text>
        <r>
          <rPr>
            <sz val="11"/>
            <color theme="1"/>
            <rFont val="Calibri"/>
            <family val="2"/>
            <scheme val="minor"/>
          </rPr>
          <t xml:space="preserve">Bill Michaud:
Input Items such as:
Linen Inventory
Deep Cleaning Rooms
Cleaning Carpets
Rotating Mattresses
Doing Supply Inv / Order
</t>
        </r>
      </text>
    </comment>
    <comment ref="J84" authorId="0" shapeId="0" xr:uid="{05049CA5-51B4-47EC-B1DB-8886C0377D83}">
      <text>
        <r>
          <rPr>
            <sz val="11"/>
            <color theme="1"/>
            <rFont val="Calibri"/>
            <family val="2"/>
            <scheme val="minor"/>
          </rPr>
          <t xml:space="preserve">Bill Michaud:
Do Not Count DND's, Verbal DND's or any other rooms which were assigned but not cleaned. </t>
        </r>
      </text>
    </comment>
    <comment ref="T94" authorId="0" shapeId="0" xr:uid="{813C4959-CC7D-4E98-B4CA-8A1FD05FD6B6}">
      <text>
        <r>
          <rPr>
            <b/>
            <sz val="9"/>
            <color indexed="81"/>
            <rFont val="Tahoma"/>
            <family val="2"/>
          </rPr>
          <t>Bill Michaud:</t>
        </r>
        <r>
          <rPr>
            <sz val="9"/>
            <color indexed="81"/>
            <rFont val="Tahoma"/>
            <family val="2"/>
          </rPr>
          <t xml:space="preserve">
Minutes input here will be added to the "Calculated Minutes" number in cell P20</t>
        </r>
      </text>
    </comment>
    <comment ref="N95" authorId="0" shapeId="0" xr:uid="{487BBA66-260E-4501-8158-7FA8577421C2}">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95" authorId="0" shapeId="0" xr:uid="{72CA01D0-7019-4418-A303-101C5236ED82}">
      <text>
        <r>
          <rPr>
            <sz val="11"/>
            <color theme="1"/>
            <rFont val="Calibri"/>
            <family val="2"/>
            <scheme val="minor"/>
          </rPr>
          <t xml:space="preserve">Bill Michaud:
Input Items such as:
Linen Inventory
Deep Cleaning Rooms
Cleaning Carpets
Rotating Mattresses
Doing Supply Inv / Order
</t>
        </r>
      </text>
    </comment>
    <comment ref="J97" authorId="0" shapeId="0" xr:uid="{18C487CF-0934-4983-83DE-BBCDE94D329D}">
      <text>
        <r>
          <rPr>
            <sz val="11"/>
            <color theme="1"/>
            <rFont val="Calibri"/>
            <family val="2"/>
            <scheme val="minor"/>
          </rPr>
          <t xml:space="preserve">Bill Michaud:
Do Not Count DND's, Verbal DND's or any other rooms which were assigned but not cleaned. </t>
        </r>
      </text>
    </comment>
    <comment ref="T107" authorId="0" shapeId="0" xr:uid="{AB061C27-C399-4CA4-9D01-315F3A8DCCDD}">
      <text>
        <r>
          <rPr>
            <b/>
            <sz val="9"/>
            <color indexed="81"/>
            <rFont val="Tahoma"/>
            <family val="2"/>
          </rPr>
          <t>Bill Michaud:</t>
        </r>
        <r>
          <rPr>
            <sz val="9"/>
            <color indexed="81"/>
            <rFont val="Tahoma"/>
            <family val="2"/>
          </rPr>
          <t xml:space="preserve">
Minutes input here will be added to the "Calculated Minutes" number in cell P20</t>
        </r>
      </text>
    </comment>
    <comment ref="N108" authorId="0" shapeId="0" xr:uid="{E9ECEDF2-D0DF-49B0-B4C9-F243CA389061}">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08" authorId="0" shapeId="0" xr:uid="{D7C1FCFC-EABF-44FE-B86F-74FD498638E0}">
      <text>
        <r>
          <rPr>
            <sz val="11"/>
            <color theme="1"/>
            <rFont val="Calibri"/>
            <family val="2"/>
            <scheme val="minor"/>
          </rPr>
          <t xml:space="preserve">Bill Michaud:
Input Items such as:
Linen Inventory
Deep Cleaning Rooms
Cleaning Carpets
Rotating Mattresses
Doing Supply Inv / Order
</t>
        </r>
      </text>
    </comment>
    <comment ref="J110" authorId="0" shapeId="0" xr:uid="{82405580-3946-4004-88A9-FD70AF176244}">
      <text>
        <r>
          <rPr>
            <sz val="11"/>
            <color theme="1"/>
            <rFont val="Calibri"/>
            <family val="2"/>
            <scheme val="minor"/>
          </rPr>
          <t xml:space="preserve">Bill Michaud:
Do Not Count DND's, Verbal DND's or any other rooms which were assigned but not cleaned. </t>
        </r>
      </text>
    </comment>
    <comment ref="T120" authorId="0" shapeId="0" xr:uid="{EC2BCD58-F6A8-4B6D-ACE6-F028DBCEFB79}">
      <text>
        <r>
          <rPr>
            <b/>
            <sz val="9"/>
            <color indexed="81"/>
            <rFont val="Tahoma"/>
            <family val="2"/>
          </rPr>
          <t>Bill Michaud:</t>
        </r>
        <r>
          <rPr>
            <sz val="9"/>
            <color indexed="81"/>
            <rFont val="Tahoma"/>
            <family val="2"/>
          </rPr>
          <t xml:space="preserve">
Minutes input here will be added to the "Calculated Minutes" number in cell P20</t>
        </r>
      </text>
    </comment>
    <comment ref="N121" authorId="0" shapeId="0" xr:uid="{EAC3EAE1-CB9F-48B7-A39B-819CD2E17C20}">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21" authorId="0" shapeId="0" xr:uid="{CAF0D52A-CBD4-459F-8286-355CACDF1966}">
      <text>
        <r>
          <rPr>
            <sz val="11"/>
            <color theme="1"/>
            <rFont val="Calibri"/>
            <family val="2"/>
            <scheme val="minor"/>
          </rPr>
          <t xml:space="preserve">Bill Michaud:
Input Items such as:
Linen Inventory
Deep Cleaning Rooms
Cleaning Carpets
Rotating Mattresses
Doing Supply Inv / Order
</t>
        </r>
      </text>
    </comment>
    <comment ref="J123" authorId="0" shapeId="0" xr:uid="{DAEB05A5-5DB3-4C56-A7F9-88DF0F63BBBE}">
      <text>
        <r>
          <rPr>
            <sz val="11"/>
            <color theme="1"/>
            <rFont val="Calibri"/>
            <family val="2"/>
            <scheme val="minor"/>
          </rPr>
          <t xml:space="preserve">Bill Michaud:
Do Not Count DND's, Verbal DND's or any other rooms which were assigned but not cleaned. </t>
        </r>
      </text>
    </comment>
    <comment ref="T133" authorId="0" shapeId="0" xr:uid="{6C314FA6-2449-4DEB-AFAC-61A9DD80E5FF}">
      <text>
        <r>
          <rPr>
            <b/>
            <sz val="9"/>
            <color indexed="81"/>
            <rFont val="Tahoma"/>
            <family val="2"/>
          </rPr>
          <t>Bill Michaud:</t>
        </r>
        <r>
          <rPr>
            <sz val="9"/>
            <color indexed="81"/>
            <rFont val="Tahoma"/>
            <family val="2"/>
          </rPr>
          <t xml:space="preserve">
Minutes input here will be added to the "Calculated Minutes" number in cell P20</t>
        </r>
      </text>
    </comment>
    <comment ref="N134" authorId="0" shapeId="0" xr:uid="{E9F3F6D3-1BBB-4D0A-B5A6-C610F7389F36}">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34" authorId="0" shapeId="0" xr:uid="{95FFA1C0-A591-47D1-9486-D4F2804044B9}">
      <text>
        <r>
          <rPr>
            <sz val="11"/>
            <color theme="1"/>
            <rFont val="Calibri"/>
            <family val="2"/>
            <scheme val="minor"/>
          </rPr>
          <t xml:space="preserve">Bill Michaud:
Input Items such as:
Linen Inventory
Deep Cleaning Rooms
Cleaning Carpets
Rotating Mattresses
Doing Supply Inv / Order
</t>
        </r>
      </text>
    </comment>
    <comment ref="J136" authorId="0" shapeId="0" xr:uid="{EB748A66-574A-442D-B20F-4BC73FA2F3C0}">
      <text>
        <r>
          <rPr>
            <sz val="11"/>
            <color theme="1"/>
            <rFont val="Calibri"/>
            <family val="2"/>
            <scheme val="minor"/>
          </rPr>
          <t xml:space="preserve">Bill Michaud:
Do Not Count DND's, Verbal DND's or any other rooms which were assigned but not cleaned. </t>
        </r>
      </text>
    </comment>
    <comment ref="T146" authorId="0" shapeId="0" xr:uid="{D6B7E53E-5ED1-41ED-B39A-5410EBFB5629}">
      <text>
        <r>
          <rPr>
            <b/>
            <sz val="9"/>
            <color indexed="81"/>
            <rFont val="Tahoma"/>
            <family val="2"/>
          </rPr>
          <t>Bill Michaud:</t>
        </r>
        <r>
          <rPr>
            <sz val="9"/>
            <color indexed="81"/>
            <rFont val="Tahoma"/>
            <family val="2"/>
          </rPr>
          <t xml:space="preserve">
Minutes input here will be added to the "Calculated Minutes" number in cell P20</t>
        </r>
      </text>
    </comment>
    <comment ref="N147" authorId="0" shapeId="0" xr:uid="{E7EBC177-0B12-41F4-89B2-7AC1B811E20D}">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47" authorId="0" shapeId="0" xr:uid="{6AF1AF0B-2308-4458-AF82-A8041BBC0C94}">
      <text>
        <r>
          <rPr>
            <sz val="11"/>
            <color theme="1"/>
            <rFont val="Calibri"/>
            <family val="2"/>
            <scheme val="minor"/>
          </rPr>
          <t xml:space="preserve">Bill Michaud:
Input Items such as:
Linen Inventory
Deep Cleaning Rooms
Cleaning Carpets
Rotating Mattresses
Doing Supply Inv / Order
</t>
        </r>
      </text>
    </comment>
    <comment ref="J149" authorId="0" shapeId="0" xr:uid="{3D039A99-4847-4653-BCCB-2C550A13013E}">
      <text>
        <r>
          <rPr>
            <sz val="11"/>
            <color theme="1"/>
            <rFont val="Calibri"/>
            <family val="2"/>
            <scheme val="minor"/>
          </rPr>
          <t xml:space="preserve">Bill Michaud:
Do Not Count DND's, Verbal DND's or any other rooms which were assigned but not cleaned. </t>
        </r>
      </text>
    </comment>
    <comment ref="T159" authorId="0" shapeId="0" xr:uid="{BA85AFCD-8EE9-4EBF-82B1-2FAF882C1A18}">
      <text>
        <r>
          <rPr>
            <b/>
            <sz val="9"/>
            <color indexed="81"/>
            <rFont val="Tahoma"/>
            <family val="2"/>
          </rPr>
          <t>Bill Michaud:</t>
        </r>
        <r>
          <rPr>
            <sz val="9"/>
            <color indexed="81"/>
            <rFont val="Tahoma"/>
            <family val="2"/>
          </rPr>
          <t xml:space="preserve">
Minutes input here will be added to the "Calculated Minutes" number in cell P20</t>
        </r>
      </text>
    </comment>
    <comment ref="N160" authorId="0" shapeId="0" xr:uid="{0294BCA1-AA4A-4011-B61B-E8D9664B94BA}">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60" authorId="0" shapeId="0" xr:uid="{30F7BDA8-346E-46B6-AF7A-B6AF51C0B615}">
      <text>
        <r>
          <rPr>
            <sz val="11"/>
            <color theme="1"/>
            <rFont val="Calibri"/>
            <family val="2"/>
            <scheme val="minor"/>
          </rPr>
          <t xml:space="preserve">Bill Michaud:
Input Items such as:
Linen Inventory
Deep Cleaning Rooms
Cleaning Carpets
Rotating Mattresses
Doing Supply Inv / Order
</t>
        </r>
      </text>
    </comment>
    <comment ref="J162" authorId="0" shapeId="0" xr:uid="{3C55A987-A60D-469D-9C6F-A621919615A1}">
      <text>
        <r>
          <rPr>
            <sz val="11"/>
            <color theme="1"/>
            <rFont val="Calibri"/>
            <family val="2"/>
            <scheme val="minor"/>
          </rPr>
          <t xml:space="preserve">Bill Michaud:
Do Not Count DND's, Verbal DND's or any other rooms which were assigned but not cleaned. </t>
        </r>
      </text>
    </comment>
    <comment ref="T172" authorId="0" shapeId="0" xr:uid="{BD720E71-9D25-49BD-B458-D5DF76AAE17B}">
      <text>
        <r>
          <rPr>
            <b/>
            <sz val="9"/>
            <color indexed="81"/>
            <rFont val="Tahoma"/>
            <family val="2"/>
          </rPr>
          <t>Bill Michaud:</t>
        </r>
        <r>
          <rPr>
            <sz val="9"/>
            <color indexed="81"/>
            <rFont val="Tahoma"/>
            <family val="2"/>
          </rPr>
          <t xml:space="preserve">
Minutes input here will be added to the "Calculated Minutes" number in cell P20</t>
        </r>
      </text>
    </comment>
    <comment ref="N173" authorId="0" shapeId="0" xr:uid="{CD140212-719F-4E26-8D72-5AFB83650C71}">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73" authorId="0" shapeId="0" xr:uid="{EA8F2D92-BD90-40CD-A34E-839392A80EED}">
      <text>
        <r>
          <rPr>
            <sz val="11"/>
            <color theme="1"/>
            <rFont val="Calibri"/>
            <family val="2"/>
            <scheme val="minor"/>
          </rPr>
          <t xml:space="preserve">Bill Michaud:
Input Items such as:
Linen Inventory
Deep Cleaning Rooms
Cleaning Carpets
Rotating Mattresses
Doing Supply Inv / Order
</t>
        </r>
      </text>
    </comment>
    <comment ref="J175" authorId="0" shapeId="0" xr:uid="{C54B34EE-12CA-481C-81A7-1A0336A3663D}">
      <text>
        <r>
          <rPr>
            <sz val="11"/>
            <color theme="1"/>
            <rFont val="Calibri"/>
            <family val="2"/>
            <scheme val="minor"/>
          </rPr>
          <t xml:space="preserve">Bill Michaud:
Do Not Count DND's, Verbal DND's or any other rooms which were assigned but not cleaned. </t>
        </r>
      </text>
    </comment>
    <comment ref="T185" authorId="0" shapeId="0" xr:uid="{50812161-D197-41AA-AD11-E6458FD66DCE}">
      <text>
        <r>
          <rPr>
            <b/>
            <sz val="9"/>
            <color indexed="81"/>
            <rFont val="Tahoma"/>
            <family val="2"/>
          </rPr>
          <t>Bill Michaud:</t>
        </r>
        <r>
          <rPr>
            <sz val="9"/>
            <color indexed="81"/>
            <rFont val="Tahoma"/>
            <family val="2"/>
          </rPr>
          <t xml:space="preserve">
Minutes input here will be added to the "Calculated Minutes" number in cell P20</t>
        </r>
      </text>
    </comment>
    <comment ref="N186" authorId="0" shapeId="0" xr:uid="{221188E1-CB65-46CB-9150-2D9D04F5D7F3}">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86" authorId="0" shapeId="0" xr:uid="{2A320A9A-B75B-4EC2-ADC2-37D81AE24C3C}">
      <text>
        <r>
          <rPr>
            <sz val="11"/>
            <color theme="1"/>
            <rFont val="Calibri"/>
            <family val="2"/>
            <scheme val="minor"/>
          </rPr>
          <t xml:space="preserve">Bill Michaud:
Input Items such as:
Linen Inventory
Deep Cleaning Rooms
Cleaning Carpets
Rotating Mattresses
Doing Supply Inv / Order
</t>
        </r>
      </text>
    </comment>
    <comment ref="J188" authorId="0" shapeId="0" xr:uid="{C0AF8830-2407-4080-9C7D-A725EA194DD5}">
      <text>
        <r>
          <rPr>
            <sz val="11"/>
            <color theme="1"/>
            <rFont val="Calibri"/>
            <family val="2"/>
            <scheme val="minor"/>
          </rPr>
          <t xml:space="preserve">Bill Michaud:
Do Not Count DND's, Verbal DND's or any other rooms which were assigned but not cleaned. </t>
        </r>
      </text>
    </comment>
    <comment ref="T198" authorId="0" shapeId="0" xr:uid="{F3DCB444-2A34-4610-A265-B615665CB954}">
      <text>
        <r>
          <rPr>
            <b/>
            <sz val="9"/>
            <color indexed="81"/>
            <rFont val="Tahoma"/>
            <family val="2"/>
          </rPr>
          <t>Bill Michaud:</t>
        </r>
        <r>
          <rPr>
            <sz val="9"/>
            <color indexed="81"/>
            <rFont val="Tahoma"/>
            <family val="2"/>
          </rPr>
          <t xml:space="preserve">
Minutes input here will be added to the "Calculated Minutes" number in cell P20</t>
        </r>
      </text>
    </comment>
    <comment ref="N199" authorId="0" shapeId="0" xr:uid="{ED7C2749-8A3E-4D41-A554-C7219F7C27A5}">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99" authorId="0" shapeId="0" xr:uid="{D666BCB3-79F8-4B44-A76F-2289914C67CD}">
      <text>
        <r>
          <rPr>
            <sz val="11"/>
            <color theme="1"/>
            <rFont val="Calibri"/>
            <family val="2"/>
            <scheme val="minor"/>
          </rPr>
          <t xml:space="preserve">Bill Michaud:
Input Items such as:
Linen Inventory
Deep Cleaning Rooms
Cleaning Carpets
Rotating Mattresses
Doing Supply Inv / Order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Bill Michaud</author>
  </authors>
  <commentList>
    <comment ref="J6" authorId="0" shapeId="0" xr:uid="{A294A6F6-030F-4691-9EB9-4F3C938AB88E}">
      <text>
        <r>
          <rPr>
            <sz val="11"/>
            <color theme="1"/>
            <rFont val="Calibri"/>
            <family val="2"/>
            <scheme val="minor"/>
          </rPr>
          <t xml:space="preserve">Bill Michaud:
Do Not Count DND's, Verbal DND's or any other rooms which were assigned but not cleaned. </t>
        </r>
      </text>
    </comment>
    <comment ref="T16" authorId="0" shapeId="0" xr:uid="{D2968880-90A8-4DC9-A9AA-B661DA46F02A}">
      <text>
        <r>
          <rPr>
            <b/>
            <sz val="9"/>
            <color indexed="81"/>
            <rFont val="Tahoma"/>
            <family val="2"/>
          </rPr>
          <t>Bill Michaud:</t>
        </r>
        <r>
          <rPr>
            <sz val="9"/>
            <color indexed="81"/>
            <rFont val="Tahoma"/>
            <family val="2"/>
          </rPr>
          <t xml:space="preserve">
Minutes input here will be added to the "Calculated Minutes" number in cell P20</t>
        </r>
      </text>
    </comment>
    <comment ref="N17" authorId="0" shapeId="0" xr:uid="{3923A7F2-A11A-4DCD-9568-553C22F51DA5}">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7" authorId="0" shapeId="0" xr:uid="{EEDD250B-D534-4857-B391-2A665D2396BF}">
      <text>
        <r>
          <rPr>
            <sz val="11"/>
            <color theme="1"/>
            <rFont val="Calibri"/>
            <family val="2"/>
            <scheme val="minor"/>
          </rPr>
          <t xml:space="preserve">Bill Michaud:
Input Items such as:
Linen Inventory
Deep Cleaning Rooms
Cleaning Carpets
Rotating Mattresses
Doing Supply Inv / Order
</t>
        </r>
      </text>
    </comment>
    <comment ref="J19" authorId="0" shapeId="0" xr:uid="{A949D424-9C88-4422-BBBA-F9A613112F3F}">
      <text>
        <r>
          <rPr>
            <sz val="11"/>
            <color theme="1"/>
            <rFont val="Calibri"/>
            <family val="2"/>
            <scheme val="minor"/>
          </rPr>
          <t xml:space="preserve">Bill Michaud:
Do Not Count DND's, Verbal DND's or any other rooms which were assigned but not cleaned. </t>
        </r>
      </text>
    </comment>
    <comment ref="T29" authorId="0" shapeId="0" xr:uid="{1F631B31-B1CE-4B7D-8A83-753065C40A7B}">
      <text>
        <r>
          <rPr>
            <b/>
            <sz val="9"/>
            <color indexed="81"/>
            <rFont val="Tahoma"/>
            <family val="2"/>
          </rPr>
          <t>Bill Michaud:</t>
        </r>
        <r>
          <rPr>
            <sz val="9"/>
            <color indexed="81"/>
            <rFont val="Tahoma"/>
            <family val="2"/>
          </rPr>
          <t xml:space="preserve">
Minutes input here will be added to the "Calculated Minutes" number in cell P20</t>
        </r>
      </text>
    </comment>
    <comment ref="N30" authorId="0" shapeId="0" xr:uid="{09A08B9B-2759-40E5-8D21-9B823917A1C2}">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30" authorId="0" shapeId="0" xr:uid="{3136AF4D-99BF-46A4-BBE5-D40EE432C40D}">
      <text>
        <r>
          <rPr>
            <sz val="11"/>
            <color theme="1"/>
            <rFont val="Calibri"/>
            <family val="2"/>
            <scheme val="minor"/>
          </rPr>
          <t xml:space="preserve">Bill Michaud:
Input Items such as:
Linen Inventory
Deep Cleaning Rooms
Cleaning Carpets
Rotating Mattresses
Doing Supply Inv / Order
</t>
        </r>
      </text>
    </comment>
    <comment ref="J32" authorId="0" shapeId="0" xr:uid="{6C471CAC-035F-497C-A00F-EEF33C4C42C7}">
      <text>
        <r>
          <rPr>
            <sz val="11"/>
            <color theme="1"/>
            <rFont val="Calibri"/>
            <family val="2"/>
            <scheme val="minor"/>
          </rPr>
          <t xml:space="preserve">Bill Michaud:
Do Not Count DND's, Verbal DND's or any other rooms which were assigned but not cleaned. </t>
        </r>
      </text>
    </comment>
    <comment ref="T42" authorId="0" shapeId="0" xr:uid="{78787052-4190-4D78-BF3D-D0E0D0118AD5}">
      <text>
        <r>
          <rPr>
            <b/>
            <sz val="9"/>
            <color indexed="81"/>
            <rFont val="Tahoma"/>
            <family val="2"/>
          </rPr>
          <t>Bill Michaud:</t>
        </r>
        <r>
          <rPr>
            <sz val="9"/>
            <color indexed="81"/>
            <rFont val="Tahoma"/>
            <family val="2"/>
          </rPr>
          <t xml:space="preserve">
Minutes input here will be added to the "Calculated Minutes" number in cell P20</t>
        </r>
      </text>
    </comment>
    <comment ref="N43" authorId="0" shapeId="0" xr:uid="{25CD2194-628B-4469-A6CB-96E44C4FE414}">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43" authorId="0" shapeId="0" xr:uid="{5946D9BC-22E1-49E3-B528-B264A86CC720}">
      <text>
        <r>
          <rPr>
            <sz val="11"/>
            <color theme="1"/>
            <rFont val="Calibri"/>
            <family val="2"/>
            <scheme val="minor"/>
          </rPr>
          <t xml:space="preserve">Bill Michaud:
Input Items such as:
Linen Inventory
Deep Cleaning Rooms
Cleaning Carpets
Rotating Mattresses
Doing Supply Inv / Order
</t>
        </r>
      </text>
    </comment>
    <comment ref="J45" authorId="0" shapeId="0" xr:uid="{12270095-DDFB-4F4A-A1A8-3FC3324F992A}">
      <text>
        <r>
          <rPr>
            <sz val="11"/>
            <color theme="1"/>
            <rFont val="Calibri"/>
            <family val="2"/>
            <scheme val="minor"/>
          </rPr>
          <t xml:space="preserve">Bill Michaud:
Do Not Count DND's, Verbal DND's or any other rooms which were assigned but not cleaned. </t>
        </r>
      </text>
    </comment>
    <comment ref="T55" authorId="0" shapeId="0" xr:uid="{CE8B03C7-6AD2-48DC-8C68-AC7165ABB48E}">
      <text>
        <r>
          <rPr>
            <b/>
            <sz val="9"/>
            <color indexed="81"/>
            <rFont val="Tahoma"/>
            <family val="2"/>
          </rPr>
          <t>Bill Michaud:</t>
        </r>
        <r>
          <rPr>
            <sz val="9"/>
            <color indexed="81"/>
            <rFont val="Tahoma"/>
            <family val="2"/>
          </rPr>
          <t xml:space="preserve">
Minutes input here will be added to the "Calculated Minutes" number in cell P20</t>
        </r>
      </text>
    </comment>
    <comment ref="N56" authorId="0" shapeId="0" xr:uid="{0510D2CC-C406-4978-83DF-A90F23D57B2A}">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56" authorId="0" shapeId="0" xr:uid="{497054BB-CF3C-46C7-AB9B-6858271DEFE2}">
      <text>
        <r>
          <rPr>
            <sz val="11"/>
            <color theme="1"/>
            <rFont val="Calibri"/>
            <family val="2"/>
            <scheme val="minor"/>
          </rPr>
          <t xml:space="preserve">Bill Michaud:
Input Items such as:
Linen Inventory
Deep Cleaning Rooms
Cleaning Carpets
Rotating Mattresses
Doing Supply Inv / Order
</t>
        </r>
      </text>
    </comment>
    <comment ref="J58" authorId="0" shapeId="0" xr:uid="{9B9F9CBA-F36A-43B0-82D6-BFDBE3EA0FAC}">
      <text>
        <r>
          <rPr>
            <sz val="11"/>
            <color theme="1"/>
            <rFont val="Calibri"/>
            <family val="2"/>
            <scheme val="minor"/>
          </rPr>
          <t xml:space="preserve">Bill Michaud:
Do Not Count DND's, Verbal DND's or any other rooms which were assigned but not cleaned. </t>
        </r>
      </text>
    </comment>
    <comment ref="T68" authorId="0" shapeId="0" xr:uid="{0E27F0A1-2778-42F0-B3B6-B81E2A50A4A1}">
      <text>
        <r>
          <rPr>
            <b/>
            <sz val="9"/>
            <color indexed="81"/>
            <rFont val="Tahoma"/>
            <family val="2"/>
          </rPr>
          <t>Bill Michaud:</t>
        </r>
        <r>
          <rPr>
            <sz val="9"/>
            <color indexed="81"/>
            <rFont val="Tahoma"/>
            <family val="2"/>
          </rPr>
          <t xml:space="preserve">
Minutes input here will be added to the "Calculated Minutes" number in cell P20</t>
        </r>
      </text>
    </comment>
    <comment ref="N69" authorId="0" shapeId="0" xr:uid="{AAC2EF1A-0A78-4E4F-B44A-F2532C8CA1F8}">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69" authorId="0" shapeId="0" xr:uid="{5CA45601-FEF2-4DAA-861F-886C6131CF9B}">
      <text>
        <r>
          <rPr>
            <sz val="11"/>
            <color theme="1"/>
            <rFont val="Calibri"/>
            <family val="2"/>
            <scheme val="minor"/>
          </rPr>
          <t xml:space="preserve">Bill Michaud:
Input Items such as:
Linen Inventory
Deep Cleaning Rooms
Cleaning Carpets
Rotating Mattresses
Doing Supply Inv / Order
</t>
        </r>
      </text>
    </comment>
    <comment ref="J71" authorId="0" shapeId="0" xr:uid="{646E979D-92B2-4A71-BA12-9A59DB8F583A}">
      <text>
        <r>
          <rPr>
            <sz val="11"/>
            <color theme="1"/>
            <rFont val="Calibri"/>
            <family val="2"/>
            <scheme val="minor"/>
          </rPr>
          <t xml:space="preserve">Bill Michaud:
Do Not Count DND's, Verbal DND's or any other rooms which were assigned but not cleaned. </t>
        </r>
      </text>
    </comment>
    <comment ref="T81" authorId="0" shapeId="0" xr:uid="{46608A24-C72F-489E-A037-4421F8BC45A1}">
      <text>
        <r>
          <rPr>
            <b/>
            <sz val="9"/>
            <color indexed="81"/>
            <rFont val="Tahoma"/>
            <family val="2"/>
          </rPr>
          <t>Bill Michaud:</t>
        </r>
        <r>
          <rPr>
            <sz val="9"/>
            <color indexed="81"/>
            <rFont val="Tahoma"/>
            <family val="2"/>
          </rPr>
          <t xml:space="preserve">
Minutes input here will be added to the "Calculated Minutes" number in cell P20</t>
        </r>
      </text>
    </comment>
    <comment ref="N82" authorId="0" shapeId="0" xr:uid="{AA6FABBB-4E91-4710-A474-E6DD245E6D65}">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82" authorId="0" shapeId="0" xr:uid="{4A6B16AE-11F4-4558-BA00-267659A298EC}">
      <text>
        <r>
          <rPr>
            <sz val="11"/>
            <color theme="1"/>
            <rFont val="Calibri"/>
            <family val="2"/>
            <scheme val="minor"/>
          </rPr>
          <t xml:space="preserve">Bill Michaud:
Input Items such as:
Linen Inventory
Deep Cleaning Rooms
Cleaning Carpets
Rotating Mattresses
Doing Supply Inv / Order
</t>
        </r>
      </text>
    </comment>
    <comment ref="J84" authorId="0" shapeId="0" xr:uid="{4F4D3295-F6A6-4348-B9CE-0A697D7747CA}">
      <text>
        <r>
          <rPr>
            <sz val="11"/>
            <color theme="1"/>
            <rFont val="Calibri"/>
            <family val="2"/>
            <scheme val="minor"/>
          </rPr>
          <t xml:space="preserve">Bill Michaud:
Do Not Count DND's, Verbal DND's or any other rooms which were assigned but not cleaned. </t>
        </r>
      </text>
    </comment>
    <comment ref="T94" authorId="0" shapeId="0" xr:uid="{743501BF-5283-4F76-A3DF-6813285D4B21}">
      <text>
        <r>
          <rPr>
            <b/>
            <sz val="9"/>
            <color indexed="81"/>
            <rFont val="Tahoma"/>
            <family val="2"/>
          </rPr>
          <t>Bill Michaud:</t>
        </r>
        <r>
          <rPr>
            <sz val="9"/>
            <color indexed="81"/>
            <rFont val="Tahoma"/>
            <family val="2"/>
          </rPr>
          <t xml:space="preserve">
Minutes input here will be added to the "Calculated Minutes" number in cell P20</t>
        </r>
      </text>
    </comment>
    <comment ref="N95" authorId="0" shapeId="0" xr:uid="{5BD71669-127D-4776-BF59-FA2193E760D3}">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95" authorId="0" shapeId="0" xr:uid="{58514CB1-0F26-49E0-8D69-6705E3793478}">
      <text>
        <r>
          <rPr>
            <sz val="11"/>
            <color theme="1"/>
            <rFont val="Calibri"/>
            <family val="2"/>
            <scheme val="minor"/>
          </rPr>
          <t xml:space="preserve">Bill Michaud:
Input Items such as:
Linen Inventory
Deep Cleaning Rooms
Cleaning Carpets
Rotating Mattresses
Doing Supply Inv / Order
</t>
        </r>
      </text>
    </comment>
    <comment ref="J97" authorId="0" shapeId="0" xr:uid="{8E8AE64F-E15F-4232-ABC0-0CA21EDFA060}">
      <text>
        <r>
          <rPr>
            <sz val="11"/>
            <color theme="1"/>
            <rFont val="Calibri"/>
            <family val="2"/>
            <scheme val="minor"/>
          </rPr>
          <t xml:space="preserve">Bill Michaud:
Do Not Count DND's, Verbal DND's or any other rooms which were assigned but not cleaned. </t>
        </r>
      </text>
    </comment>
    <comment ref="T107" authorId="0" shapeId="0" xr:uid="{330DFCBD-9A42-44CD-93AE-14C3F5FBABEC}">
      <text>
        <r>
          <rPr>
            <b/>
            <sz val="9"/>
            <color indexed="81"/>
            <rFont val="Tahoma"/>
            <family val="2"/>
          </rPr>
          <t>Bill Michaud:</t>
        </r>
        <r>
          <rPr>
            <sz val="9"/>
            <color indexed="81"/>
            <rFont val="Tahoma"/>
            <family val="2"/>
          </rPr>
          <t xml:space="preserve">
Minutes input here will be added to the "Calculated Minutes" number in cell P20</t>
        </r>
      </text>
    </comment>
    <comment ref="N108" authorId="0" shapeId="0" xr:uid="{6A89D62F-ABDD-4295-BE56-A43AB90D116B}">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08" authorId="0" shapeId="0" xr:uid="{87AC750B-514D-4C29-A905-F797A864B031}">
      <text>
        <r>
          <rPr>
            <sz val="11"/>
            <color theme="1"/>
            <rFont val="Calibri"/>
            <family val="2"/>
            <scheme val="minor"/>
          </rPr>
          <t xml:space="preserve">Bill Michaud:
Input Items such as:
Linen Inventory
Deep Cleaning Rooms
Cleaning Carpets
Rotating Mattresses
Doing Supply Inv / Order
</t>
        </r>
      </text>
    </comment>
    <comment ref="J110" authorId="0" shapeId="0" xr:uid="{B34E72F0-23B0-4045-A79A-7A5765E662EE}">
      <text>
        <r>
          <rPr>
            <sz val="11"/>
            <color theme="1"/>
            <rFont val="Calibri"/>
            <family val="2"/>
            <scheme val="minor"/>
          </rPr>
          <t xml:space="preserve">Bill Michaud:
Do Not Count DND's, Verbal DND's or any other rooms which were assigned but not cleaned. </t>
        </r>
      </text>
    </comment>
    <comment ref="T120" authorId="0" shapeId="0" xr:uid="{9D3376AE-558F-4E85-BEFA-F0307565C562}">
      <text>
        <r>
          <rPr>
            <b/>
            <sz val="9"/>
            <color indexed="81"/>
            <rFont val="Tahoma"/>
            <family val="2"/>
          </rPr>
          <t>Bill Michaud:</t>
        </r>
        <r>
          <rPr>
            <sz val="9"/>
            <color indexed="81"/>
            <rFont val="Tahoma"/>
            <family val="2"/>
          </rPr>
          <t xml:space="preserve">
Minutes input here will be added to the "Calculated Minutes" number in cell P20</t>
        </r>
      </text>
    </comment>
    <comment ref="N121" authorId="0" shapeId="0" xr:uid="{0D5E3DF1-4288-4AE1-A2BF-9E8D2BAC08FA}">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21" authorId="0" shapeId="0" xr:uid="{A0264161-4374-4F3F-9424-D3139936F963}">
      <text>
        <r>
          <rPr>
            <sz val="11"/>
            <color theme="1"/>
            <rFont val="Calibri"/>
            <family val="2"/>
            <scheme val="minor"/>
          </rPr>
          <t xml:space="preserve">Bill Michaud:
Input Items such as:
Linen Inventory
Deep Cleaning Rooms
Cleaning Carpets
Rotating Mattresses
Doing Supply Inv / Order
</t>
        </r>
      </text>
    </comment>
    <comment ref="J123" authorId="0" shapeId="0" xr:uid="{AF920E38-0FD5-4EC8-A63F-D6273E0F2BE5}">
      <text>
        <r>
          <rPr>
            <sz val="11"/>
            <color theme="1"/>
            <rFont val="Calibri"/>
            <family val="2"/>
            <scheme val="minor"/>
          </rPr>
          <t xml:space="preserve">Bill Michaud:
Do Not Count DND's, Verbal DND's or any other rooms which were assigned but not cleaned. </t>
        </r>
      </text>
    </comment>
    <comment ref="T133" authorId="0" shapeId="0" xr:uid="{15D232A4-F979-4713-84C3-45993F3C9359}">
      <text>
        <r>
          <rPr>
            <b/>
            <sz val="9"/>
            <color indexed="81"/>
            <rFont val="Tahoma"/>
            <family val="2"/>
          </rPr>
          <t>Bill Michaud:</t>
        </r>
        <r>
          <rPr>
            <sz val="9"/>
            <color indexed="81"/>
            <rFont val="Tahoma"/>
            <family val="2"/>
          </rPr>
          <t xml:space="preserve">
Minutes input here will be added to the "Calculated Minutes" number in cell P20</t>
        </r>
      </text>
    </comment>
    <comment ref="N134" authorId="0" shapeId="0" xr:uid="{C6CCD9B2-8192-42CB-9B28-40BC6CB4574E}">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34" authorId="0" shapeId="0" xr:uid="{6E25863F-799B-4A63-B2C2-0F09BD18E1D2}">
      <text>
        <r>
          <rPr>
            <sz val="11"/>
            <color theme="1"/>
            <rFont val="Calibri"/>
            <family val="2"/>
            <scheme val="minor"/>
          </rPr>
          <t xml:space="preserve">Bill Michaud:
Input Items such as:
Linen Inventory
Deep Cleaning Rooms
Cleaning Carpets
Rotating Mattresses
Doing Supply Inv / Order
</t>
        </r>
      </text>
    </comment>
    <comment ref="J136" authorId="0" shapeId="0" xr:uid="{481D43BE-A7E2-4F35-89EF-1F4659875497}">
      <text>
        <r>
          <rPr>
            <sz val="11"/>
            <color theme="1"/>
            <rFont val="Calibri"/>
            <family val="2"/>
            <scheme val="minor"/>
          </rPr>
          <t xml:space="preserve">Bill Michaud:
Do Not Count DND's, Verbal DND's or any other rooms which were assigned but not cleaned. </t>
        </r>
      </text>
    </comment>
    <comment ref="T146" authorId="0" shapeId="0" xr:uid="{7DC14EAD-8C87-4628-895D-150F6F6D4F3F}">
      <text>
        <r>
          <rPr>
            <b/>
            <sz val="9"/>
            <color indexed="81"/>
            <rFont val="Tahoma"/>
            <family val="2"/>
          </rPr>
          <t>Bill Michaud:</t>
        </r>
        <r>
          <rPr>
            <sz val="9"/>
            <color indexed="81"/>
            <rFont val="Tahoma"/>
            <family val="2"/>
          </rPr>
          <t xml:space="preserve">
Minutes input here will be added to the "Calculated Minutes" number in cell P20</t>
        </r>
      </text>
    </comment>
    <comment ref="N147" authorId="0" shapeId="0" xr:uid="{7E4AD523-5331-4AD8-BBA5-BB68147AAC93}">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47" authorId="0" shapeId="0" xr:uid="{70C69141-FDFD-49BA-B3E7-D8232985305D}">
      <text>
        <r>
          <rPr>
            <sz val="11"/>
            <color theme="1"/>
            <rFont val="Calibri"/>
            <family val="2"/>
            <scheme val="minor"/>
          </rPr>
          <t xml:space="preserve">Bill Michaud:
Input Items such as:
Linen Inventory
Deep Cleaning Rooms
Cleaning Carpets
Rotating Mattresses
Doing Supply Inv / Order
</t>
        </r>
      </text>
    </comment>
    <comment ref="J149" authorId="0" shapeId="0" xr:uid="{BA7B7C42-89BA-4AAF-AF78-27E3E39BF978}">
      <text>
        <r>
          <rPr>
            <sz val="11"/>
            <color theme="1"/>
            <rFont val="Calibri"/>
            <family val="2"/>
            <scheme val="minor"/>
          </rPr>
          <t xml:space="preserve">Bill Michaud:
Do Not Count DND's, Verbal DND's or any other rooms which were assigned but not cleaned. </t>
        </r>
      </text>
    </comment>
    <comment ref="T159" authorId="0" shapeId="0" xr:uid="{856C6E16-079E-4718-8677-8A7A0B616A5B}">
      <text>
        <r>
          <rPr>
            <b/>
            <sz val="9"/>
            <color indexed="81"/>
            <rFont val="Tahoma"/>
            <family val="2"/>
          </rPr>
          <t>Bill Michaud:</t>
        </r>
        <r>
          <rPr>
            <sz val="9"/>
            <color indexed="81"/>
            <rFont val="Tahoma"/>
            <family val="2"/>
          </rPr>
          <t xml:space="preserve">
Minutes input here will be added to the "Calculated Minutes" number in cell P20</t>
        </r>
      </text>
    </comment>
    <comment ref="N160" authorId="0" shapeId="0" xr:uid="{66ABF12E-F4BD-46E3-B766-43BDC04AAEEB}">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60" authorId="0" shapeId="0" xr:uid="{4FF0C229-EA3E-4257-B450-D125048EDA20}">
      <text>
        <r>
          <rPr>
            <sz val="11"/>
            <color theme="1"/>
            <rFont val="Calibri"/>
            <family val="2"/>
            <scheme val="minor"/>
          </rPr>
          <t xml:space="preserve">Bill Michaud:
Input Items such as:
Linen Inventory
Deep Cleaning Rooms
Cleaning Carpets
Rotating Mattresses
Doing Supply Inv / Order
</t>
        </r>
      </text>
    </comment>
    <comment ref="J162" authorId="0" shapeId="0" xr:uid="{976C06EA-FE6F-408E-A1BB-1E8C66E67D27}">
      <text>
        <r>
          <rPr>
            <sz val="11"/>
            <color theme="1"/>
            <rFont val="Calibri"/>
            <family val="2"/>
            <scheme val="minor"/>
          </rPr>
          <t xml:space="preserve">Bill Michaud:
Do Not Count DND's, Verbal DND's or any other rooms which were assigned but not cleaned. </t>
        </r>
      </text>
    </comment>
    <comment ref="T172" authorId="0" shapeId="0" xr:uid="{E063A84A-1AED-48A4-89D4-2200CDCC8E5C}">
      <text>
        <r>
          <rPr>
            <b/>
            <sz val="9"/>
            <color indexed="81"/>
            <rFont val="Tahoma"/>
            <family val="2"/>
          </rPr>
          <t>Bill Michaud:</t>
        </r>
        <r>
          <rPr>
            <sz val="9"/>
            <color indexed="81"/>
            <rFont val="Tahoma"/>
            <family val="2"/>
          </rPr>
          <t xml:space="preserve">
Minutes input here will be added to the "Calculated Minutes" number in cell P20</t>
        </r>
      </text>
    </comment>
    <comment ref="N173" authorId="0" shapeId="0" xr:uid="{1FE63A31-8B49-4773-BE58-AB94647ECA25}">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73" authorId="0" shapeId="0" xr:uid="{63B14F2A-0AEA-4EAB-84FB-AC587DDD4375}">
      <text>
        <r>
          <rPr>
            <sz val="11"/>
            <color theme="1"/>
            <rFont val="Calibri"/>
            <family val="2"/>
            <scheme val="minor"/>
          </rPr>
          <t xml:space="preserve">Bill Michaud:
Input Items such as:
Linen Inventory
Deep Cleaning Rooms
Cleaning Carpets
Rotating Mattresses
Doing Supply Inv / Order
</t>
        </r>
      </text>
    </comment>
    <comment ref="J175" authorId="0" shapeId="0" xr:uid="{04E8C187-839A-4242-B070-D5BF2B78CFE9}">
      <text>
        <r>
          <rPr>
            <sz val="11"/>
            <color theme="1"/>
            <rFont val="Calibri"/>
            <family val="2"/>
            <scheme val="minor"/>
          </rPr>
          <t xml:space="preserve">Bill Michaud:
Do Not Count DND's, Verbal DND's or any other rooms which were assigned but not cleaned. </t>
        </r>
      </text>
    </comment>
    <comment ref="T185" authorId="0" shapeId="0" xr:uid="{E77AEE0D-0A6D-4CE6-A236-30D5A8718534}">
      <text>
        <r>
          <rPr>
            <b/>
            <sz val="9"/>
            <color indexed="81"/>
            <rFont val="Tahoma"/>
            <family val="2"/>
          </rPr>
          <t>Bill Michaud:</t>
        </r>
        <r>
          <rPr>
            <sz val="9"/>
            <color indexed="81"/>
            <rFont val="Tahoma"/>
            <family val="2"/>
          </rPr>
          <t xml:space="preserve">
Minutes input here will be added to the "Calculated Minutes" number in cell P20</t>
        </r>
      </text>
    </comment>
    <comment ref="N186" authorId="0" shapeId="0" xr:uid="{0B2561F1-4BA7-499D-A562-E9713FC5D61F}">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86" authorId="0" shapeId="0" xr:uid="{879708AF-8993-4D8C-9B76-E1CFFBD87025}">
      <text>
        <r>
          <rPr>
            <sz val="11"/>
            <color theme="1"/>
            <rFont val="Calibri"/>
            <family val="2"/>
            <scheme val="minor"/>
          </rPr>
          <t xml:space="preserve">Bill Michaud:
Input Items such as:
Linen Inventory
Deep Cleaning Rooms
Cleaning Carpets
Rotating Mattresses
Doing Supply Inv / Order
</t>
        </r>
      </text>
    </comment>
    <comment ref="J188" authorId="0" shapeId="0" xr:uid="{071EC611-610C-4FFC-97A9-95C8AA897250}">
      <text>
        <r>
          <rPr>
            <sz val="11"/>
            <color theme="1"/>
            <rFont val="Calibri"/>
            <family val="2"/>
            <scheme val="minor"/>
          </rPr>
          <t xml:space="preserve">Bill Michaud:
Do Not Count DND's, Verbal DND's or any other rooms which were assigned but not cleaned. </t>
        </r>
      </text>
    </comment>
    <comment ref="T198" authorId="0" shapeId="0" xr:uid="{16AF14BB-6F51-4CFB-ACD2-E0A7E023C7EE}">
      <text>
        <r>
          <rPr>
            <b/>
            <sz val="9"/>
            <color indexed="81"/>
            <rFont val="Tahoma"/>
            <family val="2"/>
          </rPr>
          <t>Bill Michaud:</t>
        </r>
        <r>
          <rPr>
            <sz val="9"/>
            <color indexed="81"/>
            <rFont val="Tahoma"/>
            <family val="2"/>
          </rPr>
          <t xml:space="preserve">
Minutes input here will be added to the "Calculated Minutes" number in cell P20</t>
        </r>
      </text>
    </comment>
    <comment ref="N199" authorId="0" shapeId="0" xr:uid="{0B20BC79-E49A-4E4B-8C39-EE5713ABB46C}">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99" authorId="0" shapeId="0" xr:uid="{FF6CFAEC-E37E-4912-9C11-D836FC3EF129}">
      <text>
        <r>
          <rPr>
            <sz val="11"/>
            <color theme="1"/>
            <rFont val="Calibri"/>
            <family val="2"/>
            <scheme val="minor"/>
          </rPr>
          <t xml:space="preserve">Bill Michaud:
Input Items such as:
Linen Inventory
Deep Cleaning Rooms
Cleaning Carpets
Rotating Mattresses
Doing Supply Inv / Order
</t>
        </r>
      </text>
    </comment>
    <comment ref="J201" authorId="0" shapeId="0" xr:uid="{B9BE6596-A7EB-4088-A76C-58167D12914E}">
      <text>
        <r>
          <rPr>
            <sz val="11"/>
            <color theme="1"/>
            <rFont val="Calibri"/>
            <family val="2"/>
            <scheme val="minor"/>
          </rPr>
          <t xml:space="preserve">Bill Michaud:
Do Not Count DND's, Verbal DND's or any other rooms which were assigned but not cleaned. </t>
        </r>
      </text>
    </comment>
    <comment ref="T211" authorId="0" shapeId="0" xr:uid="{DB287219-FA11-4427-86B2-8072594EEF30}">
      <text>
        <r>
          <rPr>
            <b/>
            <sz val="9"/>
            <color indexed="81"/>
            <rFont val="Tahoma"/>
            <family val="2"/>
          </rPr>
          <t>Bill Michaud:</t>
        </r>
        <r>
          <rPr>
            <sz val="9"/>
            <color indexed="81"/>
            <rFont val="Tahoma"/>
            <family val="2"/>
          </rPr>
          <t xml:space="preserve">
Minutes input here will be added to the "Calculated Minutes" number in cell P20</t>
        </r>
      </text>
    </comment>
    <comment ref="N212" authorId="0" shapeId="0" xr:uid="{E81A1622-7285-4496-825C-E02915FF7A36}">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212" authorId="0" shapeId="0" xr:uid="{5429D61E-55C9-415D-AB60-B4FE0DF75FC3}">
      <text>
        <r>
          <rPr>
            <sz val="11"/>
            <color theme="1"/>
            <rFont val="Calibri"/>
            <family val="2"/>
            <scheme val="minor"/>
          </rPr>
          <t xml:space="preserve">Bill Michaud:
Input Items such as:
Linen Inventory
Deep Cleaning Rooms
Cleaning Carpets
Rotating Mattresses
Doing Supply Inv / Order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Bill Michaud</author>
  </authors>
  <commentList>
    <comment ref="J6" authorId="0" shapeId="0" xr:uid="{73EE208D-9CD0-4FE0-B91B-D525B6BE5243}">
      <text>
        <r>
          <rPr>
            <sz val="11"/>
            <color theme="1"/>
            <rFont val="Calibri"/>
            <family val="2"/>
            <scheme val="minor"/>
          </rPr>
          <t xml:space="preserve">Bill Michaud:
Do Not Count DND's, Verbal DND's or any other rooms which were assigned but not cleaned. </t>
        </r>
      </text>
    </comment>
    <comment ref="T16" authorId="0" shapeId="0" xr:uid="{C6F98AC3-6B78-4AE2-82B2-C0C5854BE309}">
      <text>
        <r>
          <rPr>
            <b/>
            <sz val="9"/>
            <color indexed="81"/>
            <rFont val="Tahoma"/>
            <family val="2"/>
          </rPr>
          <t>Bill Michaud:</t>
        </r>
        <r>
          <rPr>
            <sz val="9"/>
            <color indexed="81"/>
            <rFont val="Tahoma"/>
            <family val="2"/>
          </rPr>
          <t xml:space="preserve">
Minutes input here will be added to the "Calculated Minutes" number in cell P20</t>
        </r>
      </text>
    </comment>
    <comment ref="N17" authorId="0" shapeId="0" xr:uid="{FFB52820-4034-4A14-98E3-74E959B72D88}">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7" authorId="0" shapeId="0" xr:uid="{E0C607FE-702A-4284-ACBA-E63CABD224B1}">
      <text>
        <r>
          <rPr>
            <sz val="11"/>
            <color theme="1"/>
            <rFont val="Calibri"/>
            <family val="2"/>
            <scheme val="minor"/>
          </rPr>
          <t xml:space="preserve">Bill Michaud:
Input Items such as:
Linen Inventory
Deep Cleaning Rooms
Cleaning Carpets
Rotating Mattresses
Doing Supply Inv / Order
</t>
        </r>
      </text>
    </comment>
    <comment ref="J19" authorId="0" shapeId="0" xr:uid="{71186E6E-B0B2-4F76-A2AC-D3DB043A2E78}">
      <text>
        <r>
          <rPr>
            <sz val="11"/>
            <color theme="1"/>
            <rFont val="Calibri"/>
            <family val="2"/>
            <scheme val="minor"/>
          </rPr>
          <t xml:space="preserve">Bill Michaud:
Do Not Count DND's, Verbal DND's or any other rooms which were assigned but not cleaned. </t>
        </r>
      </text>
    </comment>
    <comment ref="T29" authorId="0" shapeId="0" xr:uid="{A915EAD8-6415-47ED-9C24-8FB90EC8D644}">
      <text>
        <r>
          <rPr>
            <b/>
            <sz val="9"/>
            <color indexed="81"/>
            <rFont val="Tahoma"/>
            <family val="2"/>
          </rPr>
          <t>Bill Michaud:</t>
        </r>
        <r>
          <rPr>
            <sz val="9"/>
            <color indexed="81"/>
            <rFont val="Tahoma"/>
            <family val="2"/>
          </rPr>
          <t xml:space="preserve">
Minutes input here will be added to the "Calculated Minutes" number in cell P20</t>
        </r>
      </text>
    </comment>
    <comment ref="N30" authorId="0" shapeId="0" xr:uid="{21E90336-A6A9-4775-BCF0-E14CCC662F8C}">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30" authorId="0" shapeId="0" xr:uid="{6358C684-061A-4F52-8A65-706C72B16B98}">
      <text>
        <r>
          <rPr>
            <sz val="11"/>
            <color theme="1"/>
            <rFont val="Calibri"/>
            <family val="2"/>
            <scheme val="minor"/>
          </rPr>
          <t xml:space="preserve">Bill Michaud:
Input Items such as:
Linen Inventory
Deep Cleaning Rooms
Cleaning Carpets
Rotating Mattresses
Doing Supply Inv / Order
</t>
        </r>
      </text>
    </comment>
    <comment ref="J32" authorId="0" shapeId="0" xr:uid="{07D9E3F5-A16D-4243-A9AF-E12783F44C22}">
      <text>
        <r>
          <rPr>
            <sz val="11"/>
            <color theme="1"/>
            <rFont val="Calibri"/>
            <family val="2"/>
            <scheme val="minor"/>
          </rPr>
          <t xml:space="preserve">Bill Michaud:
Do Not Count DND's, Verbal DND's or any other rooms which were assigned but not cleaned. </t>
        </r>
      </text>
    </comment>
    <comment ref="T42" authorId="0" shapeId="0" xr:uid="{A4E103BB-E9EB-40C7-96B0-F8F4667853AA}">
      <text>
        <r>
          <rPr>
            <b/>
            <sz val="9"/>
            <color indexed="81"/>
            <rFont val="Tahoma"/>
            <family val="2"/>
          </rPr>
          <t>Bill Michaud:</t>
        </r>
        <r>
          <rPr>
            <sz val="9"/>
            <color indexed="81"/>
            <rFont val="Tahoma"/>
            <family val="2"/>
          </rPr>
          <t xml:space="preserve">
Minutes input here will be added to the "Calculated Minutes" number in cell P20</t>
        </r>
      </text>
    </comment>
    <comment ref="N43" authorId="0" shapeId="0" xr:uid="{8B108612-179B-454C-AAF5-01AC9BE5ED0D}">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43" authorId="0" shapeId="0" xr:uid="{E28EC6FD-E7B6-4334-8AE7-5D40F037C27E}">
      <text>
        <r>
          <rPr>
            <sz val="11"/>
            <color theme="1"/>
            <rFont val="Calibri"/>
            <family val="2"/>
            <scheme val="minor"/>
          </rPr>
          <t xml:space="preserve">Bill Michaud:
Input Items such as:
Linen Inventory
Deep Cleaning Rooms
Cleaning Carpets
Rotating Mattresses
Doing Supply Inv / Order
</t>
        </r>
      </text>
    </comment>
    <comment ref="J45" authorId="0" shapeId="0" xr:uid="{45DCDAF0-20AA-40AB-AF23-FAE395F1F65A}">
      <text>
        <r>
          <rPr>
            <sz val="11"/>
            <color theme="1"/>
            <rFont val="Calibri"/>
            <family val="2"/>
            <scheme val="minor"/>
          </rPr>
          <t xml:space="preserve">Bill Michaud:
Do Not Count DND's, Verbal DND's or any other rooms which were assigned but not cleaned. </t>
        </r>
      </text>
    </comment>
    <comment ref="T55" authorId="0" shapeId="0" xr:uid="{CFD6DCCA-60FD-40BC-8FC5-0A3665D23EA9}">
      <text>
        <r>
          <rPr>
            <b/>
            <sz val="9"/>
            <color indexed="81"/>
            <rFont val="Tahoma"/>
            <family val="2"/>
          </rPr>
          <t>Bill Michaud:</t>
        </r>
        <r>
          <rPr>
            <sz val="9"/>
            <color indexed="81"/>
            <rFont val="Tahoma"/>
            <family val="2"/>
          </rPr>
          <t xml:space="preserve">
Minutes input here will be added to the "Calculated Minutes" number in cell P20</t>
        </r>
      </text>
    </comment>
    <comment ref="N56" authorId="0" shapeId="0" xr:uid="{E16ED1C0-EF74-4731-BE2A-FCEA083F5A3F}">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56" authorId="0" shapeId="0" xr:uid="{897F141A-832C-4F60-A003-556233B0112A}">
      <text>
        <r>
          <rPr>
            <sz val="11"/>
            <color theme="1"/>
            <rFont val="Calibri"/>
            <family val="2"/>
            <scheme val="minor"/>
          </rPr>
          <t xml:space="preserve">Bill Michaud:
Input Items such as:
Linen Inventory
Deep Cleaning Rooms
Cleaning Carpets
Rotating Mattresses
Doing Supply Inv / Order
</t>
        </r>
      </text>
    </comment>
    <comment ref="J58" authorId="0" shapeId="0" xr:uid="{80D3359A-EDED-4AA8-8A44-08CCE61645FC}">
      <text>
        <r>
          <rPr>
            <sz val="11"/>
            <color theme="1"/>
            <rFont val="Calibri"/>
            <family val="2"/>
            <scheme val="minor"/>
          </rPr>
          <t xml:space="preserve">Bill Michaud:
Do Not Count DND's, Verbal DND's or any other rooms which were assigned but not cleaned. </t>
        </r>
      </text>
    </comment>
    <comment ref="T68" authorId="0" shapeId="0" xr:uid="{79FEEF20-727E-45D3-B6C1-DDA1D0D526F4}">
      <text>
        <r>
          <rPr>
            <b/>
            <sz val="9"/>
            <color indexed="81"/>
            <rFont val="Tahoma"/>
            <family val="2"/>
          </rPr>
          <t>Bill Michaud:</t>
        </r>
        <r>
          <rPr>
            <sz val="9"/>
            <color indexed="81"/>
            <rFont val="Tahoma"/>
            <family val="2"/>
          </rPr>
          <t xml:space="preserve">
Minutes input here will be added to the "Calculated Minutes" number in cell P20</t>
        </r>
      </text>
    </comment>
    <comment ref="N69" authorId="0" shapeId="0" xr:uid="{B3E38362-E666-4711-BD0A-F3838A6A22EF}">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69" authorId="0" shapeId="0" xr:uid="{9A4F538E-8FAD-49A8-A721-A8196BEA2C7C}">
      <text>
        <r>
          <rPr>
            <sz val="11"/>
            <color theme="1"/>
            <rFont val="Calibri"/>
            <family val="2"/>
            <scheme val="minor"/>
          </rPr>
          <t xml:space="preserve">Bill Michaud:
Input Items such as:
Linen Inventory
Deep Cleaning Rooms
Cleaning Carpets
Rotating Mattresses
Doing Supply Inv / Order
</t>
        </r>
      </text>
    </comment>
    <comment ref="J71" authorId="0" shapeId="0" xr:uid="{05DB735F-FF29-4225-B8A9-CD7D074574CE}">
      <text>
        <r>
          <rPr>
            <sz val="11"/>
            <color theme="1"/>
            <rFont val="Calibri"/>
            <family val="2"/>
            <scheme val="minor"/>
          </rPr>
          <t xml:space="preserve">Bill Michaud:
Do Not Count DND's, Verbal DND's or any other rooms which were assigned but not cleaned. </t>
        </r>
      </text>
    </comment>
    <comment ref="T81" authorId="0" shapeId="0" xr:uid="{B261EE6D-6723-411E-AF04-CCD41F239A5D}">
      <text>
        <r>
          <rPr>
            <b/>
            <sz val="9"/>
            <color indexed="81"/>
            <rFont val="Tahoma"/>
            <family val="2"/>
          </rPr>
          <t>Bill Michaud:</t>
        </r>
        <r>
          <rPr>
            <sz val="9"/>
            <color indexed="81"/>
            <rFont val="Tahoma"/>
            <family val="2"/>
          </rPr>
          <t xml:space="preserve">
Minutes input here will be added to the "Calculated Minutes" number in cell P20</t>
        </r>
      </text>
    </comment>
    <comment ref="N82" authorId="0" shapeId="0" xr:uid="{6FF0A2AF-003F-4BA4-9326-99B90A774D8D}">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82" authorId="0" shapeId="0" xr:uid="{ADACEF05-2CBD-485D-8EC6-5611A4FB5FFF}">
      <text>
        <r>
          <rPr>
            <sz val="11"/>
            <color theme="1"/>
            <rFont val="Calibri"/>
            <family val="2"/>
            <scheme val="minor"/>
          </rPr>
          <t xml:space="preserve">Bill Michaud:
Input Items such as:
Linen Inventory
Deep Cleaning Rooms
Cleaning Carpets
Rotating Mattresses
Doing Supply Inv / Order
</t>
        </r>
      </text>
    </comment>
    <comment ref="J84" authorId="0" shapeId="0" xr:uid="{3C1E459D-DB3B-414B-915C-68B9BD9BFB9E}">
      <text>
        <r>
          <rPr>
            <sz val="11"/>
            <color theme="1"/>
            <rFont val="Calibri"/>
            <family val="2"/>
            <scheme val="minor"/>
          </rPr>
          <t xml:space="preserve">Bill Michaud:
Do Not Count DND's, Verbal DND's or any other rooms which were assigned but not cleaned. </t>
        </r>
      </text>
    </comment>
    <comment ref="T94" authorId="0" shapeId="0" xr:uid="{81E72529-F7A2-4840-BB9E-DC0A0FEE1C74}">
      <text>
        <r>
          <rPr>
            <b/>
            <sz val="9"/>
            <color indexed="81"/>
            <rFont val="Tahoma"/>
            <family val="2"/>
          </rPr>
          <t>Bill Michaud:</t>
        </r>
        <r>
          <rPr>
            <sz val="9"/>
            <color indexed="81"/>
            <rFont val="Tahoma"/>
            <family val="2"/>
          </rPr>
          <t xml:space="preserve">
Minutes input here will be added to the "Calculated Minutes" number in cell P20</t>
        </r>
      </text>
    </comment>
    <comment ref="N95" authorId="0" shapeId="0" xr:uid="{A68204D4-4832-45F0-AE37-5FF6B88DC8F7}">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95" authorId="0" shapeId="0" xr:uid="{BA59E11C-AE90-4199-9E5B-206A2579E916}">
      <text>
        <r>
          <rPr>
            <sz val="11"/>
            <color theme="1"/>
            <rFont val="Calibri"/>
            <family val="2"/>
            <scheme val="minor"/>
          </rPr>
          <t xml:space="preserve">Bill Michaud:
Input Items such as:
Linen Inventory
Deep Cleaning Rooms
Cleaning Carpets
Rotating Mattresses
Doing Supply Inv / Order
</t>
        </r>
      </text>
    </comment>
    <comment ref="J97" authorId="0" shapeId="0" xr:uid="{353EA364-5FBE-4334-8E51-F19ECCB32C0F}">
      <text>
        <r>
          <rPr>
            <sz val="11"/>
            <color theme="1"/>
            <rFont val="Calibri"/>
            <family val="2"/>
            <scheme val="minor"/>
          </rPr>
          <t xml:space="preserve">Bill Michaud:
Do Not Count DND's, Verbal DND's or any other rooms which were assigned but not cleaned. </t>
        </r>
      </text>
    </comment>
    <comment ref="T107" authorId="0" shapeId="0" xr:uid="{1F2CDAA3-DF30-4616-8CBE-7DECC2CC3354}">
      <text>
        <r>
          <rPr>
            <b/>
            <sz val="9"/>
            <color indexed="81"/>
            <rFont val="Tahoma"/>
            <family val="2"/>
          </rPr>
          <t>Bill Michaud:</t>
        </r>
        <r>
          <rPr>
            <sz val="9"/>
            <color indexed="81"/>
            <rFont val="Tahoma"/>
            <family val="2"/>
          </rPr>
          <t xml:space="preserve">
Minutes input here will be added to the "Calculated Minutes" number in cell P20</t>
        </r>
      </text>
    </comment>
    <comment ref="N108" authorId="0" shapeId="0" xr:uid="{177D96E8-4BB9-449B-AC44-1D3E21180A9E}">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08" authorId="0" shapeId="0" xr:uid="{D5B8788D-7442-4B28-9376-648B97F7A191}">
      <text>
        <r>
          <rPr>
            <sz val="11"/>
            <color theme="1"/>
            <rFont val="Calibri"/>
            <family val="2"/>
            <scheme val="minor"/>
          </rPr>
          <t xml:space="preserve">Bill Michaud:
Input Items such as:
Linen Inventory
Deep Cleaning Rooms
Cleaning Carpets
Rotating Mattresses
Doing Supply Inv / Order
</t>
        </r>
      </text>
    </comment>
    <comment ref="J110" authorId="0" shapeId="0" xr:uid="{BEF0129D-C9EE-438E-973A-26BBE8D90E0C}">
      <text>
        <r>
          <rPr>
            <sz val="11"/>
            <color theme="1"/>
            <rFont val="Calibri"/>
            <family val="2"/>
            <scheme val="minor"/>
          </rPr>
          <t xml:space="preserve">Bill Michaud:
Do Not Count DND's, Verbal DND's or any other rooms which were assigned but not cleaned. </t>
        </r>
      </text>
    </comment>
    <comment ref="T120" authorId="0" shapeId="0" xr:uid="{1E6C1561-2D00-43D1-822F-C75A403B1855}">
      <text>
        <r>
          <rPr>
            <b/>
            <sz val="9"/>
            <color indexed="81"/>
            <rFont val="Tahoma"/>
            <family val="2"/>
          </rPr>
          <t>Bill Michaud:</t>
        </r>
        <r>
          <rPr>
            <sz val="9"/>
            <color indexed="81"/>
            <rFont val="Tahoma"/>
            <family val="2"/>
          </rPr>
          <t xml:space="preserve">
Minutes input here will be added to the "Calculated Minutes" number in cell P20</t>
        </r>
      </text>
    </comment>
    <comment ref="N121" authorId="0" shapeId="0" xr:uid="{C4F95515-B248-406E-ABAC-A39C1E7ACB0E}">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21" authorId="0" shapeId="0" xr:uid="{CCF0DD76-73BE-4CAE-85C3-E3DA4F929A4D}">
      <text>
        <r>
          <rPr>
            <sz val="11"/>
            <color theme="1"/>
            <rFont val="Calibri"/>
            <family val="2"/>
            <scheme val="minor"/>
          </rPr>
          <t xml:space="preserve">Bill Michaud:
Input Items such as:
Linen Inventory
Deep Cleaning Rooms
Cleaning Carpets
Rotating Mattresses
Doing Supply Inv / Order
</t>
        </r>
      </text>
    </comment>
    <comment ref="J123" authorId="0" shapeId="0" xr:uid="{F6267061-6EBF-417E-A572-9F5B45D60817}">
      <text>
        <r>
          <rPr>
            <sz val="11"/>
            <color theme="1"/>
            <rFont val="Calibri"/>
            <family val="2"/>
            <scheme val="minor"/>
          </rPr>
          <t xml:space="preserve">Bill Michaud:
Do Not Count DND's, Verbal DND's or any other rooms which were assigned but not cleaned. </t>
        </r>
      </text>
    </comment>
    <comment ref="T133" authorId="0" shapeId="0" xr:uid="{B5739230-7158-4FA1-854E-8B4993D87C68}">
      <text>
        <r>
          <rPr>
            <b/>
            <sz val="9"/>
            <color indexed="81"/>
            <rFont val="Tahoma"/>
            <family val="2"/>
          </rPr>
          <t>Bill Michaud:</t>
        </r>
        <r>
          <rPr>
            <sz val="9"/>
            <color indexed="81"/>
            <rFont val="Tahoma"/>
            <family val="2"/>
          </rPr>
          <t xml:space="preserve">
Minutes input here will be added to the "Calculated Minutes" number in cell P20</t>
        </r>
      </text>
    </comment>
    <comment ref="N134" authorId="0" shapeId="0" xr:uid="{7C8094D9-3CF9-40E2-A1E8-41B053C70D04}">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34" authorId="0" shapeId="0" xr:uid="{B571E73F-E205-4337-9E33-2BA4443E9A9B}">
      <text>
        <r>
          <rPr>
            <sz val="11"/>
            <color theme="1"/>
            <rFont val="Calibri"/>
            <family val="2"/>
            <scheme val="minor"/>
          </rPr>
          <t xml:space="preserve">Bill Michaud:
Input Items such as:
Linen Inventory
Deep Cleaning Rooms
Cleaning Carpets
Rotating Mattresses
Doing Supply Inv / Order
</t>
        </r>
      </text>
    </comment>
    <comment ref="J136" authorId="0" shapeId="0" xr:uid="{06DFB2E4-8784-4230-9BB7-FDD6D8D70973}">
      <text>
        <r>
          <rPr>
            <sz val="11"/>
            <color theme="1"/>
            <rFont val="Calibri"/>
            <family val="2"/>
            <scheme val="minor"/>
          </rPr>
          <t xml:space="preserve">Bill Michaud:
Do Not Count DND's, Verbal DND's or any other rooms which were assigned but not cleaned. </t>
        </r>
      </text>
    </comment>
    <comment ref="T146" authorId="0" shapeId="0" xr:uid="{5FFC2EA9-AC77-4855-9890-D7FEED9D3533}">
      <text>
        <r>
          <rPr>
            <b/>
            <sz val="9"/>
            <color indexed="81"/>
            <rFont val="Tahoma"/>
            <family val="2"/>
          </rPr>
          <t>Bill Michaud:</t>
        </r>
        <r>
          <rPr>
            <sz val="9"/>
            <color indexed="81"/>
            <rFont val="Tahoma"/>
            <family val="2"/>
          </rPr>
          <t xml:space="preserve">
Minutes input here will be added to the "Calculated Minutes" number in cell P20</t>
        </r>
      </text>
    </comment>
    <comment ref="N147" authorId="0" shapeId="0" xr:uid="{85AC11A3-7709-4B34-861B-E6481A0DEEF5}">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47" authorId="0" shapeId="0" xr:uid="{82ED2143-3DD4-4A39-A4B7-E8443F7FDED8}">
      <text>
        <r>
          <rPr>
            <sz val="11"/>
            <color theme="1"/>
            <rFont val="Calibri"/>
            <family val="2"/>
            <scheme val="minor"/>
          </rPr>
          <t xml:space="preserve">Bill Michaud:
Input Items such as:
Linen Inventory
Deep Cleaning Rooms
Cleaning Carpets
Rotating Mattresses
Doing Supply Inv / Order
</t>
        </r>
      </text>
    </comment>
    <comment ref="J149" authorId="0" shapeId="0" xr:uid="{0CE86B3B-E704-4BE1-A566-A50C9EF8A453}">
      <text>
        <r>
          <rPr>
            <sz val="11"/>
            <color theme="1"/>
            <rFont val="Calibri"/>
            <family val="2"/>
            <scheme val="minor"/>
          </rPr>
          <t xml:space="preserve">Bill Michaud:
Do Not Count DND's, Verbal DND's or any other rooms which were assigned but not cleaned. </t>
        </r>
      </text>
    </comment>
    <comment ref="T159" authorId="0" shapeId="0" xr:uid="{AFFBBBF4-012C-4D7E-8701-9BD724F68B4A}">
      <text>
        <r>
          <rPr>
            <b/>
            <sz val="9"/>
            <color indexed="81"/>
            <rFont val="Tahoma"/>
            <family val="2"/>
          </rPr>
          <t>Bill Michaud:</t>
        </r>
        <r>
          <rPr>
            <sz val="9"/>
            <color indexed="81"/>
            <rFont val="Tahoma"/>
            <family val="2"/>
          </rPr>
          <t xml:space="preserve">
Minutes input here will be added to the "Calculated Minutes" number in cell P20</t>
        </r>
      </text>
    </comment>
    <comment ref="N160" authorId="0" shapeId="0" xr:uid="{648DC611-6621-4DE6-8E69-F20965398023}">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60" authorId="0" shapeId="0" xr:uid="{429E003B-1B6F-4EB4-90A1-464355DE6C89}">
      <text>
        <r>
          <rPr>
            <sz val="11"/>
            <color theme="1"/>
            <rFont val="Calibri"/>
            <family val="2"/>
            <scheme val="minor"/>
          </rPr>
          <t xml:space="preserve">Bill Michaud:
Input Items such as:
Linen Inventory
Deep Cleaning Rooms
Cleaning Carpets
Rotating Mattresses
Doing Supply Inv / Order
</t>
        </r>
      </text>
    </comment>
    <comment ref="J162" authorId="0" shapeId="0" xr:uid="{FD526FEF-75A8-42B1-A703-AB27281D18D5}">
      <text>
        <r>
          <rPr>
            <sz val="11"/>
            <color theme="1"/>
            <rFont val="Calibri"/>
            <family val="2"/>
            <scheme val="minor"/>
          </rPr>
          <t xml:space="preserve">Bill Michaud:
Do Not Count DND's, Verbal DND's or any other rooms which were assigned but not cleaned. </t>
        </r>
      </text>
    </comment>
    <comment ref="T172" authorId="0" shapeId="0" xr:uid="{FB8368F4-D4D2-492F-9EF6-1E84632FF108}">
      <text>
        <r>
          <rPr>
            <b/>
            <sz val="9"/>
            <color indexed="81"/>
            <rFont val="Tahoma"/>
            <family val="2"/>
          </rPr>
          <t>Bill Michaud:</t>
        </r>
        <r>
          <rPr>
            <sz val="9"/>
            <color indexed="81"/>
            <rFont val="Tahoma"/>
            <family val="2"/>
          </rPr>
          <t xml:space="preserve">
Minutes input here will be added to the "Calculated Minutes" number in cell P20</t>
        </r>
      </text>
    </comment>
    <comment ref="N173" authorId="0" shapeId="0" xr:uid="{7DC79A7B-D5E1-45BC-AF85-E9070FCB4F60}">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73" authorId="0" shapeId="0" xr:uid="{0251CA7A-2942-4638-BEE9-8F25D45D8F08}">
      <text>
        <r>
          <rPr>
            <sz val="11"/>
            <color theme="1"/>
            <rFont val="Calibri"/>
            <family val="2"/>
            <scheme val="minor"/>
          </rPr>
          <t xml:space="preserve">Bill Michaud:
Input Items such as:
Linen Inventory
Deep Cleaning Rooms
Cleaning Carpets
Rotating Mattresses
Doing Supply Inv / Order
</t>
        </r>
      </text>
    </comment>
    <comment ref="J175" authorId="0" shapeId="0" xr:uid="{317ACDFA-29F6-412A-8528-F6EB13520F51}">
      <text>
        <r>
          <rPr>
            <sz val="11"/>
            <color theme="1"/>
            <rFont val="Calibri"/>
            <family val="2"/>
            <scheme val="minor"/>
          </rPr>
          <t xml:space="preserve">Bill Michaud:
Do Not Count DND's, Verbal DND's or any other rooms which were assigned but not cleaned. </t>
        </r>
      </text>
    </comment>
    <comment ref="T185" authorId="0" shapeId="0" xr:uid="{A6B5B7B9-1E41-4628-A8D9-4F8B0B806A6D}">
      <text>
        <r>
          <rPr>
            <b/>
            <sz val="9"/>
            <color indexed="81"/>
            <rFont val="Tahoma"/>
            <family val="2"/>
          </rPr>
          <t>Bill Michaud:</t>
        </r>
        <r>
          <rPr>
            <sz val="9"/>
            <color indexed="81"/>
            <rFont val="Tahoma"/>
            <family val="2"/>
          </rPr>
          <t xml:space="preserve">
Minutes input here will be added to the "Calculated Minutes" number in cell P20</t>
        </r>
      </text>
    </comment>
    <comment ref="N186" authorId="0" shapeId="0" xr:uid="{82987097-D1E2-48EE-A2EC-4738E2FF886B}">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86" authorId="0" shapeId="0" xr:uid="{6E8BA1C7-4925-4FDD-B8F4-E9D83EDEE398}">
      <text>
        <r>
          <rPr>
            <sz val="11"/>
            <color theme="1"/>
            <rFont val="Calibri"/>
            <family val="2"/>
            <scheme val="minor"/>
          </rPr>
          <t xml:space="preserve">Bill Michaud:
Input Items such as:
Linen Inventory
Deep Cleaning Rooms
Cleaning Carpets
Rotating Mattresses
Doing Supply Inv / Order
</t>
        </r>
      </text>
    </comment>
    <comment ref="J188" authorId="0" shapeId="0" xr:uid="{F845C7A6-5B4C-46CA-BFFE-CCB1D18931F0}">
      <text>
        <r>
          <rPr>
            <sz val="11"/>
            <color theme="1"/>
            <rFont val="Calibri"/>
            <family val="2"/>
            <scheme val="minor"/>
          </rPr>
          <t xml:space="preserve">Bill Michaud:
Do Not Count DND's, Verbal DND's or any other rooms which were assigned but not cleaned. </t>
        </r>
      </text>
    </comment>
    <comment ref="T198" authorId="0" shapeId="0" xr:uid="{0F08AC25-ECE7-4BDD-A4F4-C75BE34A9291}">
      <text>
        <r>
          <rPr>
            <b/>
            <sz val="9"/>
            <color indexed="81"/>
            <rFont val="Tahoma"/>
            <family val="2"/>
          </rPr>
          <t>Bill Michaud:</t>
        </r>
        <r>
          <rPr>
            <sz val="9"/>
            <color indexed="81"/>
            <rFont val="Tahoma"/>
            <family val="2"/>
          </rPr>
          <t xml:space="preserve">
Minutes input here will be added to the "Calculated Minutes" number in cell P20</t>
        </r>
      </text>
    </comment>
    <comment ref="N199" authorId="0" shapeId="0" xr:uid="{343B156A-76CD-415D-A7F7-92DAB4935510}">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99" authorId="0" shapeId="0" xr:uid="{D462A5E7-1E31-49C2-B102-F3A609F6D817}">
      <text>
        <r>
          <rPr>
            <sz val="11"/>
            <color theme="1"/>
            <rFont val="Calibri"/>
            <family val="2"/>
            <scheme val="minor"/>
          </rPr>
          <t xml:space="preserve">Bill Michaud:
Input Items such as:
Linen Inventory
Deep Cleaning Rooms
Cleaning Carpets
Rotating Mattresses
Doing Supply Inv / Order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Bill Michaud</author>
  </authors>
  <commentList>
    <comment ref="J6" authorId="0" shapeId="0" xr:uid="{C16C21DF-6D15-4074-BC7B-A03123C1527A}">
      <text>
        <r>
          <rPr>
            <sz val="11"/>
            <color theme="1"/>
            <rFont val="Calibri"/>
            <family val="2"/>
            <scheme val="minor"/>
          </rPr>
          <t xml:space="preserve">Bill Michaud:
Do Not Count DND's, Verbal DND's or any other rooms which were assigned but not cleaned. </t>
        </r>
      </text>
    </comment>
    <comment ref="T16" authorId="0" shapeId="0" xr:uid="{7D43E04B-20F3-4917-9679-B84CF7853E6B}">
      <text>
        <r>
          <rPr>
            <b/>
            <sz val="9"/>
            <color indexed="81"/>
            <rFont val="Tahoma"/>
            <family val="2"/>
          </rPr>
          <t>Bill Michaud:</t>
        </r>
        <r>
          <rPr>
            <sz val="9"/>
            <color indexed="81"/>
            <rFont val="Tahoma"/>
            <family val="2"/>
          </rPr>
          <t xml:space="preserve">
Minutes input here will be added to the "Calculated Minutes" number in cell P20</t>
        </r>
      </text>
    </comment>
    <comment ref="N17" authorId="0" shapeId="0" xr:uid="{DFBA0A20-23BF-44B1-8084-B6930AED70AA}">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7" authorId="0" shapeId="0" xr:uid="{97DEB86B-8F2A-4202-95E2-D042BB53EBA6}">
      <text>
        <r>
          <rPr>
            <sz val="11"/>
            <color theme="1"/>
            <rFont val="Calibri"/>
            <family val="2"/>
            <scheme val="minor"/>
          </rPr>
          <t xml:space="preserve">Bill Michaud:
Input Items such as:
Linen Inventory
Deep Cleaning Rooms
Cleaning Carpets
Rotating Mattresses
Doing Supply Inv / Order
</t>
        </r>
      </text>
    </comment>
    <comment ref="J19" authorId="0" shapeId="0" xr:uid="{C63CF9E3-27A0-4CEC-B73D-0E72CC542BA2}">
      <text>
        <r>
          <rPr>
            <sz val="11"/>
            <color theme="1"/>
            <rFont val="Calibri"/>
            <family val="2"/>
            <scheme val="minor"/>
          </rPr>
          <t xml:space="preserve">Bill Michaud:
Do Not Count DND's, Verbal DND's or any other rooms which were assigned but not cleaned. </t>
        </r>
      </text>
    </comment>
    <comment ref="T29" authorId="0" shapeId="0" xr:uid="{990AAC9A-FB5C-44C3-B6B9-504F469AD36F}">
      <text>
        <r>
          <rPr>
            <b/>
            <sz val="9"/>
            <color indexed="81"/>
            <rFont val="Tahoma"/>
            <family val="2"/>
          </rPr>
          <t>Bill Michaud:</t>
        </r>
        <r>
          <rPr>
            <sz val="9"/>
            <color indexed="81"/>
            <rFont val="Tahoma"/>
            <family val="2"/>
          </rPr>
          <t xml:space="preserve">
Minutes input here will be added to the "Calculated Minutes" number in cell P20</t>
        </r>
      </text>
    </comment>
    <comment ref="N30" authorId="0" shapeId="0" xr:uid="{84837071-B0B5-4CA7-BEC5-E5179BBBE559}">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30" authorId="0" shapeId="0" xr:uid="{25990023-FAFC-46E0-A0DD-3F011CF21045}">
      <text>
        <r>
          <rPr>
            <sz val="11"/>
            <color theme="1"/>
            <rFont val="Calibri"/>
            <family val="2"/>
            <scheme val="minor"/>
          </rPr>
          <t xml:space="preserve">Bill Michaud:
Input Items such as:
Linen Inventory
Deep Cleaning Rooms
Cleaning Carpets
Rotating Mattresses
Doing Supply Inv / Order
</t>
        </r>
      </text>
    </comment>
    <comment ref="J32" authorId="0" shapeId="0" xr:uid="{E62E179D-0C47-4164-8A8F-30E0C30117EA}">
      <text>
        <r>
          <rPr>
            <sz val="11"/>
            <color theme="1"/>
            <rFont val="Calibri"/>
            <family val="2"/>
            <scheme val="minor"/>
          </rPr>
          <t xml:space="preserve">Bill Michaud:
Do Not Count DND's, Verbal DND's or any other rooms which were assigned but not cleaned. </t>
        </r>
      </text>
    </comment>
    <comment ref="T42" authorId="0" shapeId="0" xr:uid="{9B2C0F94-2035-4D29-8714-35A6252B0EFA}">
      <text>
        <r>
          <rPr>
            <b/>
            <sz val="9"/>
            <color indexed="81"/>
            <rFont val="Tahoma"/>
            <family val="2"/>
          </rPr>
          <t>Bill Michaud:</t>
        </r>
        <r>
          <rPr>
            <sz val="9"/>
            <color indexed="81"/>
            <rFont val="Tahoma"/>
            <family val="2"/>
          </rPr>
          <t xml:space="preserve">
Minutes input here will be added to the "Calculated Minutes" number in cell P20</t>
        </r>
      </text>
    </comment>
    <comment ref="N43" authorId="0" shapeId="0" xr:uid="{D489D40C-B6DE-45D7-9EE5-AE99F3DE9E5B}">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43" authorId="0" shapeId="0" xr:uid="{8F2D545A-4D2C-4A22-A41D-ED16BA8CA52B}">
      <text>
        <r>
          <rPr>
            <sz val="11"/>
            <color theme="1"/>
            <rFont val="Calibri"/>
            <family val="2"/>
            <scheme val="minor"/>
          </rPr>
          <t xml:space="preserve">Bill Michaud:
Input Items such as:
Linen Inventory
Deep Cleaning Rooms
Cleaning Carpets
Rotating Mattresses
Doing Supply Inv / Order
</t>
        </r>
      </text>
    </comment>
    <comment ref="J45" authorId="0" shapeId="0" xr:uid="{D50A718F-0385-4626-A2EA-1CC22DDB7A24}">
      <text>
        <r>
          <rPr>
            <sz val="11"/>
            <color theme="1"/>
            <rFont val="Calibri"/>
            <family val="2"/>
            <scheme val="minor"/>
          </rPr>
          <t xml:space="preserve">Bill Michaud:
Do Not Count DND's, Verbal DND's or any other rooms which were assigned but not cleaned. </t>
        </r>
      </text>
    </comment>
    <comment ref="T55" authorId="0" shapeId="0" xr:uid="{892A6EDA-6760-4393-9796-5EC0733FDAA6}">
      <text>
        <r>
          <rPr>
            <b/>
            <sz val="9"/>
            <color indexed="81"/>
            <rFont val="Tahoma"/>
            <family val="2"/>
          </rPr>
          <t>Bill Michaud:</t>
        </r>
        <r>
          <rPr>
            <sz val="9"/>
            <color indexed="81"/>
            <rFont val="Tahoma"/>
            <family val="2"/>
          </rPr>
          <t xml:space="preserve">
Minutes input here will be added to the "Calculated Minutes" number in cell P20</t>
        </r>
      </text>
    </comment>
    <comment ref="N56" authorId="0" shapeId="0" xr:uid="{06BD7F2E-34C1-46E8-8DBC-0C8D742E27BF}">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56" authorId="0" shapeId="0" xr:uid="{A8581C2E-4A52-413D-93A8-361B8AED0C6E}">
      <text>
        <r>
          <rPr>
            <sz val="11"/>
            <color theme="1"/>
            <rFont val="Calibri"/>
            <family val="2"/>
            <scheme val="minor"/>
          </rPr>
          <t xml:space="preserve">Bill Michaud:
Input Items such as:
Linen Inventory
Deep Cleaning Rooms
Cleaning Carpets
Rotating Mattresses
Doing Supply Inv / Order
</t>
        </r>
      </text>
    </comment>
    <comment ref="J58" authorId="0" shapeId="0" xr:uid="{E779E9FB-DB41-4BB4-A2CB-6DFDAA81AEF7}">
      <text>
        <r>
          <rPr>
            <sz val="11"/>
            <color theme="1"/>
            <rFont val="Calibri"/>
            <family val="2"/>
            <scheme val="minor"/>
          </rPr>
          <t xml:space="preserve">Bill Michaud:
Do Not Count DND's, Verbal DND's or any other rooms which were assigned but not cleaned. </t>
        </r>
      </text>
    </comment>
    <comment ref="T68" authorId="0" shapeId="0" xr:uid="{629511A3-9CA6-4DF9-A886-7E18A10EE71E}">
      <text>
        <r>
          <rPr>
            <b/>
            <sz val="9"/>
            <color indexed="81"/>
            <rFont val="Tahoma"/>
            <family val="2"/>
          </rPr>
          <t>Bill Michaud:</t>
        </r>
        <r>
          <rPr>
            <sz val="9"/>
            <color indexed="81"/>
            <rFont val="Tahoma"/>
            <family val="2"/>
          </rPr>
          <t xml:space="preserve">
Minutes input here will be added to the "Calculated Minutes" number in cell P20</t>
        </r>
      </text>
    </comment>
    <comment ref="N69" authorId="0" shapeId="0" xr:uid="{4FCC554B-21F0-42D5-8837-F2D5025E58E5}">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69" authorId="0" shapeId="0" xr:uid="{5E78BE8E-4C21-451A-BBAB-E345EB95B8EE}">
      <text>
        <r>
          <rPr>
            <sz val="11"/>
            <color theme="1"/>
            <rFont val="Calibri"/>
            <family val="2"/>
            <scheme val="minor"/>
          </rPr>
          <t xml:space="preserve">Bill Michaud:
Input Items such as:
Linen Inventory
Deep Cleaning Rooms
Cleaning Carpets
Rotating Mattresses
Doing Supply Inv / Order
</t>
        </r>
      </text>
    </comment>
    <comment ref="J71" authorId="0" shapeId="0" xr:uid="{600A9D0D-63F6-446E-8041-0FEA53DBFCF1}">
      <text>
        <r>
          <rPr>
            <sz val="11"/>
            <color theme="1"/>
            <rFont val="Calibri"/>
            <family val="2"/>
            <scheme val="minor"/>
          </rPr>
          <t xml:space="preserve">Bill Michaud:
Do Not Count DND's, Verbal DND's or any other rooms which were assigned but not cleaned. </t>
        </r>
      </text>
    </comment>
    <comment ref="T81" authorId="0" shapeId="0" xr:uid="{94D4A1CD-C6DA-4767-AD54-4317E1CC2805}">
      <text>
        <r>
          <rPr>
            <b/>
            <sz val="9"/>
            <color indexed="81"/>
            <rFont val="Tahoma"/>
            <family val="2"/>
          </rPr>
          <t>Bill Michaud:</t>
        </r>
        <r>
          <rPr>
            <sz val="9"/>
            <color indexed="81"/>
            <rFont val="Tahoma"/>
            <family val="2"/>
          </rPr>
          <t xml:space="preserve">
Minutes input here will be added to the "Calculated Minutes" number in cell P20</t>
        </r>
      </text>
    </comment>
    <comment ref="N82" authorId="0" shapeId="0" xr:uid="{A686E653-3109-4EDB-94D0-A3C8DF95F16A}">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82" authorId="0" shapeId="0" xr:uid="{414A366D-33BB-4FD6-9FA5-000736D1F46F}">
      <text>
        <r>
          <rPr>
            <sz val="11"/>
            <color theme="1"/>
            <rFont val="Calibri"/>
            <family val="2"/>
            <scheme val="minor"/>
          </rPr>
          <t xml:space="preserve">Bill Michaud:
Input Items such as:
Linen Inventory
Deep Cleaning Rooms
Cleaning Carpets
Rotating Mattresses
Doing Supply Inv / Order
</t>
        </r>
      </text>
    </comment>
    <comment ref="J84" authorId="0" shapeId="0" xr:uid="{AC25B82C-FDCF-4D53-88B3-6CD5F7454AC3}">
      <text>
        <r>
          <rPr>
            <sz val="11"/>
            <color theme="1"/>
            <rFont val="Calibri"/>
            <family val="2"/>
            <scheme val="minor"/>
          </rPr>
          <t xml:space="preserve">Bill Michaud:
Do Not Count DND's, Verbal DND's or any other rooms which were assigned but not cleaned. </t>
        </r>
      </text>
    </comment>
    <comment ref="T94" authorId="0" shapeId="0" xr:uid="{DCE94CDA-C6AF-4CFB-86DE-8AB5694525A1}">
      <text>
        <r>
          <rPr>
            <b/>
            <sz val="9"/>
            <color indexed="81"/>
            <rFont val="Tahoma"/>
            <family val="2"/>
          </rPr>
          <t>Bill Michaud:</t>
        </r>
        <r>
          <rPr>
            <sz val="9"/>
            <color indexed="81"/>
            <rFont val="Tahoma"/>
            <family val="2"/>
          </rPr>
          <t xml:space="preserve">
Minutes input here will be added to the "Calculated Minutes" number in cell P20</t>
        </r>
      </text>
    </comment>
    <comment ref="N95" authorId="0" shapeId="0" xr:uid="{B940F28F-6D70-4EF0-BA9D-8556A72B4FDE}">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95" authorId="0" shapeId="0" xr:uid="{F268DDF2-8656-409B-9996-8F853102E94C}">
      <text>
        <r>
          <rPr>
            <sz val="11"/>
            <color theme="1"/>
            <rFont val="Calibri"/>
            <family val="2"/>
            <scheme val="minor"/>
          </rPr>
          <t xml:space="preserve">Bill Michaud:
Input Items such as:
Linen Inventory
Deep Cleaning Rooms
Cleaning Carpets
Rotating Mattresses
Doing Supply Inv / Order
</t>
        </r>
      </text>
    </comment>
    <comment ref="J97" authorId="0" shapeId="0" xr:uid="{C971703E-9907-48FA-8E99-CAAE4A521E94}">
      <text>
        <r>
          <rPr>
            <sz val="11"/>
            <color theme="1"/>
            <rFont val="Calibri"/>
            <family val="2"/>
            <scheme val="minor"/>
          </rPr>
          <t xml:space="preserve">Bill Michaud:
Do Not Count DND's, Verbal DND's or any other rooms which were assigned but not cleaned. </t>
        </r>
      </text>
    </comment>
    <comment ref="T107" authorId="0" shapeId="0" xr:uid="{7B855428-D211-4417-8C58-C92F3E98CEC1}">
      <text>
        <r>
          <rPr>
            <b/>
            <sz val="9"/>
            <color indexed="81"/>
            <rFont val="Tahoma"/>
            <family val="2"/>
          </rPr>
          <t>Bill Michaud:</t>
        </r>
        <r>
          <rPr>
            <sz val="9"/>
            <color indexed="81"/>
            <rFont val="Tahoma"/>
            <family val="2"/>
          </rPr>
          <t xml:space="preserve">
Minutes input here will be added to the "Calculated Minutes" number in cell P20</t>
        </r>
      </text>
    </comment>
    <comment ref="N108" authorId="0" shapeId="0" xr:uid="{B1802618-1A23-41A3-95D1-ABDBA6A0FBF3}">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08" authorId="0" shapeId="0" xr:uid="{945F0FA1-6BC1-45B5-B2D2-03CC0A991CA9}">
      <text>
        <r>
          <rPr>
            <sz val="11"/>
            <color theme="1"/>
            <rFont val="Calibri"/>
            <family val="2"/>
            <scheme val="minor"/>
          </rPr>
          <t xml:space="preserve">Bill Michaud:
Input Items such as:
Linen Inventory
Deep Cleaning Rooms
Cleaning Carpets
Rotating Mattresses
Doing Supply Inv / Order
</t>
        </r>
      </text>
    </comment>
    <comment ref="J110" authorId="0" shapeId="0" xr:uid="{E7F8EBA8-715F-4910-9D03-B6F0525DE25D}">
      <text>
        <r>
          <rPr>
            <sz val="11"/>
            <color theme="1"/>
            <rFont val="Calibri"/>
            <family val="2"/>
            <scheme val="minor"/>
          </rPr>
          <t xml:space="preserve">Bill Michaud:
Do Not Count DND's, Verbal DND's or any other rooms which were assigned but not cleaned. </t>
        </r>
      </text>
    </comment>
    <comment ref="T120" authorId="0" shapeId="0" xr:uid="{2E4FFB9A-371E-4137-93BD-48C028F1778B}">
      <text>
        <r>
          <rPr>
            <b/>
            <sz val="9"/>
            <color indexed="81"/>
            <rFont val="Tahoma"/>
            <family val="2"/>
          </rPr>
          <t>Bill Michaud:</t>
        </r>
        <r>
          <rPr>
            <sz val="9"/>
            <color indexed="81"/>
            <rFont val="Tahoma"/>
            <family val="2"/>
          </rPr>
          <t xml:space="preserve">
Minutes input here will be added to the "Calculated Minutes" number in cell P20</t>
        </r>
      </text>
    </comment>
    <comment ref="N121" authorId="0" shapeId="0" xr:uid="{13C52C51-223B-4D47-9BCF-693B583E8AB7}">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21" authorId="0" shapeId="0" xr:uid="{4716D2E9-C673-435A-885E-8424277C18EA}">
      <text>
        <r>
          <rPr>
            <sz val="11"/>
            <color theme="1"/>
            <rFont val="Calibri"/>
            <family val="2"/>
            <scheme val="minor"/>
          </rPr>
          <t xml:space="preserve">Bill Michaud:
Input Items such as:
Linen Inventory
Deep Cleaning Rooms
Cleaning Carpets
Rotating Mattresses
Doing Supply Inv / Order
</t>
        </r>
      </text>
    </comment>
    <comment ref="J123" authorId="0" shapeId="0" xr:uid="{84F42B21-5646-49DE-8CF4-554C0F54EB6E}">
      <text>
        <r>
          <rPr>
            <sz val="11"/>
            <color theme="1"/>
            <rFont val="Calibri"/>
            <family val="2"/>
            <scheme val="minor"/>
          </rPr>
          <t xml:space="preserve">Bill Michaud:
Do Not Count DND's, Verbal DND's or any other rooms which were assigned but not cleaned. </t>
        </r>
      </text>
    </comment>
    <comment ref="T133" authorId="0" shapeId="0" xr:uid="{CA9B4615-D490-4DAF-B068-A6C72FC2E0FE}">
      <text>
        <r>
          <rPr>
            <b/>
            <sz val="9"/>
            <color indexed="81"/>
            <rFont val="Tahoma"/>
            <family val="2"/>
          </rPr>
          <t>Bill Michaud:</t>
        </r>
        <r>
          <rPr>
            <sz val="9"/>
            <color indexed="81"/>
            <rFont val="Tahoma"/>
            <family val="2"/>
          </rPr>
          <t xml:space="preserve">
Minutes input here will be added to the "Calculated Minutes" number in cell P20</t>
        </r>
      </text>
    </comment>
    <comment ref="N134" authorId="0" shapeId="0" xr:uid="{CB9421B6-7B59-479A-BE68-7BE76C1BFE29}">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34" authorId="0" shapeId="0" xr:uid="{1FC495D8-D0EA-48DD-B46F-B079BECC1002}">
      <text>
        <r>
          <rPr>
            <sz val="11"/>
            <color theme="1"/>
            <rFont val="Calibri"/>
            <family val="2"/>
            <scheme val="minor"/>
          </rPr>
          <t xml:space="preserve">Bill Michaud:
Input Items such as:
Linen Inventory
Deep Cleaning Rooms
Cleaning Carpets
Rotating Mattresses
Doing Supply Inv / Order
</t>
        </r>
      </text>
    </comment>
    <comment ref="J136" authorId="0" shapeId="0" xr:uid="{AAD5BADE-5E3A-4759-AA29-48D2B849F3A0}">
      <text>
        <r>
          <rPr>
            <sz val="11"/>
            <color theme="1"/>
            <rFont val="Calibri"/>
            <family val="2"/>
            <scheme val="minor"/>
          </rPr>
          <t xml:space="preserve">Bill Michaud:
Do Not Count DND's, Verbal DND's or any other rooms which were assigned but not cleaned. </t>
        </r>
      </text>
    </comment>
    <comment ref="T146" authorId="0" shapeId="0" xr:uid="{B04E7A09-A089-4EF2-9573-54FDF2DDB7A0}">
      <text>
        <r>
          <rPr>
            <b/>
            <sz val="9"/>
            <color indexed="81"/>
            <rFont val="Tahoma"/>
            <family val="2"/>
          </rPr>
          <t>Bill Michaud:</t>
        </r>
        <r>
          <rPr>
            <sz val="9"/>
            <color indexed="81"/>
            <rFont val="Tahoma"/>
            <family val="2"/>
          </rPr>
          <t xml:space="preserve">
Minutes input here will be added to the "Calculated Minutes" number in cell P20</t>
        </r>
      </text>
    </comment>
    <comment ref="N147" authorId="0" shapeId="0" xr:uid="{5306B9D8-AB1B-4B56-9C63-7639DF87001F}">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47" authorId="0" shapeId="0" xr:uid="{EA6F2241-CED9-43C3-8F12-FE0B5BA1F64C}">
      <text>
        <r>
          <rPr>
            <sz val="11"/>
            <color theme="1"/>
            <rFont val="Calibri"/>
            <family val="2"/>
            <scheme val="minor"/>
          </rPr>
          <t xml:space="preserve">Bill Michaud:
Input Items such as:
Linen Inventory
Deep Cleaning Rooms
Cleaning Carpets
Rotating Mattresses
Doing Supply Inv / Order
</t>
        </r>
      </text>
    </comment>
    <comment ref="J149" authorId="0" shapeId="0" xr:uid="{5F3D420B-BB9F-48EC-B5E6-D4923208E11A}">
      <text>
        <r>
          <rPr>
            <sz val="11"/>
            <color theme="1"/>
            <rFont val="Calibri"/>
            <family val="2"/>
            <scheme val="minor"/>
          </rPr>
          <t xml:space="preserve">Bill Michaud:
Do Not Count DND's, Verbal DND's or any other rooms which were assigned but not cleaned. </t>
        </r>
      </text>
    </comment>
    <comment ref="T159" authorId="0" shapeId="0" xr:uid="{7853E956-5085-4A4F-A2A2-61DB3376E873}">
      <text>
        <r>
          <rPr>
            <b/>
            <sz val="9"/>
            <color indexed="81"/>
            <rFont val="Tahoma"/>
            <family val="2"/>
          </rPr>
          <t>Bill Michaud:</t>
        </r>
        <r>
          <rPr>
            <sz val="9"/>
            <color indexed="81"/>
            <rFont val="Tahoma"/>
            <family val="2"/>
          </rPr>
          <t xml:space="preserve">
Minutes input here will be added to the "Calculated Minutes" number in cell P20</t>
        </r>
      </text>
    </comment>
    <comment ref="N160" authorId="0" shapeId="0" xr:uid="{7057149F-B1DB-4C3E-8586-34251D6C78A0}">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60" authorId="0" shapeId="0" xr:uid="{D4ACFFBC-3C34-45EC-A76A-A11AD35701D0}">
      <text>
        <r>
          <rPr>
            <sz val="11"/>
            <color theme="1"/>
            <rFont val="Calibri"/>
            <family val="2"/>
            <scheme val="minor"/>
          </rPr>
          <t xml:space="preserve">Bill Michaud:
Input Items such as:
Linen Inventory
Deep Cleaning Rooms
Cleaning Carpets
Rotating Mattresses
Doing Supply Inv / Order
</t>
        </r>
      </text>
    </comment>
    <comment ref="J162" authorId="0" shapeId="0" xr:uid="{C2A59860-D5FC-4AA6-9E37-A5DAFC0BE947}">
      <text>
        <r>
          <rPr>
            <sz val="11"/>
            <color theme="1"/>
            <rFont val="Calibri"/>
            <family val="2"/>
            <scheme val="minor"/>
          </rPr>
          <t xml:space="preserve">Bill Michaud:
Do Not Count DND's, Verbal DND's or any other rooms which were assigned but not cleaned. </t>
        </r>
      </text>
    </comment>
    <comment ref="T172" authorId="0" shapeId="0" xr:uid="{D4CB24C5-7FA2-4F7B-BB3A-08544FB9EE79}">
      <text>
        <r>
          <rPr>
            <b/>
            <sz val="9"/>
            <color indexed="81"/>
            <rFont val="Tahoma"/>
            <family val="2"/>
          </rPr>
          <t>Bill Michaud:</t>
        </r>
        <r>
          <rPr>
            <sz val="9"/>
            <color indexed="81"/>
            <rFont val="Tahoma"/>
            <family val="2"/>
          </rPr>
          <t xml:space="preserve">
Minutes input here will be added to the "Calculated Minutes" number in cell P20</t>
        </r>
      </text>
    </comment>
    <comment ref="N173" authorId="0" shapeId="0" xr:uid="{D22EF458-DB4A-4E9D-9CEA-339404CB1E3A}">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73" authorId="0" shapeId="0" xr:uid="{DEBFDD8F-2EA1-4849-A636-0689848A2567}">
      <text>
        <r>
          <rPr>
            <sz val="11"/>
            <color theme="1"/>
            <rFont val="Calibri"/>
            <family val="2"/>
            <scheme val="minor"/>
          </rPr>
          <t xml:space="preserve">Bill Michaud:
Input Items such as:
Linen Inventory
Deep Cleaning Rooms
Cleaning Carpets
Rotating Mattresses
Doing Supply Inv / Order
</t>
        </r>
      </text>
    </comment>
    <comment ref="J175" authorId="0" shapeId="0" xr:uid="{48B01144-E3E5-4585-A499-5034093F324D}">
      <text>
        <r>
          <rPr>
            <sz val="11"/>
            <color theme="1"/>
            <rFont val="Calibri"/>
            <family val="2"/>
            <scheme val="minor"/>
          </rPr>
          <t xml:space="preserve">Bill Michaud:
Do Not Count DND's, Verbal DND's or any other rooms which were assigned but not cleaned. </t>
        </r>
      </text>
    </comment>
    <comment ref="T185" authorId="0" shapeId="0" xr:uid="{BD718042-9F6A-45AB-BF91-21B9CB603C07}">
      <text>
        <r>
          <rPr>
            <b/>
            <sz val="9"/>
            <color indexed="81"/>
            <rFont val="Tahoma"/>
            <family val="2"/>
          </rPr>
          <t>Bill Michaud:</t>
        </r>
        <r>
          <rPr>
            <sz val="9"/>
            <color indexed="81"/>
            <rFont val="Tahoma"/>
            <family val="2"/>
          </rPr>
          <t xml:space="preserve">
Minutes input here will be added to the "Calculated Minutes" number in cell P20</t>
        </r>
      </text>
    </comment>
    <comment ref="N186" authorId="0" shapeId="0" xr:uid="{B93BA6EA-FD48-4CAB-A70A-17632840BCE7}">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86" authorId="0" shapeId="0" xr:uid="{81ACDE46-7315-4D43-9729-76EA60B677C6}">
      <text>
        <r>
          <rPr>
            <sz val="11"/>
            <color theme="1"/>
            <rFont val="Calibri"/>
            <family val="2"/>
            <scheme val="minor"/>
          </rPr>
          <t xml:space="preserve">Bill Michaud:
Input Items such as:
Linen Inventory
Deep Cleaning Rooms
Cleaning Carpets
Rotating Mattresses
Doing Supply Inv / Order
</t>
        </r>
      </text>
    </comment>
    <comment ref="J188" authorId="0" shapeId="0" xr:uid="{4A534EDB-6864-483E-ABA1-78B834833E4E}">
      <text>
        <r>
          <rPr>
            <sz val="11"/>
            <color theme="1"/>
            <rFont val="Calibri"/>
            <family val="2"/>
            <scheme val="minor"/>
          </rPr>
          <t xml:space="preserve">Bill Michaud:
Do Not Count DND's, Verbal DND's or any other rooms which were assigned but not cleaned. </t>
        </r>
      </text>
    </comment>
    <comment ref="T198" authorId="0" shapeId="0" xr:uid="{39F0706C-0ADC-4F6E-883F-215371D24342}">
      <text>
        <r>
          <rPr>
            <b/>
            <sz val="9"/>
            <color indexed="81"/>
            <rFont val="Tahoma"/>
            <family val="2"/>
          </rPr>
          <t>Bill Michaud:</t>
        </r>
        <r>
          <rPr>
            <sz val="9"/>
            <color indexed="81"/>
            <rFont val="Tahoma"/>
            <family val="2"/>
          </rPr>
          <t xml:space="preserve">
Minutes input here will be added to the "Calculated Minutes" number in cell P20</t>
        </r>
      </text>
    </comment>
    <comment ref="N199" authorId="0" shapeId="0" xr:uid="{1E4C0B5C-E949-4927-9A58-17386ADE8314}">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99" authorId="0" shapeId="0" xr:uid="{E3BB2363-939D-46FC-AE84-C1CA1CD246A5}">
      <text>
        <r>
          <rPr>
            <sz val="11"/>
            <color theme="1"/>
            <rFont val="Calibri"/>
            <family val="2"/>
            <scheme val="minor"/>
          </rPr>
          <t xml:space="preserve">Bill Michaud:
Input Items such as:
Linen Inventory
Deep Cleaning Rooms
Cleaning Carpets
Rotating Mattresses
Doing Supply Inv / Order
</t>
        </r>
      </text>
    </comment>
    <comment ref="J201" authorId="0" shapeId="0" xr:uid="{E4138C1E-D465-496B-9077-BD446AC25022}">
      <text>
        <r>
          <rPr>
            <sz val="11"/>
            <color theme="1"/>
            <rFont val="Calibri"/>
            <family val="2"/>
            <scheme val="minor"/>
          </rPr>
          <t xml:space="preserve">Bill Michaud:
Do Not Count DND's, Verbal DND's or any other rooms which were assigned but not cleaned. </t>
        </r>
      </text>
    </comment>
    <comment ref="T211" authorId="0" shapeId="0" xr:uid="{89940448-A991-42C7-BF0D-B69C5AEA78EC}">
      <text>
        <r>
          <rPr>
            <b/>
            <sz val="9"/>
            <color indexed="81"/>
            <rFont val="Tahoma"/>
            <family val="2"/>
          </rPr>
          <t>Bill Michaud:</t>
        </r>
        <r>
          <rPr>
            <sz val="9"/>
            <color indexed="81"/>
            <rFont val="Tahoma"/>
            <family val="2"/>
          </rPr>
          <t xml:space="preserve">
Minutes input here will be added to the "Calculated Minutes" number in cell P20</t>
        </r>
      </text>
    </comment>
    <comment ref="N212" authorId="0" shapeId="0" xr:uid="{E1C80143-309F-4CDC-8BB2-76439DBB92A5}">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212" authorId="0" shapeId="0" xr:uid="{61ABD3CC-06D9-44CF-ABE6-CE8827A3DCC0}">
      <text>
        <r>
          <rPr>
            <sz val="11"/>
            <color theme="1"/>
            <rFont val="Calibri"/>
            <family val="2"/>
            <scheme val="minor"/>
          </rPr>
          <t xml:space="preserve">Bill Michaud:
Input Items such as:
Linen Inventory
Deep Cleaning Rooms
Cleaning Carpets
Rotating Mattresses
Doing Supply Inv / Order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Bill Michaud</author>
  </authors>
  <commentList>
    <comment ref="J6" authorId="0" shapeId="0" xr:uid="{4DCB8FF3-C187-4EC3-BD14-A1765DC1CD55}">
      <text>
        <r>
          <rPr>
            <sz val="11"/>
            <color theme="1"/>
            <rFont val="Calibri"/>
            <family val="2"/>
            <scheme val="minor"/>
          </rPr>
          <t xml:space="preserve">Bill Michaud:
Do Not Count DND's, Verbal DND's or any other rooms which were assigned but not cleaned. </t>
        </r>
      </text>
    </comment>
    <comment ref="T16" authorId="0" shapeId="0" xr:uid="{78403F25-B69A-4BEC-966C-008A90B989BF}">
      <text>
        <r>
          <rPr>
            <b/>
            <sz val="9"/>
            <color indexed="81"/>
            <rFont val="Tahoma"/>
            <family val="2"/>
          </rPr>
          <t>Bill Michaud:</t>
        </r>
        <r>
          <rPr>
            <sz val="9"/>
            <color indexed="81"/>
            <rFont val="Tahoma"/>
            <family val="2"/>
          </rPr>
          <t xml:space="preserve">
Minutes input here will be added to the "Calculated Minutes" number in cell P20</t>
        </r>
      </text>
    </comment>
    <comment ref="N17" authorId="0" shapeId="0" xr:uid="{6A4318AC-22A7-4A6C-8401-C1AF0840D971}">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7" authorId="0" shapeId="0" xr:uid="{EDA2CC0E-5A63-4916-97C7-5939311B45C2}">
      <text>
        <r>
          <rPr>
            <sz val="11"/>
            <color theme="1"/>
            <rFont val="Calibri"/>
            <family val="2"/>
            <scheme val="minor"/>
          </rPr>
          <t xml:space="preserve">Bill Michaud:
Input Items such as:
Linen Inventory
Deep Cleaning Rooms
Cleaning Carpets
Rotating Mattresses
Doing Supply Inv / Order
</t>
        </r>
      </text>
    </comment>
    <comment ref="J19" authorId="0" shapeId="0" xr:uid="{9C46844C-6227-4D6B-B270-F656AC70FB26}">
      <text>
        <r>
          <rPr>
            <sz val="11"/>
            <color theme="1"/>
            <rFont val="Calibri"/>
            <family val="2"/>
            <scheme val="minor"/>
          </rPr>
          <t xml:space="preserve">Bill Michaud:
Do Not Count DND's, Verbal DND's or any other rooms which were assigned but not cleaned. </t>
        </r>
      </text>
    </comment>
    <comment ref="T29" authorId="0" shapeId="0" xr:uid="{87DCF815-AB0C-4001-A2A0-F6F2EE57F385}">
      <text>
        <r>
          <rPr>
            <b/>
            <sz val="9"/>
            <color indexed="81"/>
            <rFont val="Tahoma"/>
            <family val="2"/>
          </rPr>
          <t>Bill Michaud:</t>
        </r>
        <r>
          <rPr>
            <sz val="9"/>
            <color indexed="81"/>
            <rFont val="Tahoma"/>
            <family val="2"/>
          </rPr>
          <t xml:space="preserve">
Minutes input here will be added to the "Calculated Minutes" number in cell P20</t>
        </r>
      </text>
    </comment>
    <comment ref="N30" authorId="0" shapeId="0" xr:uid="{5500F21E-924D-4642-B0C3-C6AB351FEA8E}">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30" authorId="0" shapeId="0" xr:uid="{0048DA18-9361-406E-B132-6B0E2586B162}">
      <text>
        <r>
          <rPr>
            <sz val="11"/>
            <color theme="1"/>
            <rFont val="Calibri"/>
            <family val="2"/>
            <scheme val="minor"/>
          </rPr>
          <t xml:space="preserve">Bill Michaud:
Input Items such as:
Linen Inventory
Deep Cleaning Rooms
Cleaning Carpets
Rotating Mattresses
Doing Supply Inv / Order
</t>
        </r>
      </text>
    </comment>
    <comment ref="J32" authorId="0" shapeId="0" xr:uid="{0349F04F-FF09-4238-BB61-6F8EB85124B5}">
      <text>
        <r>
          <rPr>
            <sz val="11"/>
            <color theme="1"/>
            <rFont val="Calibri"/>
            <family val="2"/>
            <scheme val="minor"/>
          </rPr>
          <t xml:space="preserve">Bill Michaud:
Do Not Count DND's, Verbal DND's or any other rooms which were assigned but not cleaned. </t>
        </r>
      </text>
    </comment>
    <comment ref="T42" authorId="0" shapeId="0" xr:uid="{87DF8B9F-E80C-432F-8EB8-C376B09B911B}">
      <text>
        <r>
          <rPr>
            <b/>
            <sz val="9"/>
            <color indexed="81"/>
            <rFont val="Tahoma"/>
            <family val="2"/>
          </rPr>
          <t>Bill Michaud:</t>
        </r>
        <r>
          <rPr>
            <sz val="9"/>
            <color indexed="81"/>
            <rFont val="Tahoma"/>
            <family val="2"/>
          </rPr>
          <t xml:space="preserve">
Minutes input here will be added to the "Calculated Minutes" number in cell P20</t>
        </r>
      </text>
    </comment>
    <comment ref="N43" authorId="0" shapeId="0" xr:uid="{E1DB65CA-CFA3-44F8-A37E-0D9A586D6000}">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43" authorId="0" shapeId="0" xr:uid="{CDF4E700-70FB-4FC9-BE43-8F401FC07B2B}">
      <text>
        <r>
          <rPr>
            <sz val="11"/>
            <color theme="1"/>
            <rFont val="Calibri"/>
            <family val="2"/>
            <scheme val="minor"/>
          </rPr>
          <t xml:space="preserve">Bill Michaud:
Input Items such as:
Linen Inventory
Deep Cleaning Rooms
Cleaning Carpets
Rotating Mattresses
Doing Supply Inv / Order
</t>
        </r>
      </text>
    </comment>
    <comment ref="J45" authorId="0" shapeId="0" xr:uid="{1672847D-2110-45EF-A1AC-A853F5A2A3FE}">
      <text>
        <r>
          <rPr>
            <sz val="11"/>
            <color theme="1"/>
            <rFont val="Calibri"/>
            <family val="2"/>
            <scheme val="minor"/>
          </rPr>
          <t xml:space="preserve">Bill Michaud:
Do Not Count DND's, Verbal DND's or any other rooms which were assigned but not cleaned. </t>
        </r>
      </text>
    </comment>
    <comment ref="T55" authorId="0" shapeId="0" xr:uid="{407F00E8-03E3-41EE-925C-A8206EA03FCF}">
      <text>
        <r>
          <rPr>
            <b/>
            <sz val="9"/>
            <color indexed="81"/>
            <rFont val="Tahoma"/>
            <family val="2"/>
          </rPr>
          <t>Bill Michaud:</t>
        </r>
        <r>
          <rPr>
            <sz val="9"/>
            <color indexed="81"/>
            <rFont val="Tahoma"/>
            <family val="2"/>
          </rPr>
          <t xml:space="preserve">
Minutes input here will be added to the "Calculated Minutes" number in cell P20</t>
        </r>
      </text>
    </comment>
    <comment ref="N56" authorId="0" shapeId="0" xr:uid="{3D01238E-5F87-49D0-AF1C-E2D8C0AA3464}">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56" authorId="0" shapeId="0" xr:uid="{F0E116B0-8C82-463B-98E3-82B8A7362641}">
      <text>
        <r>
          <rPr>
            <sz val="11"/>
            <color theme="1"/>
            <rFont val="Calibri"/>
            <family val="2"/>
            <scheme val="minor"/>
          </rPr>
          <t xml:space="preserve">Bill Michaud:
Input Items such as:
Linen Inventory
Deep Cleaning Rooms
Cleaning Carpets
Rotating Mattresses
Doing Supply Inv / Order
</t>
        </r>
      </text>
    </comment>
    <comment ref="J58" authorId="0" shapeId="0" xr:uid="{2B03B9D4-A548-4BDE-9E42-E6C7C3D1BDB8}">
      <text>
        <r>
          <rPr>
            <sz val="11"/>
            <color theme="1"/>
            <rFont val="Calibri"/>
            <family val="2"/>
            <scheme val="minor"/>
          </rPr>
          <t xml:space="preserve">Bill Michaud:
Do Not Count DND's, Verbal DND's or any other rooms which were assigned but not cleaned. </t>
        </r>
      </text>
    </comment>
    <comment ref="T68" authorId="0" shapeId="0" xr:uid="{8BE166E1-8948-479C-812A-B26FAC9B0086}">
      <text>
        <r>
          <rPr>
            <b/>
            <sz val="9"/>
            <color indexed="81"/>
            <rFont val="Tahoma"/>
            <family val="2"/>
          </rPr>
          <t>Bill Michaud:</t>
        </r>
        <r>
          <rPr>
            <sz val="9"/>
            <color indexed="81"/>
            <rFont val="Tahoma"/>
            <family val="2"/>
          </rPr>
          <t xml:space="preserve">
Minutes input here will be added to the "Calculated Minutes" number in cell P20</t>
        </r>
      </text>
    </comment>
    <comment ref="N69" authorId="0" shapeId="0" xr:uid="{BB2E8CA3-D062-4961-A9B7-B4B7DE31409D}">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69" authorId="0" shapeId="0" xr:uid="{27F72F69-3747-43B7-BC7A-880B9E44352C}">
      <text>
        <r>
          <rPr>
            <sz val="11"/>
            <color theme="1"/>
            <rFont val="Calibri"/>
            <family val="2"/>
            <scheme val="minor"/>
          </rPr>
          <t xml:space="preserve">Bill Michaud:
Input Items such as:
Linen Inventory
Deep Cleaning Rooms
Cleaning Carpets
Rotating Mattresses
Doing Supply Inv / Order
</t>
        </r>
      </text>
    </comment>
    <comment ref="J71" authorId="0" shapeId="0" xr:uid="{07B660ED-50F3-481D-B6EC-BEAEEE65D6F2}">
      <text>
        <r>
          <rPr>
            <sz val="11"/>
            <color theme="1"/>
            <rFont val="Calibri"/>
            <family val="2"/>
            <scheme val="minor"/>
          </rPr>
          <t xml:space="preserve">Bill Michaud:
Do Not Count DND's, Verbal DND's or any other rooms which were assigned but not cleaned. </t>
        </r>
      </text>
    </comment>
    <comment ref="T81" authorId="0" shapeId="0" xr:uid="{F2007098-1276-4C7A-A331-BA974DB5C8C6}">
      <text>
        <r>
          <rPr>
            <b/>
            <sz val="9"/>
            <color indexed="81"/>
            <rFont val="Tahoma"/>
            <family val="2"/>
          </rPr>
          <t>Bill Michaud:</t>
        </r>
        <r>
          <rPr>
            <sz val="9"/>
            <color indexed="81"/>
            <rFont val="Tahoma"/>
            <family val="2"/>
          </rPr>
          <t xml:space="preserve">
Minutes input here will be added to the "Calculated Minutes" number in cell P20</t>
        </r>
      </text>
    </comment>
    <comment ref="N82" authorId="0" shapeId="0" xr:uid="{6A58D16E-0104-4147-A045-1863F0E497DB}">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82" authorId="0" shapeId="0" xr:uid="{C065B653-F6AD-4991-8202-AEEB20C4364A}">
      <text>
        <r>
          <rPr>
            <sz val="11"/>
            <color theme="1"/>
            <rFont val="Calibri"/>
            <family val="2"/>
            <scheme val="minor"/>
          </rPr>
          <t xml:space="preserve">Bill Michaud:
Input Items such as:
Linen Inventory
Deep Cleaning Rooms
Cleaning Carpets
Rotating Mattresses
Doing Supply Inv / Order
</t>
        </r>
      </text>
    </comment>
    <comment ref="J84" authorId="0" shapeId="0" xr:uid="{8253047A-4AB2-4055-91D0-60D7D2284723}">
      <text>
        <r>
          <rPr>
            <sz val="11"/>
            <color theme="1"/>
            <rFont val="Calibri"/>
            <family val="2"/>
            <scheme val="minor"/>
          </rPr>
          <t xml:space="preserve">Bill Michaud:
Do Not Count DND's, Verbal DND's or any other rooms which were assigned but not cleaned. </t>
        </r>
      </text>
    </comment>
    <comment ref="T94" authorId="0" shapeId="0" xr:uid="{4EE03427-0FE2-4E25-9403-B049872200F0}">
      <text>
        <r>
          <rPr>
            <b/>
            <sz val="9"/>
            <color indexed="81"/>
            <rFont val="Tahoma"/>
            <family val="2"/>
          </rPr>
          <t>Bill Michaud:</t>
        </r>
        <r>
          <rPr>
            <sz val="9"/>
            <color indexed="81"/>
            <rFont val="Tahoma"/>
            <family val="2"/>
          </rPr>
          <t xml:space="preserve">
Minutes input here will be added to the "Calculated Minutes" number in cell P20</t>
        </r>
      </text>
    </comment>
    <comment ref="N95" authorId="0" shapeId="0" xr:uid="{864A0804-95F3-41EC-BA28-1FECA567D9B9}">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95" authorId="0" shapeId="0" xr:uid="{06677C47-A74E-432A-91AD-B122BBAA5B18}">
      <text>
        <r>
          <rPr>
            <sz val="11"/>
            <color theme="1"/>
            <rFont val="Calibri"/>
            <family val="2"/>
            <scheme val="minor"/>
          </rPr>
          <t xml:space="preserve">Bill Michaud:
Input Items such as:
Linen Inventory
Deep Cleaning Rooms
Cleaning Carpets
Rotating Mattresses
Doing Supply Inv / Order
</t>
        </r>
      </text>
    </comment>
    <comment ref="J97" authorId="0" shapeId="0" xr:uid="{1F59DF54-61CA-406A-AC6D-45A83B5ABB00}">
      <text>
        <r>
          <rPr>
            <sz val="11"/>
            <color theme="1"/>
            <rFont val="Calibri"/>
            <family val="2"/>
            <scheme val="minor"/>
          </rPr>
          <t xml:space="preserve">Bill Michaud:
Do Not Count DND's, Verbal DND's or any other rooms which were assigned but not cleaned. </t>
        </r>
      </text>
    </comment>
    <comment ref="T107" authorId="0" shapeId="0" xr:uid="{040CF206-199C-4129-B39C-856556FCF6CC}">
      <text>
        <r>
          <rPr>
            <b/>
            <sz val="9"/>
            <color indexed="81"/>
            <rFont val="Tahoma"/>
            <family val="2"/>
          </rPr>
          <t>Bill Michaud:</t>
        </r>
        <r>
          <rPr>
            <sz val="9"/>
            <color indexed="81"/>
            <rFont val="Tahoma"/>
            <family val="2"/>
          </rPr>
          <t xml:space="preserve">
Minutes input here will be added to the "Calculated Minutes" number in cell P20</t>
        </r>
      </text>
    </comment>
    <comment ref="N108" authorId="0" shapeId="0" xr:uid="{5D529E08-EA93-4976-986B-A9CCFB4301C1}">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08" authorId="0" shapeId="0" xr:uid="{353A4E1B-6C55-40F6-A8F3-6E63D0D47DD2}">
      <text>
        <r>
          <rPr>
            <sz val="11"/>
            <color theme="1"/>
            <rFont val="Calibri"/>
            <family val="2"/>
            <scheme val="minor"/>
          </rPr>
          <t xml:space="preserve">Bill Michaud:
Input Items such as:
Linen Inventory
Deep Cleaning Rooms
Cleaning Carpets
Rotating Mattresses
Doing Supply Inv / Order
</t>
        </r>
      </text>
    </comment>
    <comment ref="J110" authorId="0" shapeId="0" xr:uid="{A95E154D-A279-4644-981B-52C9DB508F22}">
      <text>
        <r>
          <rPr>
            <sz val="11"/>
            <color theme="1"/>
            <rFont val="Calibri"/>
            <family val="2"/>
            <scheme val="minor"/>
          </rPr>
          <t xml:space="preserve">Bill Michaud:
Do Not Count DND's, Verbal DND's or any other rooms which were assigned but not cleaned. </t>
        </r>
      </text>
    </comment>
    <comment ref="T120" authorId="0" shapeId="0" xr:uid="{CE9A30D1-73A5-4F97-A4E6-C635DE9341C5}">
      <text>
        <r>
          <rPr>
            <b/>
            <sz val="9"/>
            <color indexed="81"/>
            <rFont val="Tahoma"/>
            <family val="2"/>
          </rPr>
          <t>Bill Michaud:</t>
        </r>
        <r>
          <rPr>
            <sz val="9"/>
            <color indexed="81"/>
            <rFont val="Tahoma"/>
            <family val="2"/>
          </rPr>
          <t xml:space="preserve">
Minutes input here will be added to the "Calculated Minutes" number in cell P20</t>
        </r>
      </text>
    </comment>
    <comment ref="N121" authorId="0" shapeId="0" xr:uid="{0BD6A639-3169-415D-A36F-CA45053E230A}">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21" authorId="0" shapeId="0" xr:uid="{2A24FDE3-699A-40CB-A245-B7619338AB47}">
      <text>
        <r>
          <rPr>
            <sz val="11"/>
            <color theme="1"/>
            <rFont val="Calibri"/>
            <family val="2"/>
            <scheme val="minor"/>
          </rPr>
          <t xml:space="preserve">Bill Michaud:
Input Items such as:
Linen Inventory
Deep Cleaning Rooms
Cleaning Carpets
Rotating Mattresses
Doing Supply Inv / Order
</t>
        </r>
      </text>
    </comment>
    <comment ref="J123" authorId="0" shapeId="0" xr:uid="{280BBE9B-7A8E-485B-8B5E-0AADA70822C9}">
      <text>
        <r>
          <rPr>
            <sz val="11"/>
            <color theme="1"/>
            <rFont val="Calibri"/>
            <family val="2"/>
            <scheme val="minor"/>
          </rPr>
          <t xml:space="preserve">Bill Michaud:
Do Not Count DND's, Verbal DND's or any other rooms which were assigned but not cleaned. </t>
        </r>
      </text>
    </comment>
    <comment ref="T133" authorId="0" shapeId="0" xr:uid="{FA891006-0ED9-4CBC-84A4-0CF5038BF51C}">
      <text>
        <r>
          <rPr>
            <b/>
            <sz val="9"/>
            <color indexed="81"/>
            <rFont val="Tahoma"/>
            <family val="2"/>
          </rPr>
          <t>Bill Michaud:</t>
        </r>
        <r>
          <rPr>
            <sz val="9"/>
            <color indexed="81"/>
            <rFont val="Tahoma"/>
            <family val="2"/>
          </rPr>
          <t xml:space="preserve">
Minutes input here will be added to the "Calculated Minutes" number in cell P20</t>
        </r>
      </text>
    </comment>
    <comment ref="N134" authorId="0" shapeId="0" xr:uid="{106FB6ED-A74D-4D7A-9F4C-D1635A6A72BF}">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34" authorId="0" shapeId="0" xr:uid="{6BACDE27-2B69-479E-A995-50FF8EB205A5}">
      <text>
        <r>
          <rPr>
            <sz val="11"/>
            <color theme="1"/>
            <rFont val="Calibri"/>
            <family val="2"/>
            <scheme val="minor"/>
          </rPr>
          <t xml:space="preserve">Bill Michaud:
Input Items such as:
Linen Inventory
Deep Cleaning Rooms
Cleaning Carpets
Rotating Mattresses
Doing Supply Inv / Order
</t>
        </r>
      </text>
    </comment>
    <comment ref="J136" authorId="0" shapeId="0" xr:uid="{B2D9E6FD-C111-4E85-950E-D7448377A3CD}">
      <text>
        <r>
          <rPr>
            <sz val="11"/>
            <color theme="1"/>
            <rFont val="Calibri"/>
            <family val="2"/>
            <scheme val="minor"/>
          </rPr>
          <t xml:space="preserve">Bill Michaud:
Do Not Count DND's, Verbal DND's or any other rooms which were assigned but not cleaned. </t>
        </r>
      </text>
    </comment>
    <comment ref="T146" authorId="0" shapeId="0" xr:uid="{CE3B5F7F-ACC5-42F8-AD84-D4E96998A9D8}">
      <text>
        <r>
          <rPr>
            <b/>
            <sz val="9"/>
            <color indexed="81"/>
            <rFont val="Tahoma"/>
            <family val="2"/>
          </rPr>
          <t>Bill Michaud:</t>
        </r>
        <r>
          <rPr>
            <sz val="9"/>
            <color indexed="81"/>
            <rFont val="Tahoma"/>
            <family val="2"/>
          </rPr>
          <t xml:space="preserve">
Minutes input here will be added to the "Calculated Minutes" number in cell P20</t>
        </r>
      </text>
    </comment>
    <comment ref="N147" authorId="0" shapeId="0" xr:uid="{C29FF740-A8E9-48E3-B5B6-622B6D3F0174}">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47" authorId="0" shapeId="0" xr:uid="{5679340A-300C-4D70-A69B-9FC921875718}">
      <text>
        <r>
          <rPr>
            <sz val="11"/>
            <color theme="1"/>
            <rFont val="Calibri"/>
            <family val="2"/>
            <scheme val="minor"/>
          </rPr>
          <t xml:space="preserve">Bill Michaud:
Input Items such as:
Linen Inventory
Deep Cleaning Rooms
Cleaning Carpets
Rotating Mattresses
Doing Supply Inv / Order
</t>
        </r>
      </text>
    </comment>
    <comment ref="J149" authorId="0" shapeId="0" xr:uid="{8DABE4E8-8D21-46CD-86E8-D60C73514F2E}">
      <text>
        <r>
          <rPr>
            <sz val="11"/>
            <color theme="1"/>
            <rFont val="Calibri"/>
            <family val="2"/>
            <scheme val="minor"/>
          </rPr>
          <t xml:space="preserve">Bill Michaud:
Do Not Count DND's, Verbal DND's or any other rooms which were assigned but not cleaned. </t>
        </r>
      </text>
    </comment>
    <comment ref="T159" authorId="0" shapeId="0" xr:uid="{061BEC83-4404-44A0-A422-1C48F935EF08}">
      <text>
        <r>
          <rPr>
            <b/>
            <sz val="9"/>
            <color indexed="81"/>
            <rFont val="Tahoma"/>
            <family val="2"/>
          </rPr>
          <t>Bill Michaud:</t>
        </r>
        <r>
          <rPr>
            <sz val="9"/>
            <color indexed="81"/>
            <rFont val="Tahoma"/>
            <family val="2"/>
          </rPr>
          <t xml:space="preserve">
Minutes input here will be added to the "Calculated Minutes" number in cell P20</t>
        </r>
      </text>
    </comment>
    <comment ref="N160" authorId="0" shapeId="0" xr:uid="{265D4168-9D60-47A9-8C2F-335A4F7EE44A}">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60" authorId="0" shapeId="0" xr:uid="{31B7B31B-195C-4B77-B1D9-5963FE522B3E}">
      <text>
        <r>
          <rPr>
            <sz val="11"/>
            <color theme="1"/>
            <rFont val="Calibri"/>
            <family val="2"/>
            <scheme val="minor"/>
          </rPr>
          <t xml:space="preserve">Bill Michaud:
Input Items such as:
Linen Inventory
Deep Cleaning Rooms
Cleaning Carpets
Rotating Mattresses
Doing Supply Inv / Order
</t>
        </r>
      </text>
    </comment>
    <comment ref="J162" authorId="0" shapeId="0" xr:uid="{7514EC01-4590-46A6-9746-B3B78F2B32CE}">
      <text>
        <r>
          <rPr>
            <sz val="11"/>
            <color theme="1"/>
            <rFont val="Calibri"/>
            <family val="2"/>
            <scheme val="minor"/>
          </rPr>
          <t xml:space="preserve">Bill Michaud:
Do Not Count DND's, Verbal DND's or any other rooms which were assigned but not cleaned. </t>
        </r>
      </text>
    </comment>
    <comment ref="T172" authorId="0" shapeId="0" xr:uid="{C45BC5F8-FA9C-4C13-A589-B2F6451B5A1F}">
      <text>
        <r>
          <rPr>
            <b/>
            <sz val="9"/>
            <color indexed="81"/>
            <rFont val="Tahoma"/>
            <family val="2"/>
          </rPr>
          <t>Bill Michaud:</t>
        </r>
        <r>
          <rPr>
            <sz val="9"/>
            <color indexed="81"/>
            <rFont val="Tahoma"/>
            <family val="2"/>
          </rPr>
          <t xml:space="preserve">
Minutes input here will be added to the "Calculated Minutes" number in cell P20</t>
        </r>
      </text>
    </comment>
    <comment ref="N173" authorId="0" shapeId="0" xr:uid="{9BBBFFC1-F819-4115-BFE0-B7B90F3CA3EE}">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73" authorId="0" shapeId="0" xr:uid="{BFF31AB8-6F12-4C40-8B0C-5735A9196736}">
      <text>
        <r>
          <rPr>
            <sz val="11"/>
            <color theme="1"/>
            <rFont val="Calibri"/>
            <family val="2"/>
            <scheme val="minor"/>
          </rPr>
          <t xml:space="preserve">Bill Michaud:
Input Items such as:
Linen Inventory
Deep Cleaning Rooms
Cleaning Carpets
Rotating Mattresses
Doing Supply Inv / Order
</t>
        </r>
      </text>
    </comment>
    <comment ref="J175" authorId="0" shapeId="0" xr:uid="{85A8AA2F-436B-4214-A4C1-87E14674516E}">
      <text>
        <r>
          <rPr>
            <sz val="11"/>
            <color theme="1"/>
            <rFont val="Calibri"/>
            <family val="2"/>
            <scheme val="minor"/>
          </rPr>
          <t xml:space="preserve">Bill Michaud:
Do Not Count DND's, Verbal DND's or any other rooms which were assigned but not cleaned. </t>
        </r>
      </text>
    </comment>
    <comment ref="T185" authorId="0" shapeId="0" xr:uid="{07A2A3BD-B201-4A33-8748-CAA0071088F3}">
      <text>
        <r>
          <rPr>
            <b/>
            <sz val="9"/>
            <color indexed="81"/>
            <rFont val="Tahoma"/>
            <family val="2"/>
          </rPr>
          <t>Bill Michaud:</t>
        </r>
        <r>
          <rPr>
            <sz val="9"/>
            <color indexed="81"/>
            <rFont val="Tahoma"/>
            <family val="2"/>
          </rPr>
          <t xml:space="preserve">
Minutes input here will be added to the "Calculated Minutes" number in cell P20</t>
        </r>
      </text>
    </comment>
    <comment ref="N186" authorId="0" shapeId="0" xr:uid="{323126DF-D397-4245-B23D-51F037F42DEA}">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86" authorId="0" shapeId="0" xr:uid="{2238A9D7-56AF-4967-B8EC-83BF0C449C5C}">
      <text>
        <r>
          <rPr>
            <sz val="11"/>
            <color theme="1"/>
            <rFont val="Calibri"/>
            <family val="2"/>
            <scheme val="minor"/>
          </rPr>
          <t xml:space="preserve">Bill Michaud:
Input Items such as:
Linen Inventory
Deep Cleaning Rooms
Cleaning Carpets
Rotating Mattresses
Doing Supply Inv / Order
</t>
        </r>
      </text>
    </comment>
    <comment ref="J188" authorId="0" shapeId="0" xr:uid="{0D91DC3C-E2D3-457F-8730-804C6ECAF10B}">
      <text>
        <r>
          <rPr>
            <sz val="11"/>
            <color theme="1"/>
            <rFont val="Calibri"/>
            <family val="2"/>
            <scheme val="minor"/>
          </rPr>
          <t xml:space="preserve">Bill Michaud:
Do Not Count DND's, Verbal DND's or any other rooms which were assigned but not cleaned. </t>
        </r>
      </text>
    </comment>
    <comment ref="T198" authorId="0" shapeId="0" xr:uid="{159BCB70-DE08-4CE5-B045-44D76F8234F7}">
      <text>
        <r>
          <rPr>
            <b/>
            <sz val="9"/>
            <color indexed="81"/>
            <rFont val="Tahoma"/>
            <family val="2"/>
          </rPr>
          <t>Bill Michaud:</t>
        </r>
        <r>
          <rPr>
            <sz val="9"/>
            <color indexed="81"/>
            <rFont val="Tahoma"/>
            <family val="2"/>
          </rPr>
          <t xml:space="preserve">
Minutes input here will be added to the "Calculated Minutes" number in cell P20</t>
        </r>
      </text>
    </comment>
    <comment ref="N199" authorId="0" shapeId="0" xr:uid="{E0BB3935-8B05-4C1E-8D64-8D0FF1C04E2C}">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99" authorId="0" shapeId="0" xr:uid="{5C530EE1-47FB-4478-9180-8E707A454F9A}">
      <text>
        <r>
          <rPr>
            <sz val="11"/>
            <color theme="1"/>
            <rFont val="Calibri"/>
            <family val="2"/>
            <scheme val="minor"/>
          </rPr>
          <t xml:space="preserve">Bill Michaud:
Input Items such as:
Linen Inventory
Deep Cleaning Rooms
Cleaning Carpets
Rotating Mattresses
Doing Supply Inv / Order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Bill Michaud</author>
  </authors>
  <commentList>
    <comment ref="J6" authorId="0" shapeId="0" xr:uid="{247E3099-09AE-4E37-9667-0738319DBA58}">
      <text>
        <r>
          <rPr>
            <sz val="11"/>
            <color theme="1"/>
            <rFont val="Calibri"/>
            <family val="2"/>
            <scheme val="minor"/>
          </rPr>
          <t xml:space="preserve">Bill Michaud:
Do Not Count DND's, Verbal DND's or any other rooms which were assigned but not cleaned. </t>
        </r>
      </text>
    </comment>
    <comment ref="T16" authorId="0" shapeId="0" xr:uid="{3F601D36-6350-44A7-B366-49B6F32C7C38}">
      <text>
        <r>
          <rPr>
            <b/>
            <sz val="9"/>
            <color indexed="81"/>
            <rFont val="Tahoma"/>
            <family val="2"/>
          </rPr>
          <t>Bill Michaud:</t>
        </r>
        <r>
          <rPr>
            <sz val="9"/>
            <color indexed="81"/>
            <rFont val="Tahoma"/>
            <family val="2"/>
          </rPr>
          <t xml:space="preserve">
Minutes input here will be added to the "Calculated Minutes" number in cell P20</t>
        </r>
      </text>
    </comment>
    <comment ref="N17" authorId="0" shapeId="0" xr:uid="{99C35DD8-AD3B-4DEB-A84C-A4C87797CACF}">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7" authorId="0" shapeId="0" xr:uid="{53FEA512-D943-47D0-94BB-642D28E0C2A8}">
      <text>
        <r>
          <rPr>
            <sz val="11"/>
            <color theme="1"/>
            <rFont val="Calibri"/>
            <family val="2"/>
            <scheme val="minor"/>
          </rPr>
          <t xml:space="preserve">Bill Michaud:
Input Items such as:
Linen Inventory
Deep Cleaning Rooms
Cleaning Carpets
Rotating Mattresses
Doing Supply Inv / Order
</t>
        </r>
      </text>
    </comment>
    <comment ref="J19" authorId="0" shapeId="0" xr:uid="{68C992D7-F262-4CCE-A0A4-1536F309E3FC}">
      <text>
        <r>
          <rPr>
            <sz val="11"/>
            <color theme="1"/>
            <rFont val="Calibri"/>
            <family val="2"/>
            <scheme val="minor"/>
          </rPr>
          <t xml:space="preserve">Bill Michaud:
Do Not Count DND's, Verbal DND's or any other rooms which were assigned but not cleaned. </t>
        </r>
      </text>
    </comment>
    <comment ref="T29" authorId="0" shapeId="0" xr:uid="{F308E987-00EF-46E9-9416-244D70E037AB}">
      <text>
        <r>
          <rPr>
            <b/>
            <sz val="9"/>
            <color indexed="81"/>
            <rFont val="Tahoma"/>
            <family val="2"/>
          </rPr>
          <t>Bill Michaud:</t>
        </r>
        <r>
          <rPr>
            <sz val="9"/>
            <color indexed="81"/>
            <rFont val="Tahoma"/>
            <family val="2"/>
          </rPr>
          <t xml:space="preserve">
Minutes input here will be added to the "Calculated Minutes" number in cell P20</t>
        </r>
      </text>
    </comment>
    <comment ref="N30" authorId="0" shapeId="0" xr:uid="{49C9F4CD-FD27-43B8-85A3-4E282F3B5EF1}">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30" authorId="0" shapeId="0" xr:uid="{7F9817A1-DA4A-4F0C-9566-25FCE80440C9}">
      <text>
        <r>
          <rPr>
            <sz val="11"/>
            <color theme="1"/>
            <rFont val="Calibri"/>
            <family val="2"/>
            <scheme val="minor"/>
          </rPr>
          <t xml:space="preserve">Bill Michaud:
Input Items such as:
Linen Inventory
Deep Cleaning Rooms
Cleaning Carpets
Rotating Mattresses
Doing Supply Inv / Order
</t>
        </r>
      </text>
    </comment>
    <comment ref="J32" authorId="0" shapeId="0" xr:uid="{58B2905A-15C4-48D3-BE3F-DD26E97AEC8C}">
      <text>
        <r>
          <rPr>
            <sz val="11"/>
            <color theme="1"/>
            <rFont val="Calibri"/>
            <family val="2"/>
            <scheme val="minor"/>
          </rPr>
          <t xml:space="preserve">Bill Michaud:
Do Not Count DND's, Verbal DND's or any other rooms which were assigned but not cleaned. </t>
        </r>
      </text>
    </comment>
    <comment ref="T42" authorId="0" shapeId="0" xr:uid="{984EDA88-66D4-4A76-9C2A-12856324B3EF}">
      <text>
        <r>
          <rPr>
            <b/>
            <sz val="9"/>
            <color indexed="81"/>
            <rFont val="Tahoma"/>
            <family val="2"/>
          </rPr>
          <t>Bill Michaud:</t>
        </r>
        <r>
          <rPr>
            <sz val="9"/>
            <color indexed="81"/>
            <rFont val="Tahoma"/>
            <family val="2"/>
          </rPr>
          <t xml:space="preserve">
Minutes input here will be added to the "Calculated Minutes" number in cell P20</t>
        </r>
      </text>
    </comment>
    <comment ref="N43" authorId="0" shapeId="0" xr:uid="{8C63FE98-566C-48B0-B525-08B2D640CD14}">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43" authorId="0" shapeId="0" xr:uid="{68107C48-66BF-46BF-8EA4-7EFDDF88AC16}">
      <text>
        <r>
          <rPr>
            <sz val="11"/>
            <color theme="1"/>
            <rFont val="Calibri"/>
            <family val="2"/>
            <scheme val="minor"/>
          </rPr>
          <t xml:space="preserve">Bill Michaud:
Input Items such as:
Linen Inventory
Deep Cleaning Rooms
Cleaning Carpets
Rotating Mattresses
Doing Supply Inv / Order
</t>
        </r>
      </text>
    </comment>
    <comment ref="J45" authorId="0" shapeId="0" xr:uid="{8868C68C-C673-40E7-AEBF-10D658D515DB}">
      <text>
        <r>
          <rPr>
            <sz val="11"/>
            <color theme="1"/>
            <rFont val="Calibri"/>
            <family val="2"/>
            <scheme val="minor"/>
          </rPr>
          <t xml:space="preserve">Bill Michaud:
Do Not Count DND's, Verbal DND's or any other rooms which were assigned but not cleaned. </t>
        </r>
      </text>
    </comment>
    <comment ref="T55" authorId="0" shapeId="0" xr:uid="{CB8EF007-D8AE-450A-8387-C0C07CDB02FB}">
      <text>
        <r>
          <rPr>
            <b/>
            <sz val="9"/>
            <color indexed="81"/>
            <rFont val="Tahoma"/>
            <family val="2"/>
          </rPr>
          <t>Bill Michaud:</t>
        </r>
        <r>
          <rPr>
            <sz val="9"/>
            <color indexed="81"/>
            <rFont val="Tahoma"/>
            <family val="2"/>
          </rPr>
          <t xml:space="preserve">
Minutes input here will be added to the "Calculated Minutes" number in cell P20</t>
        </r>
      </text>
    </comment>
    <comment ref="N56" authorId="0" shapeId="0" xr:uid="{F0A06FBD-6B40-4F73-B20E-9707DA444177}">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56" authorId="0" shapeId="0" xr:uid="{31A0BC71-EEEB-4CD4-99AC-D8D8A6C41193}">
      <text>
        <r>
          <rPr>
            <sz val="11"/>
            <color theme="1"/>
            <rFont val="Calibri"/>
            <family val="2"/>
            <scheme val="minor"/>
          </rPr>
          <t xml:space="preserve">Bill Michaud:
Input Items such as:
Linen Inventory
Deep Cleaning Rooms
Cleaning Carpets
Rotating Mattresses
Doing Supply Inv / Order
</t>
        </r>
      </text>
    </comment>
    <comment ref="J58" authorId="0" shapeId="0" xr:uid="{9C2820F5-1974-47B6-9682-C43FAB7CBDFC}">
      <text>
        <r>
          <rPr>
            <sz val="11"/>
            <color theme="1"/>
            <rFont val="Calibri"/>
            <family val="2"/>
            <scheme val="minor"/>
          </rPr>
          <t xml:space="preserve">Bill Michaud:
Do Not Count DND's, Verbal DND's or any other rooms which were assigned but not cleaned. </t>
        </r>
      </text>
    </comment>
    <comment ref="T68" authorId="0" shapeId="0" xr:uid="{23E13494-CE8D-455B-AAB3-45F525B54019}">
      <text>
        <r>
          <rPr>
            <b/>
            <sz val="9"/>
            <color indexed="81"/>
            <rFont val="Tahoma"/>
            <family val="2"/>
          </rPr>
          <t>Bill Michaud:</t>
        </r>
        <r>
          <rPr>
            <sz val="9"/>
            <color indexed="81"/>
            <rFont val="Tahoma"/>
            <family val="2"/>
          </rPr>
          <t xml:space="preserve">
Minutes input here will be added to the "Calculated Minutes" number in cell P20</t>
        </r>
      </text>
    </comment>
    <comment ref="N69" authorId="0" shapeId="0" xr:uid="{B94176B3-D571-4899-95FF-5635266622AC}">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69" authorId="0" shapeId="0" xr:uid="{51082B74-837B-47EA-89C9-5E0B70532F61}">
      <text>
        <r>
          <rPr>
            <sz val="11"/>
            <color theme="1"/>
            <rFont val="Calibri"/>
            <family val="2"/>
            <scheme val="minor"/>
          </rPr>
          <t xml:space="preserve">Bill Michaud:
Input Items such as:
Linen Inventory
Deep Cleaning Rooms
Cleaning Carpets
Rotating Mattresses
Doing Supply Inv / Order
</t>
        </r>
      </text>
    </comment>
    <comment ref="J71" authorId="0" shapeId="0" xr:uid="{1A9EF142-BB55-4E91-8101-EB2726C2CFA3}">
      <text>
        <r>
          <rPr>
            <sz val="11"/>
            <color theme="1"/>
            <rFont val="Calibri"/>
            <family val="2"/>
            <scheme val="minor"/>
          </rPr>
          <t xml:space="preserve">Bill Michaud:
Do Not Count DND's, Verbal DND's or any other rooms which were assigned but not cleaned. </t>
        </r>
      </text>
    </comment>
    <comment ref="T81" authorId="0" shapeId="0" xr:uid="{90A66F34-6D9B-4D46-8CC3-E1D8CC5BF3D6}">
      <text>
        <r>
          <rPr>
            <b/>
            <sz val="9"/>
            <color indexed="81"/>
            <rFont val="Tahoma"/>
            <family val="2"/>
          </rPr>
          <t>Bill Michaud:</t>
        </r>
        <r>
          <rPr>
            <sz val="9"/>
            <color indexed="81"/>
            <rFont val="Tahoma"/>
            <family val="2"/>
          </rPr>
          <t xml:space="preserve">
Minutes input here will be added to the "Calculated Minutes" number in cell P20</t>
        </r>
      </text>
    </comment>
    <comment ref="N82" authorId="0" shapeId="0" xr:uid="{391C5470-CB53-4D8A-A50A-50BE949A4530}">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82" authorId="0" shapeId="0" xr:uid="{75201F96-7520-4F2C-B01B-DAE9A279ECBD}">
      <text>
        <r>
          <rPr>
            <sz val="11"/>
            <color theme="1"/>
            <rFont val="Calibri"/>
            <family val="2"/>
            <scheme val="minor"/>
          </rPr>
          <t xml:space="preserve">Bill Michaud:
Input Items such as:
Linen Inventory
Deep Cleaning Rooms
Cleaning Carpets
Rotating Mattresses
Doing Supply Inv / Order
</t>
        </r>
      </text>
    </comment>
    <comment ref="J84" authorId="0" shapeId="0" xr:uid="{3F36426B-8106-4299-970E-A38C39C27235}">
      <text>
        <r>
          <rPr>
            <sz val="11"/>
            <color theme="1"/>
            <rFont val="Calibri"/>
            <family val="2"/>
            <scheme val="minor"/>
          </rPr>
          <t xml:space="preserve">Bill Michaud:
Do Not Count DND's, Verbal DND's or any other rooms which were assigned but not cleaned. </t>
        </r>
      </text>
    </comment>
    <comment ref="T94" authorId="0" shapeId="0" xr:uid="{39DA430F-B95E-4B24-B6F8-986FF92B537B}">
      <text>
        <r>
          <rPr>
            <b/>
            <sz val="9"/>
            <color indexed="81"/>
            <rFont val="Tahoma"/>
            <family val="2"/>
          </rPr>
          <t>Bill Michaud:</t>
        </r>
        <r>
          <rPr>
            <sz val="9"/>
            <color indexed="81"/>
            <rFont val="Tahoma"/>
            <family val="2"/>
          </rPr>
          <t xml:space="preserve">
Minutes input here will be added to the "Calculated Minutes" number in cell P20</t>
        </r>
      </text>
    </comment>
    <comment ref="N95" authorId="0" shapeId="0" xr:uid="{E0FE8E02-E09F-4B22-A883-3145E65E032B}">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95" authorId="0" shapeId="0" xr:uid="{63DB0A39-15E1-4C8B-9E34-DB21D7136C75}">
      <text>
        <r>
          <rPr>
            <sz val="11"/>
            <color theme="1"/>
            <rFont val="Calibri"/>
            <family val="2"/>
            <scheme val="minor"/>
          </rPr>
          <t xml:space="preserve">Bill Michaud:
Input Items such as:
Linen Inventory
Deep Cleaning Rooms
Cleaning Carpets
Rotating Mattresses
Doing Supply Inv / Order
</t>
        </r>
      </text>
    </comment>
    <comment ref="J97" authorId="0" shapeId="0" xr:uid="{15204CF1-BCCE-4A1F-AD7D-5495BFB82497}">
      <text>
        <r>
          <rPr>
            <sz val="11"/>
            <color theme="1"/>
            <rFont val="Calibri"/>
            <family val="2"/>
            <scheme val="minor"/>
          </rPr>
          <t xml:space="preserve">Bill Michaud:
Do Not Count DND's, Verbal DND's or any other rooms which were assigned but not cleaned. </t>
        </r>
      </text>
    </comment>
    <comment ref="T107" authorId="0" shapeId="0" xr:uid="{A557DBE8-180E-41A0-83F5-E27D07EAAF24}">
      <text>
        <r>
          <rPr>
            <b/>
            <sz val="9"/>
            <color indexed="81"/>
            <rFont val="Tahoma"/>
            <family val="2"/>
          </rPr>
          <t>Bill Michaud:</t>
        </r>
        <r>
          <rPr>
            <sz val="9"/>
            <color indexed="81"/>
            <rFont val="Tahoma"/>
            <family val="2"/>
          </rPr>
          <t xml:space="preserve">
Minutes input here will be added to the "Calculated Minutes" number in cell P20</t>
        </r>
      </text>
    </comment>
    <comment ref="N108" authorId="0" shapeId="0" xr:uid="{3CA072F0-AD69-40DC-9F1A-DFF6819BC708}">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08" authorId="0" shapeId="0" xr:uid="{5FAA90C3-CAF5-4A9E-A0B1-B7E8435B8640}">
      <text>
        <r>
          <rPr>
            <sz val="11"/>
            <color theme="1"/>
            <rFont val="Calibri"/>
            <family val="2"/>
            <scheme val="minor"/>
          </rPr>
          <t xml:space="preserve">Bill Michaud:
Input Items such as:
Linen Inventory
Deep Cleaning Rooms
Cleaning Carpets
Rotating Mattresses
Doing Supply Inv / Order
</t>
        </r>
      </text>
    </comment>
    <comment ref="J110" authorId="0" shapeId="0" xr:uid="{AB09264D-FA58-4C21-8406-B5A6E5E92398}">
      <text>
        <r>
          <rPr>
            <sz val="11"/>
            <color theme="1"/>
            <rFont val="Calibri"/>
            <family val="2"/>
            <scheme val="minor"/>
          </rPr>
          <t xml:space="preserve">Bill Michaud:
Do Not Count DND's, Verbal DND's or any other rooms which were assigned but not cleaned. </t>
        </r>
      </text>
    </comment>
    <comment ref="T120" authorId="0" shapeId="0" xr:uid="{FA11F59E-0DA4-42EA-8B0F-A6C6283FAF05}">
      <text>
        <r>
          <rPr>
            <b/>
            <sz val="9"/>
            <color indexed="81"/>
            <rFont val="Tahoma"/>
            <family val="2"/>
          </rPr>
          <t>Bill Michaud:</t>
        </r>
        <r>
          <rPr>
            <sz val="9"/>
            <color indexed="81"/>
            <rFont val="Tahoma"/>
            <family val="2"/>
          </rPr>
          <t xml:space="preserve">
Minutes input here will be added to the "Calculated Minutes" number in cell P20</t>
        </r>
      </text>
    </comment>
    <comment ref="N121" authorId="0" shapeId="0" xr:uid="{A44985BB-D469-4FD0-A2E1-FCDA9418BF9E}">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21" authorId="0" shapeId="0" xr:uid="{A310EBE2-812D-4339-8FE0-A465F726A7CE}">
      <text>
        <r>
          <rPr>
            <sz val="11"/>
            <color theme="1"/>
            <rFont val="Calibri"/>
            <family val="2"/>
            <scheme val="minor"/>
          </rPr>
          <t xml:space="preserve">Bill Michaud:
Input Items such as:
Linen Inventory
Deep Cleaning Rooms
Cleaning Carpets
Rotating Mattresses
Doing Supply Inv / Order
</t>
        </r>
      </text>
    </comment>
    <comment ref="J123" authorId="0" shapeId="0" xr:uid="{4C21242F-1A57-4F0B-AF3C-9832ED4EB904}">
      <text>
        <r>
          <rPr>
            <sz val="11"/>
            <color theme="1"/>
            <rFont val="Calibri"/>
            <family val="2"/>
            <scheme val="minor"/>
          </rPr>
          <t xml:space="preserve">Bill Michaud:
Do Not Count DND's, Verbal DND's or any other rooms which were assigned but not cleaned. </t>
        </r>
      </text>
    </comment>
    <comment ref="T133" authorId="0" shapeId="0" xr:uid="{BAB13A40-D029-4411-BC60-2EFCC74174EC}">
      <text>
        <r>
          <rPr>
            <b/>
            <sz val="9"/>
            <color indexed="81"/>
            <rFont val="Tahoma"/>
            <family val="2"/>
          </rPr>
          <t>Bill Michaud:</t>
        </r>
        <r>
          <rPr>
            <sz val="9"/>
            <color indexed="81"/>
            <rFont val="Tahoma"/>
            <family val="2"/>
          </rPr>
          <t xml:space="preserve">
Minutes input here will be added to the "Calculated Minutes" number in cell P20</t>
        </r>
      </text>
    </comment>
    <comment ref="N134" authorId="0" shapeId="0" xr:uid="{76971E9C-5284-4779-A743-6A64ACC74065}">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34" authorId="0" shapeId="0" xr:uid="{BC0553B4-A4C6-4A3E-AD5B-6767A406213B}">
      <text>
        <r>
          <rPr>
            <sz val="11"/>
            <color theme="1"/>
            <rFont val="Calibri"/>
            <family val="2"/>
            <scheme val="minor"/>
          </rPr>
          <t xml:space="preserve">Bill Michaud:
Input Items such as:
Linen Inventory
Deep Cleaning Rooms
Cleaning Carpets
Rotating Mattresses
Doing Supply Inv / Order
</t>
        </r>
      </text>
    </comment>
    <comment ref="J136" authorId="0" shapeId="0" xr:uid="{73C61369-D0DF-4E60-BE6A-F8A1670A458E}">
      <text>
        <r>
          <rPr>
            <sz val="11"/>
            <color theme="1"/>
            <rFont val="Calibri"/>
            <family val="2"/>
            <scheme val="minor"/>
          </rPr>
          <t xml:space="preserve">Bill Michaud:
Do Not Count DND's, Verbal DND's or any other rooms which were assigned but not cleaned. </t>
        </r>
      </text>
    </comment>
    <comment ref="T146" authorId="0" shapeId="0" xr:uid="{833227E0-7A74-430E-A440-C80B25E3E81D}">
      <text>
        <r>
          <rPr>
            <b/>
            <sz val="9"/>
            <color indexed="81"/>
            <rFont val="Tahoma"/>
            <family val="2"/>
          </rPr>
          <t>Bill Michaud:</t>
        </r>
        <r>
          <rPr>
            <sz val="9"/>
            <color indexed="81"/>
            <rFont val="Tahoma"/>
            <family val="2"/>
          </rPr>
          <t xml:space="preserve">
Minutes input here will be added to the "Calculated Minutes" number in cell P20</t>
        </r>
      </text>
    </comment>
    <comment ref="N147" authorId="0" shapeId="0" xr:uid="{76A92719-B7A7-49E4-92C6-6C6A2DF0A35F}">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47" authorId="0" shapeId="0" xr:uid="{CFDE331D-3FD6-465F-B9B7-45DFEF7B1513}">
      <text>
        <r>
          <rPr>
            <sz val="11"/>
            <color theme="1"/>
            <rFont val="Calibri"/>
            <family val="2"/>
            <scheme val="minor"/>
          </rPr>
          <t xml:space="preserve">Bill Michaud:
Input Items such as:
Linen Inventory
Deep Cleaning Rooms
Cleaning Carpets
Rotating Mattresses
Doing Supply Inv / Order
</t>
        </r>
      </text>
    </comment>
    <comment ref="J149" authorId="0" shapeId="0" xr:uid="{1F5EA264-DE43-4D2E-8667-1451EDBD8774}">
      <text>
        <r>
          <rPr>
            <sz val="11"/>
            <color theme="1"/>
            <rFont val="Calibri"/>
            <family val="2"/>
            <scheme val="minor"/>
          </rPr>
          <t xml:space="preserve">Bill Michaud:
Do Not Count DND's, Verbal DND's or any other rooms which were assigned but not cleaned. </t>
        </r>
      </text>
    </comment>
    <comment ref="T159" authorId="0" shapeId="0" xr:uid="{4FB44A72-EDB4-4D52-9453-21620EC71955}">
      <text>
        <r>
          <rPr>
            <b/>
            <sz val="9"/>
            <color indexed="81"/>
            <rFont val="Tahoma"/>
            <family val="2"/>
          </rPr>
          <t>Bill Michaud:</t>
        </r>
        <r>
          <rPr>
            <sz val="9"/>
            <color indexed="81"/>
            <rFont val="Tahoma"/>
            <family val="2"/>
          </rPr>
          <t xml:space="preserve">
Minutes input here will be added to the "Calculated Minutes" number in cell P20</t>
        </r>
      </text>
    </comment>
    <comment ref="N160" authorId="0" shapeId="0" xr:uid="{D68328DC-1418-4E9E-9653-BF8C2DD3AC84}">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60" authorId="0" shapeId="0" xr:uid="{6BE0567C-E03D-493F-9B0A-384433408A62}">
      <text>
        <r>
          <rPr>
            <sz val="11"/>
            <color theme="1"/>
            <rFont val="Calibri"/>
            <family val="2"/>
            <scheme val="minor"/>
          </rPr>
          <t xml:space="preserve">Bill Michaud:
Input Items such as:
Linen Inventory
Deep Cleaning Rooms
Cleaning Carpets
Rotating Mattresses
Doing Supply Inv / Order
</t>
        </r>
      </text>
    </comment>
    <comment ref="J162" authorId="0" shapeId="0" xr:uid="{4BA1337F-FED4-467A-913A-738B90A7124C}">
      <text>
        <r>
          <rPr>
            <sz val="11"/>
            <color theme="1"/>
            <rFont val="Calibri"/>
            <family val="2"/>
            <scheme val="minor"/>
          </rPr>
          <t xml:space="preserve">Bill Michaud:
Do Not Count DND's, Verbal DND's or any other rooms which were assigned but not cleaned. </t>
        </r>
      </text>
    </comment>
    <comment ref="T172" authorId="0" shapeId="0" xr:uid="{E7D4B8D1-B386-4C94-BE2A-5EC18CC46697}">
      <text>
        <r>
          <rPr>
            <b/>
            <sz val="9"/>
            <color indexed="81"/>
            <rFont val="Tahoma"/>
            <family val="2"/>
          </rPr>
          <t>Bill Michaud:</t>
        </r>
        <r>
          <rPr>
            <sz val="9"/>
            <color indexed="81"/>
            <rFont val="Tahoma"/>
            <family val="2"/>
          </rPr>
          <t xml:space="preserve">
Minutes input here will be added to the "Calculated Minutes" number in cell P20</t>
        </r>
      </text>
    </comment>
    <comment ref="N173" authorId="0" shapeId="0" xr:uid="{19DA77A7-F97F-4ECD-AD93-8D6D850D3A7C}">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73" authorId="0" shapeId="0" xr:uid="{D06839A1-918F-4C97-A8FA-76F7626D2F0B}">
      <text>
        <r>
          <rPr>
            <sz val="11"/>
            <color theme="1"/>
            <rFont val="Calibri"/>
            <family val="2"/>
            <scheme val="minor"/>
          </rPr>
          <t xml:space="preserve">Bill Michaud:
Input Items such as:
Linen Inventory
Deep Cleaning Rooms
Cleaning Carpets
Rotating Mattresses
Doing Supply Inv / Order
</t>
        </r>
      </text>
    </comment>
    <comment ref="J175" authorId="0" shapeId="0" xr:uid="{AE12E597-C620-4014-B80D-528087D07DD2}">
      <text>
        <r>
          <rPr>
            <sz val="11"/>
            <color theme="1"/>
            <rFont val="Calibri"/>
            <family val="2"/>
            <scheme val="minor"/>
          </rPr>
          <t xml:space="preserve">Bill Michaud:
Do Not Count DND's, Verbal DND's or any other rooms which were assigned but not cleaned. </t>
        </r>
      </text>
    </comment>
    <comment ref="T185" authorId="0" shapeId="0" xr:uid="{6576893E-C642-4D83-BC2C-30A007049752}">
      <text>
        <r>
          <rPr>
            <b/>
            <sz val="9"/>
            <color indexed="81"/>
            <rFont val="Tahoma"/>
            <family val="2"/>
          </rPr>
          <t>Bill Michaud:</t>
        </r>
        <r>
          <rPr>
            <sz val="9"/>
            <color indexed="81"/>
            <rFont val="Tahoma"/>
            <family val="2"/>
          </rPr>
          <t xml:space="preserve">
Minutes input here will be added to the "Calculated Minutes" number in cell P20</t>
        </r>
      </text>
    </comment>
    <comment ref="N186" authorId="0" shapeId="0" xr:uid="{424BCA37-ECD5-4A34-A144-AE283D008431}">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86" authorId="0" shapeId="0" xr:uid="{D1EE817B-EADF-4A96-9C2F-27976FE27875}">
      <text>
        <r>
          <rPr>
            <sz val="11"/>
            <color theme="1"/>
            <rFont val="Calibri"/>
            <family val="2"/>
            <scheme val="minor"/>
          </rPr>
          <t xml:space="preserve">Bill Michaud:
Input Items such as:
Linen Inventory
Deep Cleaning Rooms
Cleaning Carpets
Rotating Mattresses
Doing Supply Inv / Order
</t>
        </r>
      </text>
    </comment>
    <comment ref="J188" authorId="0" shapeId="0" xr:uid="{CA89C3D3-37F3-457A-ADBF-22E93ABDE38A}">
      <text>
        <r>
          <rPr>
            <sz val="11"/>
            <color theme="1"/>
            <rFont val="Calibri"/>
            <family val="2"/>
            <scheme val="minor"/>
          </rPr>
          <t xml:space="preserve">Bill Michaud:
Do Not Count DND's, Verbal DND's or any other rooms which were assigned but not cleaned. </t>
        </r>
      </text>
    </comment>
    <comment ref="T198" authorId="0" shapeId="0" xr:uid="{138ABE11-2536-4142-BD2C-51EBD5DB54AD}">
      <text>
        <r>
          <rPr>
            <b/>
            <sz val="9"/>
            <color indexed="81"/>
            <rFont val="Tahoma"/>
            <family val="2"/>
          </rPr>
          <t>Bill Michaud:</t>
        </r>
        <r>
          <rPr>
            <sz val="9"/>
            <color indexed="81"/>
            <rFont val="Tahoma"/>
            <family val="2"/>
          </rPr>
          <t xml:space="preserve">
Minutes input here will be added to the "Calculated Minutes" number in cell P20</t>
        </r>
      </text>
    </comment>
    <comment ref="N199" authorId="0" shapeId="0" xr:uid="{6549F2CA-648B-4D13-9E54-6AF1FC487E14}">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199" authorId="0" shapeId="0" xr:uid="{79693322-CF7B-4E4C-A005-A6A893878205}">
      <text>
        <r>
          <rPr>
            <sz val="11"/>
            <color theme="1"/>
            <rFont val="Calibri"/>
            <family val="2"/>
            <scheme val="minor"/>
          </rPr>
          <t xml:space="preserve">Bill Michaud:
Input Items such as:
Linen Inventory
Deep Cleaning Rooms
Cleaning Carpets
Rotating Mattresses
Doing Supply Inv / Order
</t>
        </r>
      </text>
    </comment>
    <comment ref="J201" authorId="0" shapeId="0" xr:uid="{EC0B77DC-0674-43CE-8657-112CF1DB54A3}">
      <text>
        <r>
          <rPr>
            <sz val="11"/>
            <color theme="1"/>
            <rFont val="Calibri"/>
            <family val="2"/>
            <scheme val="minor"/>
          </rPr>
          <t xml:space="preserve">Bill Michaud:
Do Not Count DND's, Verbal DND's or any other rooms which were assigned but not cleaned. </t>
        </r>
      </text>
    </comment>
    <comment ref="T211" authorId="0" shapeId="0" xr:uid="{C9CA5BAD-80E2-457A-AF44-839DA917A06A}">
      <text>
        <r>
          <rPr>
            <b/>
            <sz val="9"/>
            <color indexed="81"/>
            <rFont val="Tahoma"/>
            <family val="2"/>
          </rPr>
          <t>Bill Michaud:</t>
        </r>
        <r>
          <rPr>
            <sz val="9"/>
            <color indexed="81"/>
            <rFont val="Tahoma"/>
            <family val="2"/>
          </rPr>
          <t xml:space="preserve">
Minutes input here will be added to the "Calculated Minutes" number in cell P20</t>
        </r>
      </text>
    </comment>
    <comment ref="N212" authorId="0" shapeId="0" xr:uid="{85EFC468-F250-4080-A59B-1605ECC5168F}">
      <text>
        <r>
          <rPr>
            <sz val="11"/>
            <color theme="1"/>
            <rFont val="Calibri"/>
            <family val="2"/>
            <scheme val="minor"/>
          </rPr>
          <t xml:space="preserve">Stayovers on boards are NOT included in the total rooms inspected.  ONLY # of stayovers which were actually inspected, as entered in cell L15 are included in the total.
Only Pet Rooms inspected as Check Outs may be counted as Pet Rooms.
"Other" rooms are included in the total # of inspected rooms.   </t>
        </r>
      </text>
    </comment>
    <comment ref="R212" authorId="0" shapeId="0" xr:uid="{86D35FD5-B5C1-4EAA-8C64-A9998FE1EC9A}">
      <text>
        <r>
          <rPr>
            <sz val="11"/>
            <color theme="1"/>
            <rFont val="Calibri"/>
            <family val="2"/>
            <scheme val="minor"/>
          </rPr>
          <t xml:space="preserve">Bill Michaud:
Input Items such as:
Linen Inventory
Deep Cleaning Rooms
Cleaning Carpets
Rotating Mattresses
Doing Supply Inv / Order
</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Bill Michaud</author>
  </authors>
  <commentList>
    <comment ref="C38" authorId="0" shapeId="0" xr:uid="{865212E9-5506-45A3-963C-42CBC15F6C0B}">
      <text>
        <r>
          <rPr>
            <b/>
            <sz val="9"/>
            <color indexed="81"/>
            <rFont val="Tahoma"/>
            <family val="2"/>
          </rPr>
          <t>Bill Michaud:</t>
        </r>
        <r>
          <rPr>
            <sz val="9"/>
            <color indexed="81"/>
            <rFont val="Tahoma"/>
            <family val="2"/>
          </rPr>
          <t xml:space="preserve">
The number after the decimal is a fraction of an hour - NOT the number of minutes.   
For Example
8.25 equals eight hours and 15 minutes (1/4 of an hour) NOT eight hours and 25 minutes. </t>
        </r>
      </text>
    </comment>
    <comment ref="K38" authorId="0" shapeId="0" xr:uid="{095702B1-549B-46A6-B4FF-B70F5C08C936}">
      <text>
        <r>
          <rPr>
            <b/>
            <sz val="9"/>
            <color indexed="81"/>
            <rFont val="Tahoma"/>
            <family val="2"/>
          </rPr>
          <t>Bill Michaud:</t>
        </r>
        <r>
          <rPr>
            <sz val="9"/>
            <color indexed="81"/>
            <rFont val="Tahoma"/>
            <family val="2"/>
          </rPr>
          <t xml:space="preserve">
The number after the decimal is a fraction of an hour - NOT the number of minutes.   
For Example
8.25 equals eight hours and 15 minutes (1/4 of an hour) NOT eight hours and 25 minutes. </t>
        </r>
      </text>
    </comment>
    <comment ref="S38" authorId="0" shapeId="0" xr:uid="{0F26E8C0-E924-406A-9D14-FE06C65E677D}">
      <text>
        <r>
          <rPr>
            <b/>
            <sz val="9"/>
            <color indexed="81"/>
            <rFont val="Tahoma"/>
            <family val="2"/>
          </rPr>
          <t>Bill Michaud:</t>
        </r>
        <r>
          <rPr>
            <sz val="9"/>
            <color indexed="81"/>
            <rFont val="Tahoma"/>
            <family val="2"/>
          </rPr>
          <t xml:space="preserve">
The number after the decimal is a fraction of an hour - NOT the number of minutes.   
For Example
8.25 equals eight hours and 15 minutes (1/4 of an hour) NOT eight hours and 25 minutes.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Bill Michaud</author>
  </authors>
  <commentList>
    <comment ref="AG8" authorId="0" shapeId="0" xr:uid="{8B2F6C96-A06A-41E3-99E2-E54739C4FFBE}">
      <text>
        <r>
          <rPr>
            <sz val="11"/>
            <color theme="1"/>
            <rFont val="Calibri"/>
            <family val="2"/>
            <scheme val="minor"/>
          </rPr>
          <t>Bill Michaud:
Refrigerator
Microwave
Coffee Maker
Iron</t>
        </r>
      </text>
    </comment>
    <comment ref="C37" authorId="0" shapeId="0" xr:uid="{3C13DE54-F3DF-4418-AF09-3C6413612865}">
      <text>
        <r>
          <rPr>
            <b/>
            <sz val="9"/>
            <color indexed="81"/>
            <rFont val="Tahoma"/>
            <family val="2"/>
          </rPr>
          <t>Bill Michaud:</t>
        </r>
        <r>
          <rPr>
            <sz val="9"/>
            <color indexed="81"/>
            <rFont val="Tahoma"/>
            <family val="2"/>
          </rPr>
          <t xml:space="preserve">
</t>
        </r>
        <r>
          <rPr>
            <sz val="18"/>
            <color indexed="81"/>
            <rFont val="Tahoma"/>
            <family val="2"/>
          </rPr>
          <t>Password to change top 10 inspection priorities is "Priorities"</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<sst xmlns="http://schemas.openxmlformats.org/spreadsheetml/2006/main" count="4879" uniqueCount="298">
  <si>
    <t>Setup &amp; Criteria</t>
  </si>
  <si>
    <t>Quality Inn</t>
  </si>
  <si>
    <t>Reporting for</t>
  </si>
  <si>
    <t>Q1</t>
  </si>
  <si>
    <t>Holiday Inn Express</t>
  </si>
  <si>
    <t>Password = "EnterInfo"</t>
  </si>
  <si>
    <t>ORANGE TEXT</t>
  </si>
  <si>
    <t>Modification by Owner / GM</t>
  </si>
  <si>
    <t>Green Text</t>
  </si>
  <si>
    <t>Update by Hskpg Supervisor</t>
  </si>
  <si>
    <t>Sleep Inn</t>
  </si>
  <si>
    <t>Standards</t>
  </si>
  <si>
    <t>The Clean Team</t>
  </si>
  <si>
    <t>Payroll Cost and Incentives</t>
  </si>
  <si>
    <t>Room Attendants</t>
  </si>
  <si>
    <t>Room Minutes</t>
  </si>
  <si>
    <t>Corrections</t>
  </si>
  <si>
    <t>M1</t>
  </si>
  <si>
    <t>M2</t>
  </si>
  <si>
    <t>M3</t>
  </si>
  <si>
    <t>Q2</t>
  </si>
  <si>
    <t>Weston</t>
  </si>
  <si>
    <t>Incentive Potential</t>
  </si>
  <si>
    <t>Average Wage:</t>
  </si>
  <si>
    <t>Q3</t>
  </si>
  <si>
    <t>Checkouts</t>
  </si>
  <si>
    <t>Team Ave Last Month</t>
  </si>
  <si>
    <t>Jo</t>
  </si>
  <si>
    <t>Q4</t>
  </si>
  <si>
    <t>Pet Rooms</t>
  </si>
  <si>
    <t>This Month Standard</t>
  </si>
  <si>
    <t>Kelsey</t>
  </si>
  <si>
    <t>Incentive Eligibility Criteria</t>
  </si>
  <si>
    <t>Achieve Monthly Minutes Allowance</t>
  </si>
  <si>
    <t>January</t>
  </si>
  <si>
    <t>Stayovers</t>
  </si>
  <si>
    <t>Daily Side Duties Allowance</t>
  </si>
  <si>
    <t>Achieve Corrections Standard</t>
  </si>
  <si>
    <t>February</t>
  </si>
  <si>
    <t>Achieve Both Standards</t>
  </si>
  <si>
    <t>March</t>
  </si>
  <si>
    <t>Supervisors / Inspectress's</t>
  </si>
  <si>
    <t xml:space="preserve"> </t>
  </si>
  <si>
    <t>April</t>
  </si>
  <si>
    <t>Inspection Time Ave</t>
  </si>
  <si>
    <t>Other Daily Task Time Allowance</t>
  </si>
  <si>
    <t>Supervisors / Inspectress</t>
  </si>
  <si>
    <t>May</t>
  </si>
  <si>
    <t>Boards &amp; Day Prep</t>
  </si>
  <si>
    <t>Eligibility Criteria</t>
  </si>
  <si>
    <t>Monthly</t>
  </si>
  <si>
    <t>June</t>
  </si>
  <si>
    <t>Stock Closets</t>
  </si>
  <si>
    <t>Weight</t>
  </si>
  <si>
    <t>July</t>
  </si>
  <si>
    <t>Vacant / Clean</t>
  </si>
  <si>
    <t>Team Huddle</t>
  </si>
  <si>
    <t>G/R Cleanliness Score</t>
  </si>
  <si>
    <t>August</t>
  </si>
  <si>
    <t>Shift Wrap Up</t>
  </si>
  <si>
    <t>September</t>
  </si>
  <si>
    <t>Updating Rm Status</t>
  </si>
  <si>
    <t>Ea survey w/ G/R Cleanliness 7 or lower</t>
  </si>
  <si>
    <t>October</t>
  </si>
  <si>
    <t>November</t>
  </si>
  <si>
    <t>% of team w/ mins achieving standard</t>
  </si>
  <si>
    <t>December</t>
  </si>
  <si>
    <t>Amie</t>
  </si>
  <si>
    <t>% of Rm Att that achieve mins allowance</t>
  </si>
  <si>
    <t>Week 1</t>
  </si>
  <si>
    <t>Incentive Achieved</t>
  </si>
  <si>
    <t>Week 2</t>
  </si>
  <si>
    <t>Week 3</t>
  </si>
  <si>
    <t>Week 4</t>
  </si>
  <si>
    <t>Weekly Trending Report</t>
  </si>
  <si>
    <t>PRINTING TIP</t>
  </si>
  <si>
    <t>To print just the month that you want to print:</t>
  </si>
  <si>
    <t>Select PAGE LAYOUT from menu bar</t>
  </si>
  <si>
    <t>Minutes Trend Data</t>
  </si>
  <si>
    <t>Min Var</t>
  </si>
  <si>
    <t>Corr</t>
  </si>
  <si>
    <t>Min</t>
  </si>
  <si>
    <t>From Page Layout menu select PRINT AREA</t>
  </si>
  <si>
    <t>Wk 1</t>
  </si>
  <si>
    <t>Wk 2</t>
  </si>
  <si>
    <t>Wk 3</t>
  </si>
  <si>
    <t>Wk 4</t>
  </si>
  <si>
    <t>Wk 5</t>
  </si>
  <si>
    <t>Wk 6</t>
  </si>
  <si>
    <t>Wk 7</t>
  </si>
  <si>
    <t>Wk8</t>
  </si>
  <si>
    <t>Wk9</t>
  </si>
  <si>
    <t>Wk10</t>
  </si>
  <si>
    <t>Wk11</t>
  </si>
  <si>
    <t>Wk 12</t>
  </si>
  <si>
    <t>From the submenu that pops up</t>
  </si>
  <si>
    <t>select "SET PRINT AREA"</t>
  </si>
  <si>
    <t xml:space="preserve">Select the area of this tab that you want to print in order to establish the section of this sheet you want to print. </t>
  </si>
  <si>
    <t xml:space="preserve">Once you've defined the area, when ever you select print only that defined section will print.  </t>
  </si>
  <si>
    <t>Team ##</t>
  </si>
  <si>
    <t>Cum. Hours Variance</t>
  </si>
  <si>
    <t>Weekly $$ Variance</t>
  </si>
  <si>
    <t>Week 1 Ave</t>
  </si>
  <si>
    <t>Week 2 Ave</t>
  </si>
  <si>
    <t>Week 3 Ave</t>
  </si>
  <si>
    <t>Week 4 Ave</t>
  </si>
  <si>
    <t>Monthly Ave</t>
  </si>
  <si>
    <t>Month to date Leaderboard</t>
  </si>
  <si>
    <t>Minutes</t>
  </si>
  <si>
    <t>Week by Week Leaderboard</t>
  </si>
  <si>
    <t>Month Total</t>
  </si>
  <si>
    <t>Times</t>
  </si>
  <si>
    <t>Payroll Reconciliation</t>
  </si>
  <si>
    <t>1-15th</t>
  </si>
  <si>
    <t>16th-EOM</t>
  </si>
  <si>
    <t>Total</t>
  </si>
  <si>
    <t>Worksheet</t>
  </si>
  <si>
    <t>Training Hours</t>
  </si>
  <si>
    <t>Meeting / Other Hours</t>
  </si>
  <si>
    <t>Payroll</t>
  </si>
  <si>
    <t>Variance</t>
  </si>
  <si>
    <t>Supervisor / Inspectress</t>
  </si>
  <si>
    <t>Meeting Hours</t>
  </si>
  <si>
    <t>Print Area is set - only top page will print &amp; should fit on 1 page - landscape format.                                                                                                                                                                                       You do not need to print / submit the "Pay Period Detail" report below.</t>
  </si>
  <si>
    <t>Pay Period Detail</t>
  </si>
  <si>
    <t>Total Monthly</t>
  </si>
  <si>
    <t>16-EOM</t>
  </si>
  <si>
    <t>Housekeeping Daily Reporting</t>
  </si>
  <si>
    <t>Timeclock</t>
  </si>
  <si>
    <r>
      <rPr>
        <b/>
        <sz val="16"/>
        <color rgb="FF000000"/>
        <rFont val="Calibri"/>
        <family val="2"/>
        <scheme val="minor"/>
      </rPr>
      <t>Rooms Cleaned</t>
    </r>
    <r>
      <rPr>
        <b/>
        <sz val="8"/>
        <color rgb="FF000000"/>
        <rFont val="Calibri"/>
        <family val="2"/>
        <scheme val="minor"/>
      </rPr>
      <t xml:space="preserve"> (#'s may vary from boards)</t>
    </r>
  </si>
  <si>
    <t xml:space="preserve"> Performance</t>
  </si>
  <si>
    <t xml:space="preserve"> Corrections Tracking - Check out rooms</t>
  </si>
  <si>
    <t>Daily Notes</t>
  </si>
  <si>
    <t>Room Attendant</t>
  </si>
  <si>
    <t>In</t>
  </si>
  <si>
    <t>Out</t>
  </si>
  <si>
    <t>Hours</t>
  </si>
  <si>
    <t>Allowed Minutes</t>
  </si>
  <si>
    <t>Actual Minutes</t>
  </si>
  <si>
    <t>Variance from Standard</t>
  </si>
  <si>
    <t>Minutes Per Room Cleaned</t>
  </si>
  <si>
    <t>Daily Total</t>
  </si>
  <si>
    <t>Daily Corr / Inspected Checkout</t>
  </si>
  <si>
    <t>Record special project assignments and any other notes relative to the full team here in the white area.</t>
  </si>
  <si>
    <t xml:space="preserve">Record notes specific to this room attendant here in the grey </t>
  </si>
  <si>
    <t>Estimated vs Actual</t>
  </si>
  <si>
    <t>Special Projects &amp; Other Tasks</t>
  </si>
  <si>
    <t>Room Inspector</t>
  </si>
  <si>
    <t>V/C's</t>
  </si>
  <si>
    <t>Rooms Inspected</t>
  </si>
  <si>
    <t>Calculated Minutes</t>
  </si>
  <si>
    <t>Var. from Calculated</t>
  </si>
  <si>
    <t>Spec Proj. Task</t>
  </si>
  <si>
    <t>Approximate Time</t>
  </si>
  <si>
    <r>
      <rPr>
        <sz val="11"/>
        <color rgb="FF000000"/>
        <rFont val="Calibri"/>
        <family val="2"/>
        <scheme val="minor"/>
      </rPr>
      <t xml:space="preserve">Details / Notes </t>
    </r>
    <r>
      <rPr>
        <sz val="8"/>
        <color rgb="FF000000"/>
        <rFont val="Calibri"/>
        <family val="2"/>
        <scheme val="minor"/>
      </rPr>
      <t>(incl Rm #'s if applicable)</t>
    </r>
  </si>
  <si>
    <t># Inspected</t>
  </si>
  <si>
    <t>minutes</t>
  </si>
  <si>
    <t>Password to enter data = "Enter Info"</t>
  </si>
  <si>
    <t>Rm# stripped pillows-105, 106, 107, 108,109,115,117,119,120,121</t>
  </si>
  <si>
    <t>Pillows</t>
  </si>
  <si>
    <t>Make notes for the next days supervisor or anything that occurs today that needs to be documented by the supervisor in this section</t>
  </si>
  <si>
    <t>211 really dirty</t>
  </si>
  <si>
    <t>114- flipped beds</t>
  </si>
  <si>
    <t>205 really dirty</t>
  </si>
  <si>
    <t>vac downstairs hall</t>
  </si>
  <si>
    <t>Back log paperwork-90</t>
  </si>
  <si>
    <t>back log paperwork-180, order form 30, s&amp;C 70</t>
  </si>
  <si>
    <t>pillow inspection-70</t>
  </si>
  <si>
    <t>Houskeeping called off</t>
  </si>
  <si>
    <t>Kelsely called off by Insprectress</t>
  </si>
  <si>
    <t>Quarterly Performance Chart</t>
  </si>
  <si>
    <t>Click on chart to get edit box to appear</t>
  </si>
  <si>
    <t>Select filter button to choose which names to show on the chart</t>
  </si>
  <si>
    <t>Le</t>
  </si>
  <si>
    <t>Include Trend Chart for individual performances</t>
  </si>
  <si>
    <t>Weekly Correction Average Trending</t>
  </si>
  <si>
    <t>R    o    o    m         I    n    s    e    p    c    t    i    o    n    s         T    o    p         1    0         P    r    i    o    r    i    t    i    e    s</t>
  </si>
  <si>
    <t>Vanity</t>
  </si>
  <si>
    <t>Toilet</t>
  </si>
  <si>
    <t>Bed/Pillows</t>
  </si>
  <si>
    <t>Floor</t>
  </si>
  <si>
    <t>Dusting</t>
  </si>
  <si>
    <t>Fridge/Micro</t>
  </si>
  <si>
    <t>Tub</t>
  </si>
  <si>
    <t>Mirrors/Glass</t>
  </si>
  <si>
    <t>Stocking</t>
  </si>
  <si>
    <t>Other</t>
  </si>
  <si>
    <t>Team Total</t>
  </si>
  <si>
    <t>Change any of the purple text "Top 10" priorities on this sheet and it will change each sheet in the workbook</t>
  </si>
  <si>
    <t>Payroll Variance Report</t>
  </si>
  <si>
    <t>Monthly Incentive Report</t>
  </si>
  <si>
    <t>Rms Cleaned</t>
  </si>
  <si>
    <t>Hours Worked</t>
  </si>
  <si>
    <t>Weeks @ or better - Minutes</t>
  </si>
  <si>
    <t>Weeks @ or better - corr</t>
  </si>
  <si>
    <t>Incentive Modifier</t>
  </si>
  <si>
    <t>Incentive Amount</t>
  </si>
  <si>
    <t>Supervisor</t>
  </si>
  <si>
    <t>Daily Room Time Calculator</t>
  </si>
  <si>
    <t>Name:</t>
  </si>
  <si>
    <t>C/O's</t>
  </si>
  <si>
    <t>Pet C/0's</t>
  </si>
  <si>
    <t>S/O</t>
  </si>
  <si>
    <t>2 Room &amp; Hot Tub Suites</t>
  </si>
  <si>
    <t>#  Rooms Cleaned</t>
  </si>
  <si>
    <t xml:space="preserve">  +/- mins</t>
  </si>
  <si>
    <t>Allowed Hours Today</t>
  </si>
  <si>
    <t>Actual Hours</t>
  </si>
  <si>
    <t>Clock In</t>
  </si>
  <si>
    <t>Out - Lunch</t>
  </si>
  <si>
    <t xml:space="preserve">In - Lunch </t>
  </si>
  <si>
    <t>Clock Out</t>
  </si>
  <si>
    <t>Ave Mins per room</t>
  </si>
  <si>
    <t>Data Entry Password</t>
  </si>
  <si>
    <t>Corrections Counter</t>
  </si>
  <si>
    <t>Rooms</t>
  </si>
  <si>
    <t>Totals</t>
  </si>
  <si>
    <t xml:space="preserve">Ave / Room </t>
  </si>
  <si>
    <t>Week 5</t>
  </si>
  <si>
    <t>WorkDate</t>
  </si>
  <si>
    <t>MonthName</t>
  </si>
  <si>
    <t>Day</t>
  </si>
  <si>
    <t>Attendant</t>
  </si>
  <si>
    <t>SourceSheet</t>
  </si>
  <si>
    <t>M1_1-15th</t>
  </si>
  <si>
    <t>M1_16-EOM</t>
  </si>
  <si>
    <t>Month:</t>
  </si>
  <si>
    <t>Variance Leaderboard</t>
  </si>
  <si>
    <t>Rank</t>
  </si>
  <si>
    <t>Corrections Leaderboard</t>
  </si>
  <si>
    <t>Cor</t>
  </si>
  <si>
    <t>Correction</t>
  </si>
  <si>
    <t>MTD</t>
  </si>
  <si>
    <t>CorrectionType</t>
  </si>
  <si>
    <t>John</t>
  </si>
  <si>
    <t>Betty</t>
  </si>
  <si>
    <t>Greg</t>
  </si>
  <si>
    <t>Miguel</t>
  </si>
  <si>
    <t>Johnny</t>
  </si>
  <si>
    <t>Becca</t>
  </si>
  <si>
    <t>Attendant:</t>
  </si>
  <si>
    <t>All</t>
  </si>
  <si>
    <t>Average Variance Per Assigned Room</t>
  </si>
  <si>
    <t>Min/Room</t>
  </si>
  <si>
    <t>Leaderboard</t>
  </si>
  <si>
    <t>Weekly Performance Tracker</t>
  </si>
  <si>
    <t>Other / Special Duties</t>
  </si>
  <si>
    <t>Mattress Rotation</t>
  </si>
  <si>
    <t>Linen Count</t>
  </si>
  <si>
    <t>Other Cleaning</t>
  </si>
  <si>
    <t>Training</t>
  </si>
  <si>
    <t>Inventory</t>
  </si>
  <si>
    <t/>
  </si>
  <si>
    <t>SpecialMinutes</t>
  </si>
  <si>
    <t>RegularMinutes</t>
  </si>
  <si>
    <t>Regular Minutes</t>
  </si>
  <si>
    <t>Special Minutes</t>
  </si>
  <si>
    <t>ActualMinutes</t>
  </si>
  <si>
    <t>AxisLabel</t>
  </si>
  <si>
    <t>Inspector:</t>
  </si>
  <si>
    <t>SpecialTask</t>
  </si>
  <si>
    <t>Assigned Room Type</t>
  </si>
  <si>
    <t>Pet Checkouts</t>
  </si>
  <si>
    <t>Suite Checkouts</t>
  </si>
  <si>
    <t>Total Checkouts</t>
  </si>
  <si>
    <t>All Assigned Rooms</t>
  </si>
  <si>
    <t>Special Duty</t>
  </si>
  <si>
    <t>Type</t>
  </si>
  <si>
    <t>Monthly Assigned Room Summary</t>
  </si>
  <si>
    <t>Monthly Special Duty Usage</t>
  </si>
  <si>
    <t>(Amie) 1</t>
  </si>
  <si>
    <t>(Amie) 4</t>
  </si>
  <si>
    <t>(Amie) 14</t>
  </si>
  <si>
    <t>(Amie) 27</t>
  </si>
  <si>
    <t>Date:</t>
  </si>
  <si>
    <t>Todays actual minutes</t>
  </si>
  <si>
    <t>Clock in Time</t>
  </si>
  <si>
    <t>Full Hours</t>
  </si>
  <si>
    <t>Full Hour Minutes</t>
  </si>
  <si>
    <t>Partial Hour Minutes</t>
  </si>
  <si>
    <t>Daily Actual Minutes</t>
  </si>
  <si>
    <t>Lunch break out</t>
  </si>
  <si>
    <t>X</t>
  </si>
  <si>
    <t>=</t>
  </si>
  <si>
    <t>+</t>
  </si>
  <si>
    <t>Lunch Clock In</t>
  </si>
  <si>
    <t>Clock out time</t>
  </si>
  <si>
    <t>x</t>
  </si>
  <si>
    <t>Todays allowed minutes</t>
  </si>
  <si>
    <t>Manager Shift Close Review</t>
  </si>
  <si>
    <t>Qty  Cleaned</t>
  </si>
  <si>
    <t>Daily Time Variance</t>
  </si>
  <si>
    <t>Check Outs</t>
  </si>
  <si>
    <t>Stock Cart</t>
  </si>
  <si>
    <t>Empty Vac</t>
  </si>
  <si>
    <t>Emtpy Trash</t>
  </si>
  <si>
    <t>Suites</t>
  </si>
  <si>
    <t>Manager Sign-Out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</si>
</sst>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h:mm;@"/>
    <numFmt numFmtId="165" formatCode="0.0"/>
    <numFmt numFmtId="166" formatCode="0_);[Red]\(0\)"/>
    <numFmt numFmtId="167" formatCode="&quot;$&quot;#,##0.00"/>
  </numFmts>
  <fonts count="110" x14ac:knownFonts="1">
    <font>
      <sz val="11"/>
      <color theme="1"/>
      <name val="Calibri"/>
      <family val="2"/>
      <scheme val="minor"/>
    </font>
    <font>
      <sz val="14"/>
      <color theme="1"/>
      <name val="Calibri"/>
      <family val="2"/>
      <scheme val="minor"/>
    </font>
    <font>
      <sz val="16"/>
      <color theme="1"/>
      <name val="Calibri"/>
      <family val="2"/>
      <scheme val="minor"/>
    </font>
    <font>
      <b/>
      <sz val="12"/>
      <color theme="1"/>
      <name val="Calibri"/>
      <family val="2"/>
      <scheme val="minor"/>
    </font>
    <font>
      <sz val="18"/>
      <color theme="1"/>
      <name val="Calibri"/>
      <family val="2"/>
      <scheme val="minor"/>
    </font>
    <font>
      <b/>
      <sz val="11"/>
      <color theme="1"/>
      <name val="Calibri"/>
      <family val="2"/>
      <scheme val="minor"/>
    </font>
    <font>
      <b/>
      <sz val="14"/>
      <color theme="1"/>
      <name val="Calibri"/>
      <family val="2"/>
      <scheme val="minor"/>
    </font>
    <font>
      <sz val="24"/>
      <color theme="1"/>
      <name val="Calibri"/>
      <family val="2"/>
      <scheme val="minor"/>
    </font>
    <font>
      <b/>
      <sz val="20"/>
      <color theme="1"/>
      <name val="Calibri"/>
      <family val="2"/>
      <scheme val="minor"/>
    </font>
    <font>
      <sz val="12"/>
      <color theme="1"/>
      <name val="Calibri"/>
      <family val="2"/>
      <scheme val="minor"/>
    </font>
    <font>
      <sz val="9"/>
      <color theme="1"/>
      <name val="Calibri"/>
      <family val="2"/>
      <scheme val="minor"/>
    </font>
    <font>
      <b/>
      <sz val="16"/>
      <color theme="1"/>
      <name val="Calibri"/>
      <family val="2"/>
      <scheme val="minor"/>
    </font>
    <font>
      <b/>
      <sz val="16"/>
      <color rgb="FF7030A0"/>
      <name val="Calibri"/>
      <family val="2"/>
      <scheme val="minor"/>
    </font>
    <font>
      <b/>
      <sz val="14"/>
      <color rgb="FF7030A0"/>
      <name val="Calibri"/>
      <family val="2"/>
      <scheme val="minor"/>
    </font>
    <font>
      <b/>
      <sz val="10"/>
      <color rgb="FF7030A0"/>
      <name val="Calibri"/>
      <family val="2"/>
      <scheme val="minor"/>
    </font>
    <font>
      <u/>
      <sz val="14"/>
      <color theme="1"/>
      <name val="Calibri"/>
      <family val="2"/>
      <scheme val="minor"/>
    </font>
    <font>
      <sz val="11"/>
      <color theme="1"/>
      <name val="Calibri"/>
      <family val="2"/>
      <scheme val="minor"/>
    </font>
    <font>
      <b/>
      <u/>
      <sz val="11"/>
      <color theme="1"/>
      <name val="Calibri"/>
      <family val="2"/>
      <scheme val="minor"/>
    </font>
    <font>
      <sz val="11"/>
      <color rgb="FF7030A0"/>
      <name val="Calibri"/>
      <family val="2"/>
      <scheme val="minor"/>
    </font>
    <font>
      <sz val="12"/>
      <color rgb="FF7030A0"/>
      <name val="Calibri"/>
      <family val="2"/>
      <scheme val="minor"/>
    </font>
    <font>
      <sz val="12"/>
      <color rgb="FF00B050"/>
      <name val="Calibri"/>
      <family val="2"/>
      <scheme val="minor"/>
    </font>
    <font>
      <sz val="12"/>
      <color rgb="FFFF0000"/>
      <name val="Calibri"/>
      <family val="2"/>
      <scheme val="minor"/>
    </font>
    <font>
      <sz val="12"/>
      <color theme="7" tint="-0.249977111117893"/>
      <name val="Calibri"/>
      <family val="2"/>
      <scheme val="minor"/>
    </font>
    <font>
      <sz val="12"/>
      <color rgb="FF00B0F0"/>
      <name val="Calibri"/>
      <family val="2"/>
      <scheme val="minor"/>
    </font>
    <font>
      <sz val="12"/>
      <color theme="9" tint="-0.249977111117893"/>
      <name val="Calibri"/>
      <family val="2"/>
      <scheme val="minor"/>
    </font>
    <font>
      <sz val="12"/>
      <color theme="5"/>
      <name val="Calibri"/>
      <family val="2"/>
      <scheme val="minor"/>
    </font>
    <font>
      <sz val="12"/>
      <color theme="4" tint="-0.249977111117893"/>
      <name val="Calibri"/>
      <family val="2"/>
      <scheme val="minor"/>
    </font>
    <font>
      <sz val="11"/>
      <color theme="4" tint="-0.249977111117893"/>
      <name val="Calibri"/>
      <family val="2"/>
      <scheme val="minor"/>
    </font>
    <font>
      <b/>
      <sz val="10"/>
      <color theme="1"/>
      <name val="Calibri"/>
      <family val="2"/>
      <scheme val="minor"/>
    </font>
    <font>
      <sz val="20"/>
      <color theme="1"/>
      <name val="Calibri"/>
      <family val="2"/>
      <scheme val="minor"/>
    </font>
    <font>
      <sz val="9"/>
      <color indexed="81"/>
      <name val="Tahoma"/>
      <family val="2"/>
    </font>
    <font>
      <b/>
      <sz val="9"/>
      <color indexed="81"/>
      <name val="Tahoma"/>
      <family val="2"/>
    </font>
    <font>
      <sz val="18"/>
      <color indexed="81"/>
      <name val="Tahoma"/>
      <family val="2"/>
    </font>
    <font>
      <sz val="22"/>
      <color theme="1"/>
      <name val="Calibri"/>
      <family val="2"/>
      <scheme val="minor"/>
    </font>
    <font>
      <sz val="12"/>
      <color theme="3" tint="0.39997558519241921"/>
      <name val="Calibri"/>
      <family val="2"/>
      <scheme val="minor"/>
    </font>
    <font>
      <sz val="36"/>
      <color theme="1"/>
      <name val="Calibri"/>
      <family val="2"/>
      <scheme val="minor"/>
    </font>
    <font>
      <b/>
      <sz val="22"/>
      <color rgb="FF7030A0"/>
      <name val="Calibri"/>
      <family val="2"/>
      <scheme val="minor"/>
    </font>
    <font>
      <sz val="12"/>
      <color theme="8"/>
      <name val="Calibri"/>
      <family val="2"/>
      <scheme val="minor"/>
    </font>
    <font>
      <sz val="12"/>
      <color rgb="FFFFC000"/>
      <name val="Calibri"/>
      <family val="2"/>
      <scheme val="minor"/>
    </font>
    <font>
      <sz val="12"/>
      <color theme="8" tint="0.39997558519241921"/>
      <name val="Calibri"/>
      <family val="2"/>
      <scheme val="minor"/>
    </font>
    <font>
      <b/>
      <u/>
      <sz val="12"/>
      <color rgb="FF7030A0"/>
      <name val="Calibri"/>
      <family val="2"/>
      <scheme val="minor"/>
    </font>
    <font>
      <b/>
      <sz val="22"/>
      <name val="Calibri"/>
      <family val="2"/>
      <scheme val="minor"/>
    </font>
    <font>
      <b/>
      <sz val="18"/>
      <color rgb="FF7030A0"/>
      <name val="Calibri"/>
      <family val="2"/>
      <scheme val="minor"/>
    </font>
    <font>
      <b/>
      <sz val="18"/>
      <color theme="1"/>
      <name val="Calibri"/>
      <family val="2"/>
      <scheme val="minor"/>
    </font>
    <font>
      <sz val="11"/>
      <color theme="0"/>
      <name val="Calibri"/>
      <family val="2"/>
      <scheme val="minor"/>
    </font>
    <font>
      <sz val="14"/>
      <color theme="0"/>
      <name val="Calibri"/>
      <family val="2"/>
      <scheme val="minor"/>
    </font>
    <font>
      <sz val="12"/>
      <color theme="9" tint="-0.499984740745262"/>
      <name val="Calibri"/>
      <family val="2"/>
      <scheme val="minor"/>
    </font>
    <font>
      <sz val="12"/>
      <color theme="7" tint="-0.499984740745262"/>
      <name val="Calibri"/>
      <family val="2"/>
      <scheme val="minor"/>
    </font>
    <font>
      <sz val="12"/>
      <color theme="4" tint="-0.499984740745262"/>
      <name val="Calibri"/>
      <family val="2"/>
      <scheme val="minor"/>
    </font>
    <font>
      <sz val="12"/>
      <color theme="5" tint="-0.249977111117893"/>
      <name val="Calibri"/>
      <family val="2"/>
      <scheme val="minor"/>
    </font>
    <font>
      <sz val="12"/>
      <color theme="4" tint="0.39997558519241921"/>
      <name val="Calibri"/>
      <family val="2"/>
      <scheme val="minor"/>
    </font>
    <font>
      <sz val="11"/>
      <color theme="9" tint="-0.249977111117893"/>
      <name val="Calibri"/>
      <family val="2"/>
      <scheme val="minor"/>
    </font>
    <font>
      <b/>
      <sz val="9.5"/>
      <color theme="1"/>
      <name val="Calibri"/>
      <family val="2"/>
      <scheme val="minor"/>
    </font>
    <font>
      <sz val="16"/>
      <color rgb="FF7030A0"/>
      <name val="Calibri"/>
      <family val="2"/>
      <scheme val="minor"/>
    </font>
    <font>
      <sz val="16"/>
      <color theme="0"/>
      <name val="Calibri"/>
      <family val="2"/>
      <scheme val="minor"/>
    </font>
    <font>
      <sz val="16"/>
      <color theme="9" tint="-0.249977111117893"/>
      <name val="Calibri"/>
      <family val="2"/>
      <scheme val="minor"/>
    </font>
    <font>
      <sz val="16"/>
      <color theme="8"/>
      <name val="Calibri"/>
      <family val="2"/>
      <scheme val="minor"/>
    </font>
    <font>
      <sz val="16"/>
      <color rgb="FFFF0000"/>
      <name val="Calibri"/>
      <family val="2"/>
      <scheme val="minor"/>
    </font>
    <font>
      <sz val="16"/>
      <color theme="7" tint="-0.249977111117893"/>
      <name val="Calibri"/>
      <family val="2"/>
      <scheme val="minor"/>
    </font>
    <font>
      <sz val="16"/>
      <color rgb="FF00B0F0"/>
      <name val="Calibri"/>
      <family val="2"/>
      <scheme val="minor"/>
    </font>
    <font>
      <sz val="16"/>
      <color rgb="FF00B050"/>
      <name val="Calibri"/>
      <family val="2"/>
      <scheme val="minor"/>
    </font>
    <font>
      <sz val="16"/>
      <color rgb="FFFFC000"/>
      <name val="Calibri"/>
      <family val="2"/>
      <scheme val="minor"/>
    </font>
    <font>
      <sz val="16"/>
      <color theme="3" tint="0.39997558519241921"/>
      <name val="Calibri"/>
      <family val="2"/>
      <scheme val="minor"/>
    </font>
    <font>
      <sz val="16"/>
      <color theme="5"/>
      <name val="Calibri"/>
      <family val="2"/>
      <scheme val="minor"/>
    </font>
    <font>
      <sz val="16"/>
      <color theme="8" tint="0.39997558519241921"/>
      <name val="Calibri"/>
      <family val="2"/>
      <scheme val="minor"/>
    </font>
    <font>
      <b/>
      <sz val="22"/>
      <color theme="1"/>
      <name val="Calibri"/>
      <family val="2"/>
      <scheme val="minor"/>
    </font>
    <font>
      <sz val="10"/>
      <color theme="1"/>
      <name val="Calibri"/>
      <family val="2"/>
      <scheme val="minor"/>
    </font>
    <font>
      <sz val="28"/>
      <color theme="1"/>
      <name val="Calibri"/>
      <family val="2"/>
      <scheme val="minor"/>
    </font>
    <font>
      <sz val="11"/>
      <color rgb="FF000000"/>
      <name val="Calibri"/>
      <family val="2"/>
      <scheme val="minor"/>
    </font>
    <font>
      <sz val="8"/>
      <color rgb="FF000000"/>
      <name val="Calibri"/>
      <family val="2"/>
      <scheme val="minor"/>
    </font>
    <font>
      <b/>
      <sz val="16"/>
      <color rgb="FF000000"/>
      <name val="Calibri"/>
      <family val="2"/>
      <scheme val="minor"/>
    </font>
    <font>
      <b/>
      <sz val="8"/>
      <color rgb="FF000000"/>
      <name val="Calibri"/>
      <family val="2"/>
      <scheme val="minor"/>
    </font>
    <font>
      <b/>
      <sz val="24"/>
      <color theme="1"/>
      <name val="Calibri"/>
      <family val="2"/>
      <scheme val="minor"/>
    </font>
    <font>
      <sz val="12"/>
      <name val="Calibri"/>
      <family val="2"/>
      <scheme val="minor"/>
    </font>
    <font>
      <b/>
      <sz val="12"/>
      <color theme="9"/>
      <name val="Calibri"/>
      <family val="2"/>
      <scheme val="minor"/>
    </font>
    <font>
      <b/>
      <sz val="16"/>
      <color theme="9"/>
      <name val="Calibri"/>
      <family val="2"/>
      <scheme val="minor"/>
    </font>
    <font>
      <b/>
      <sz val="18"/>
      <color theme="9"/>
      <name val="Calibri"/>
      <family val="2"/>
      <scheme val="minor"/>
    </font>
    <font>
      <b/>
      <sz val="22"/>
      <color theme="9"/>
      <name val="Calibri"/>
      <family val="2"/>
      <scheme val="minor"/>
    </font>
    <font>
      <b/>
      <sz val="12"/>
      <color theme="5"/>
      <name val="Calibri"/>
      <family val="2"/>
      <scheme val="minor"/>
    </font>
    <font>
      <b/>
      <sz val="12"/>
      <color rgb="FF000000"/>
      <name val="Calibri"/>
      <family val="2"/>
      <scheme val="minor"/>
    </font>
    <font>
      <b/>
      <sz val="9"/>
      <color theme="5" tint="-0.249977111117893"/>
      <name val="Calibri"/>
      <family val="2"/>
      <scheme val="minor"/>
    </font>
    <font>
      <b/>
      <sz val="9"/>
      <color theme="9"/>
      <name val="Calibri"/>
      <family val="2"/>
      <scheme val="minor"/>
    </font>
    <font>
      <b/>
      <sz val="9"/>
      <color theme="1"/>
      <name val="Calibri"/>
      <family val="2"/>
      <scheme val="minor"/>
    </font>
    <font>
      <b/>
      <sz val="11"/>
      <color theme="9"/>
      <name val="Calibri"/>
      <family val="2"/>
      <scheme val="minor"/>
    </font>
    <font>
      <sz val="11"/>
      <color theme="9"/>
      <name val="Calibri"/>
      <family val="2"/>
      <scheme val="minor"/>
    </font>
    <font>
      <b/>
      <sz val="24"/>
      <color theme="9"/>
      <name val="Calibri"/>
      <family val="2"/>
      <scheme val="minor"/>
    </font>
    <font>
      <sz val="20"/>
      <name val="Calibri"/>
      <family val="2"/>
      <scheme val="minor"/>
    </font>
    <font>
      <b/>
      <sz val="18"/>
      <name val="Calibri"/>
      <family val="2"/>
      <scheme val="minor"/>
    </font>
    <font>
      <sz val="8"/>
      <color theme="1"/>
      <name val="Calibri"/>
      <family val="2"/>
      <scheme val="minor"/>
    </font>
    <font>
      <b/>
      <sz val="14"/>
      <name val="Calibri"/>
      <family val="2"/>
      <scheme val="minor"/>
    </font>
    <font>
      <b/>
      <sz val="26"/>
      <color theme="1"/>
      <name val="Calibri"/>
      <family val="2"/>
      <scheme val="minor"/>
    </font>
    <font>
      <sz val="26"/>
      <color theme="1"/>
      <name val="Calibri"/>
      <family val="2"/>
      <scheme val="minor"/>
    </font>
    <font>
      <sz val="12"/>
      <color theme="1"/>
      <name val="Bernard MT Condensed"/>
      <family val="1"/>
    </font>
    <font>
      <sz val="16"/>
      <name val="Calibri"/>
      <family val="2"/>
      <scheme val="minor"/>
    </font>
    <font>
      <sz val="16"/>
      <color theme="1"/>
      <name val="Dreaming Outloud Pro"/>
      <family val="4"/>
    </font>
    <font>
      <b/>
      <u/>
      <sz val="20"/>
      <color theme="1"/>
      <name val="Calibri"/>
      <family val="2"/>
      <scheme val="minor"/>
    </font>
    <font>
      <b/>
      <u/>
      <sz val="24"/>
      <color theme="1"/>
      <name val="Calibri"/>
      <family val="2"/>
      <scheme val="minor"/>
    </font>
    <font>
      <b/>
      <u/>
      <sz val="28"/>
      <color theme="1"/>
      <name val="Calibri"/>
      <family val="2"/>
      <scheme val="minor"/>
    </font>
    <font>
      <b/>
      <sz val="14"/>
      <color theme="1"/>
      <name val="Dreaming Outloud Pro"/>
      <family val="4"/>
    </font>
    <font>
      <sz val="14"/>
      <color theme="1"/>
      <name val="Dreaming Outloud Pro"/>
      <family val="4"/>
    </font>
    <font>
      <sz val="48"/>
      <color theme="1"/>
      <name val="Calibri"/>
      <family val="2"/>
      <scheme val="minor"/>
    </font>
    <font>
      <b/>
      <sz val="48"/>
      <color theme="9"/>
      <name val="Calibri"/>
      <family val="2"/>
      <scheme val="minor"/>
    </font>
    <font>
      <sz val="18"/>
      <color theme="0"/>
      <name val="Calibri"/>
      <family val="2"/>
      <scheme val="minor"/>
    </font>
    <font>
      <sz val="13"/>
      <color theme="1"/>
      <name val="Amasis MT Pro Medium"/>
      <family val="1"/>
    </font>
    <font>
      <sz val="13"/>
      <color theme="1"/>
      <name val="Calibri"/>
      <family val="2"/>
      <scheme val="minor"/>
    </font>
    <font>
      <sz val="13"/>
      <color theme="0"/>
      <name val="Calibri"/>
      <family val="2"/>
      <scheme val="minor"/>
    </font>
    <font>
      <b/>
      <sz val="13"/>
      <color theme="1"/>
      <name val="Calibri"/>
      <family val="2"/>
      <scheme val="minor"/>
    </font>
    <font>
      <b/>
      <sz val="13"/>
      <color theme="1"/>
      <name val="Amasis MT Pro Medium"/>
      <family val="1"/>
    </font>
    <font>
      <b/>
      <sz val="28"/>
      <color theme="1"/>
      <name val="Berlin Sans FB Demi"/>
      <family val="2"/>
    </font>
    <font>
      <sz val="36"/>
      <color theme="1"/>
      <name val="Berlin Sans FB Demi"/>
      <family val="2"/>
    </font>
  </fonts>
  <fills count="23">
    <fill>
      <patternFill patternType="none"/>
    </fill>
    <fill>
      <patternFill patternType="gray125"/>
    </fill>
    <fill>
      <patternFill patternType="solid">
        <fgColor theme="0" tint="-0.14999847407452621"/>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theme="7"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5" tint="0.39997558519241921"/>
        <bgColor indexed="64"/>
      </patternFill>
    </fill>
    <fill>
      <patternFill patternType="solid">
        <fgColor theme="0"/>
        <bgColor indexed="64"/>
      </patternFill>
    </fill>
    <fill>
      <patternFill patternType="solid">
        <fgColor theme="5" tint="0.59999389629810485"/>
        <bgColor indexed="64"/>
      </patternFill>
    </fill>
    <fill>
      <patternFill patternType="solid">
        <fgColor rgb="FFFF0000"/>
        <bgColor indexed="64"/>
      </patternFill>
    </fill>
    <fill>
      <patternFill patternType="solid">
        <fgColor rgb="FFD9D9D9"/>
        <bgColor indexed="64"/>
      </patternFill>
    </fill>
    <fill>
      <patternFill patternType="solid">
        <fgColor rgb="FF9BC2E6"/>
        <bgColor indexed="64"/>
      </patternFill>
    </fill>
    <fill>
      <patternFill patternType="solid">
        <fgColor rgb="FFDDEBF7"/>
        <bgColor indexed="64"/>
      </patternFill>
    </fill>
    <fill>
      <patternFill patternType="solid">
        <fgColor rgb="FFA9D08E"/>
        <bgColor indexed="64"/>
      </patternFill>
    </fill>
    <fill>
      <patternFill patternType="solid">
        <fgColor rgb="FFE2EFDA"/>
        <bgColor indexed="64"/>
      </patternFill>
    </fill>
    <fill>
      <patternFill patternType="solid">
        <fgColor rgb="FFF4B084"/>
        <bgColor indexed="64"/>
      </patternFill>
    </fill>
    <fill>
      <patternFill patternType="solid">
        <fgColor rgb="FFFCE4D6"/>
        <bgColor indexed="64"/>
      </patternFill>
    </fill>
    <fill>
      <patternFill patternType="solid">
        <fgColor rgb="FFF2F2F2"/>
        <bgColor indexed="64"/>
      </patternFill>
    </fill>
  </fills>
  <borders count="89">
    <border>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bottom style="medium">
        <color indexed="64"/>
      </bottom>
      <diagonal/>
    </border>
    <border>
      <left/>
      <right/>
      <top style="medium">
        <color indexed="64"/>
      </top>
      <bottom style="medium">
        <color indexed="64"/>
      </bottom>
      <diagonal/>
    </border>
    <border>
      <left style="medium">
        <color indexed="64"/>
      </left>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style="medium">
        <color indexed="64"/>
      </bottom>
      <diagonal/>
    </border>
    <border>
      <left style="medium">
        <color indexed="64"/>
      </left>
      <right/>
      <top/>
      <bottom/>
      <diagonal/>
    </border>
    <border>
      <left/>
      <right/>
      <top style="medium">
        <color indexed="64"/>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style="double">
        <color indexed="64"/>
      </bottom>
      <diagonal/>
    </border>
    <border>
      <left/>
      <right/>
      <top style="double">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bottom style="double">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bottom style="double">
        <color indexed="64"/>
      </bottom>
      <diagonal/>
    </border>
    <border>
      <left/>
      <right/>
      <top/>
      <bottom style="double">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double">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thin">
        <color indexed="64"/>
      </top>
      <bottom style="double">
        <color indexed="64"/>
      </bottom>
      <diagonal/>
    </border>
    <border>
      <left style="thin">
        <color indexed="64"/>
      </left>
      <right/>
      <top/>
      <bottom/>
      <diagonal/>
    </border>
    <border>
      <left/>
      <right style="thin">
        <color indexed="64"/>
      </right>
      <top/>
      <bottom/>
      <diagonal/>
    </border>
    <border>
      <left/>
      <right/>
      <top/>
      <bottom style="thin">
        <color indexed="64"/>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top/>
      <bottom style="medium">
        <color indexed="64"/>
      </bottom>
      <diagonal/>
    </border>
    <border>
      <left/>
      <right style="thin">
        <color indexed="64"/>
      </right>
      <top/>
      <bottom style="medium">
        <color indexed="64"/>
      </bottom>
      <diagonal/>
    </border>
    <border>
      <left style="medium">
        <color indexed="64"/>
      </left>
      <right/>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bottom style="double">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diagonal/>
    </border>
    <border>
      <left style="thin">
        <color indexed="64"/>
      </left>
      <right style="medium">
        <color rgb="FF000000"/>
      </right>
      <top style="thin">
        <color indexed="64"/>
      </top>
      <bottom style="thin">
        <color indexed="64"/>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indexed="64"/>
      </left>
      <right style="thin">
        <color indexed="64"/>
      </right>
      <top style="thin">
        <color indexed="64"/>
      </top>
      <bottom style="medium">
        <color rgb="FF000000"/>
      </bottom>
      <diagonal/>
    </border>
    <border>
      <left/>
      <right style="thin">
        <color indexed="64"/>
      </right>
      <top/>
      <bottom style="medium">
        <color rgb="FF000000"/>
      </bottom>
      <diagonal/>
    </border>
    <border>
      <left/>
      <right style="thin">
        <color rgb="FF000000"/>
      </right>
      <top style="thin">
        <color rgb="FF000000"/>
      </top>
      <bottom style="medium">
        <color rgb="FF000000"/>
      </bottom>
      <diagonal/>
    </border>
    <border>
      <left style="thin">
        <color indexed="64"/>
      </left>
      <right style="thin">
        <color indexed="64"/>
      </right>
      <top style="thin">
        <color indexed="64"/>
      </top>
      <bottom style="double">
        <color rgb="FF000000"/>
      </bottom>
      <diagonal/>
    </border>
    <border>
      <left/>
      <right/>
      <top/>
      <bottom style="thin">
        <color rgb="FF000000"/>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rgb="FF000000"/>
      </left>
      <right/>
      <top style="medium">
        <color indexed="64"/>
      </top>
      <bottom/>
      <diagonal/>
    </border>
    <border>
      <left/>
      <right style="medium">
        <color rgb="FF000000"/>
      </right>
      <top style="medium">
        <color indexed="64"/>
      </top>
      <bottom/>
      <diagonal/>
    </border>
    <border>
      <left/>
      <right style="medium">
        <color rgb="FF000000"/>
      </right>
      <top style="medium">
        <color indexed="64"/>
      </top>
      <bottom style="medium">
        <color indexed="64"/>
      </bottom>
      <diagonal/>
    </border>
    <border>
      <left style="medium">
        <color indexed="64"/>
      </left>
      <right style="thin">
        <color rgb="FF000000"/>
      </right>
      <top style="thin">
        <color rgb="FF000000"/>
      </top>
      <bottom style="thin">
        <color rgb="FF000000"/>
      </bottom>
      <diagonal/>
    </border>
    <border>
      <left style="thin">
        <color rgb="FF000000"/>
      </left>
      <right style="medium">
        <color indexed="64"/>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medium">
        <color indexed="64"/>
      </right>
      <top style="thin">
        <color rgb="FF000000"/>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rgb="FF000000"/>
      </top>
      <bottom style="medium">
        <color indexed="64"/>
      </bottom>
      <diagonal/>
    </border>
    <border>
      <left style="thin">
        <color rgb="FF000000"/>
      </left>
      <right/>
      <top/>
      <bottom style="medium">
        <color indexed="64"/>
      </bottom>
      <diagonal/>
    </border>
    <border>
      <left style="medium">
        <color indexed="64"/>
      </left>
      <right/>
      <top/>
      <bottom style="medium">
        <color rgb="FF000000"/>
      </bottom>
      <diagonal/>
    </border>
    <border>
      <left style="medium">
        <color indexed="64"/>
      </left>
      <right style="medium">
        <color rgb="FF000000"/>
      </right>
      <top/>
      <bottom/>
      <diagonal/>
    </border>
    <border>
      <left/>
      <right style="medium">
        <color indexed="64"/>
      </right>
      <top/>
      <bottom style="thin">
        <color indexed="64"/>
      </bottom>
      <diagonal/>
    </border>
    <border>
      <left/>
      <right/>
      <top style="medium">
        <color indexed="64"/>
      </top>
      <bottom style="double">
        <color indexed="64"/>
      </bottom>
      <diagonal/>
    </border>
    <border>
      <left style="thin">
        <color rgb="FF000000"/>
      </left>
      <right style="thin">
        <color rgb="FF000000"/>
      </right>
      <top/>
      <bottom style="thin">
        <color rgb="FF000000"/>
      </bottom>
      <diagonal/>
    </border>
    <border>
      <left style="thin">
        <color indexed="64"/>
      </left>
      <right style="thin">
        <color indexed="64"/>
      </right>
      <top style="thin">
        <color indexed="64"/>
      </top>
      <bottom/>
      <diagonal/>
    </border>
  </borders>
  <cellStyleXfs count="3">
    <xf numFmtId="0" fontId="0" fillId="0" borderId="0"/>
    <xf numFmtId="44" fontId="16" fillId="0" borderId="0" applyFont="0" applyFill="0" applyBorder="0" applyAlignment="0" applyProtection="0"/>
    <xf numFmtId="9" fontId="16" fillId="0" borderId="0" applyFont="0" applyFill="0" applyBorder="0" applyAlignment="0" applyProtection="0"/>
  </cellStyleXfs>
  <cellXfs count="1010">
    <xf numFmtId="0" fontId="0" fillId="0" borderId="0" xfId="0"/>
    <xf numFmtId="0" fontId="0" fillId="0" borderId="0" xfId="0" applyAlignment="1">
      <alignment horizontal="center"/>
    </xf>
    <xf numFmtId="0" fontId="0" fillId="0" borderId="4" xfId="0" applyBorder="1"/>
    <xf numFmtId="0" fontId="0" fillId="0" borderId="0" xfId="0" applyAlignment="1">
      <alignment vertical="center"/>
    </xf>
    <xf numFmtId="0" fontId="3" fillId="0" borderId="0" xfId="0" applyFont="1" applyAlignment="1">
      <alignment vertical="center"/>
    </xf>
    <xf numFmtId="0" fontId="1" fillId="0" borderId="0" xfId="0" applyFont="1" applyAlignment="1">
      <alignment horizontal="center" vertical="center"/>
    </xf>
    <xf numFmtId="0" fontId="3" fillId="0" borderId="10" xfId="0" applyFont="1" applyBorder="1" applyAlignment="1">
      <alignment vertical="center"/>
    </xf>
    <xf numFmtId="0" fontId="5" fillId="0" borderId="0" xfId="0" applyFont="1"/>
    <xf numFmtId="0" fontId="5" fillId="0" borderId="0" xfId="0" applyFont="1" applyAlignment="1">
      <alignment vertical="center"/>
    </xf>
    <xf numFmtId="0" fontId="7" fillId="0" borderId="0" xfId="0" applyFont="1" applyAlignment="1">
      <alignment horizontal="center" vertical="center"/>
    </xf>
    <xf numFmtId="0" fontId="0" fillId="0" borderId="0" xfId="0" applyAlignment="1">
      <alignment wrapText="1"/>
    </xf>
    <xf numFmtId="164" fontId="0" fillId="0" borderId="0" xfId="0" applyNumberFormat="1"/>
    <xf numFmtId="1" fontId="0" fillId="0" borderId="0" xfId="0" applyNumberFormat="1" applyAlignment="1">
      <alignment horizontal="center" vertical="center"/>
    </xf>
    <xf numFmtId="0" fontId="3" fillId="0" borderId="19" xfId="0" applyFont="1" applyBorder="1" applyAlignment="1">
      <alignment horizontal="center" vertical="center"/>
    </xf>
    <xf numFmtId="0" fontId="10" fillId="0" borderId="18" xfId="0" applyFont="1" applyBorder="1" applyAlignment="1">
      <alignment horizontal="center" vertical="center" wrapText="1"/>
    </xf>
    <xf numFmtId="0" fontId="3" fillId="0" borderId="18" xfId="0" applyFont="1" applyBorder="1" applyAlignment="1">
      <alignment vertical="center" wrapText="1"/>
    </xf>
    <xf numFmtId="0" fontId="0" fillId="0" borderId="18" xfId="0" applyBorder="1"/>
    <xf numFmtId="1" fontId="1" fillId="0" borderId="0" xfId="0" applyNumberFormat="1" applyFont="1" applyAlignment="1">
      <alignment horizontal="center" vertical="center"/>
    </xf>
    <xf numFmtId="2" fontId="1" fillId="0" borderId="0" xfId="0" applyNumberFormat="1" applyFont="1" applyAlignment="1">
      <alignment horizontal="center" vertical="center"/>
    </xf>
    <xf numFmtId="0" fontId="7" fillId="0" borderId="0" xfId="0" applyFont="1" applyAlignment="1">
      <alignment vertical="center"/>
    </xf>
    <xf numFmtId="0" fontId="4" fillId="0" borderId="0" xfId="0" applyFont="1" applyAlignment="1">
      <alignment vertical="center"/>
    </xf>
    <xf numFmtId="0" fontId="0" fillId="0" borderId="11" xfId="0" applyBorder="1"/>
    <xf numFmtId="0" fontId="0" fillId="0" borderId="8" xfId="0" applyBorder="1"/>
    <xf numFmtId="0" fontId="2" fillId="0" borderId="10" xfId="0" applyFont="1" applyBorder="1"/>
    <xf numFmtId="0" fontId="0" fillId="0" borderId="1" xfId="0" applyBorder="1"/>
    <xf numFmtId="0" fontId="0" fillId="0" borderId="6" xfId="0" applyBorder="1" applyAlignment="1">
      <alignment vertical="center"/>
    </xf>
    <xf numFmtId="1" fontId="1" fillId="0" borderId="4" xfId="0" applyNumberFormat="1" applyFont="1" applyBorder="1" applyAlignment="1">
      <alignment horizontal="center" vertical="center"/>
    </xf>
    <xf numFmtId="165" fontId="1" fillId="0" borderId="4" xfId="0" applyNumberFormat="1" applyFont="1" applyBorder="1" applyAlignment="1">
      <alignment horizontal="center" vertical="center"/>
    </xf>
    <xf numFmtId="1" fontId="1" fillId="0" borderId="15" xfId="0" applyNumberFormat="1" applyFont="1" applyBorder="1" applyAlignment="1">
      <alignment horizontal="center" vertical="center"/>
    </xf>
    <xf numFmtId="0" fontId="5" fillId="0" borderId="11" xfId="0" applyFont="1" applyBorder="1" applyAlignment="1">
      <alignment horizontal="center" vertical="center" wrapText="1"/>
    </xf>
    <xf numFmtId="0" fontId="5" fillId="0" borderId="8" xfId="0" applyFont="1" applyBorder="1" applyAlignment="1">
      <alignment horizontal="center" vertical="center" wrapText="1"/>
    </xf>
    <xf numFmtId="0" fontId="5" fillId="0" borderId="19" xfId="0" applyFont="1" applyBorder="1" applyAlignment="1">
      <alignment horizontal="center" vertical="center"/>
    </xf>
    <xf numFmtId="0" fontId="5" fillId="0" borderId="19" xfId="0" applyFont="1" applyBorder="1" applyAlignment="1">
      <alignment horizontal="center" vertical="center" wrapText="1"/>
    </xf>
    <xf numFmtId="0" fontId="5" fillId="0" borderId="18" xfId="0" applyFont="1" applyBorder="1" applyAlignment="1">
      <alignment horizontal="center" vertical="center" wrapText="1"/>
    </xf>
    <xf numFmtId="0" fontId="5" fillId="0" borderId="18" xfId="0" applyFont="1" applyBorder="1" applyAlignment="1">
      <alignment horizontal="center" vertical="center"/>
    </xf>
    <xf numFmtId="0" fontId="5" fillId="0" borderId="1" xfId="0" applyFont="1" applyBorder="1" applyAlignment="1">
      <alignment horizontal="center" vertical="center"/>
    </xf>
    <xf numFmtId="1" fontId="1" fillId="0" borderId="25" xfId="0" applyNumberFormat="1" applyFont="1" applyBorder="1" applyAlignment="1">
      <alignment horizontal="center" vertical="center"/>
    </xf>
    <xf numFmtId="0" fontId="5" fillId="0" borderId="27" xfId="0" applyFont="1" applyBorder="1" applyAlignment="1">
      <alignment horizontal="center" vertical="center"/>
    </xf>
    <xf numFmtId="0" fontId="1" fillId="0" borderId="25" xfId="0" applyFont="1" applyBorder="1" applyAlignment="1">
      <alignment horizontal="center" vertical="center"/>
    </xf>
    <xf numFmtId="2" fontId="1" fillId="0" borderId="23" xfId="0" applyNumberFormat="1" applyFont="1" applyBorder="1" applyAlignment="1">
      <alignment horizontal="center" vertical="center"/>
    </xf>
    <xf numFmtId="2" fontId="1" fillId="0" borderId="24" xfId="0" applyNumberFormat="1" applyFont="1" applyBorder="1" applyAlignment="1">
      <alignment horizontal="center" vertical="center"/>
    </xf>
    <xf numFmtId="1" fontId="1" fillId="0" borderId="26" xfId="0" applyNumberFormat="1" applyFont="1" applyBorder="1" applyAlignment="1">
      <alignment horizontal="center" vertical="center"/>
    </xf>
    <xf numFmtId="2" fontId="1" fillId="0" borderId="26" xfId="0" applyNumberFormat="1" applyFont="1" applyBorder="1" applyAlignment="1">
      <alignment horizontal="center" vertical="center"/>
    </xf>
    <xf numFmtId="0" fontId="1" fillId="0" borderId="29" xfId="0" applyFont="1" applyBorder="1" applyAlignment="1">
      <alignment horizontal="center" vertical="center"/>
    </xf>
    <xf numFmtId="0" fontId="1" fillId="0" borderId="30" xfId="0" applyFont="1" applyBorder="1" applyAlignment="1">
      <alignment horizontal="center" vertical="center"/>
    </xf>
    <xf numFmtId="0" fontId="1" fillId="0" borderId="6" xfId="0" applyFont="1" applyBorder="1" applyAlignment="1">
      <alignment horizontal="center" vertical="center"/>
    </xf>
    <xf numFmtId="164" fontId="1" fillId="0" borderId="9" xfId="0" applyNumberFormat="1" applyFont="1" applyBorder="1" applyAlignment="1">
      <alignment horizontal="center" vertical="center"/>
    </xf>
    <xf numFmtId="0" fontId="12" fillId="0" borderId="16" xfId="0" applyFont="1" applyBorder="1" applyAlignment="1">
      <alignment horizontal="center" vertical="center"/>
    </xf>
    <xf numFmtId="1" fontId="12" fillId="0" borderId="16" xfId="0" applyNumberFormat="1" applyFont="1" applyBorder="1" applyAlignment="1">
      <alignment horizontal="center" vertical="center"/>
    </xf>
    <xf numFmtId="1" fontId="13" fillId="0" borderId="16" xfId="0" applyNumberFormat="1" applyFont="1" applyBorder="1" applyAlignment="1">
      <alignment horizontal="center" vertical="center"/>
    </xf>
    <xf numFmtId="0" fontId="13" fillId="0" borderId="16" xfId="0" applyFont="1" applyBorder="1" applyAlignment="1">
      <alignment horizontal="center" vertical="center"/>
    </xf>
    <xf numFmtId="166" fontId="13" fillId="0" borderId="16" xfId="0" applyNumberFormat="1" applyFont="1" applyBorder="1" applyAlignment="1">
      <alignment horizontal="center" vertical="center"/>
    </xf>
    <xf numFmtId="1" fontId="13" fillId="0" borderId="23" xfId="0" applyNumberFormat="1" applyFont="1" applyBorder="1" applyAlignment="1">
      <alignment horizontal="center" vertical="center"/>
    </xf>
    <xf numFmtId="0" fontId="13" fillId="0" borderId="20" xfId="0" applyFont="1" applyBorder="1" applyAlignment="1">
      <alignment horizontal="center" vertical="center"/>
    </xf>
    <xf numFmtId="1" fontId="13" fillId="0" borderId="20" xfId="0" applyNumberFormat="1" applyFont="1" applyBorder="1" applyAlignment="1">
      <alignment horizontal="center" vertical="center"/>
    </xf>
    <xf numFmtId="166" fontId="13" fillId="0" borderId="20" xfId="0" applyNumberFormat="1" applyFont="1" applyBorder="1" applyAlignment="1">
      <alignment horizontal="center" vertical="center"/>
    </xf>
    <xf numFmtId="1" fontId="13" fillId="0" borderId="24" xfId="0" applyNumberFormat="1" applyFont="1" applyBorder="1" applyAlignment="1">
      <alignment horizontal="center" vertical="center"/>
    </xf>
    <xf numFmtId="0" fontId="5" fillId="0" borderId="7" xfId="0" applyFont="1" applyBorder="1" applyAlignment="1">
      <alignment horizontal="center" vertical="center" wrapText="1"/>
    </xf>
    <xf numFmtId="0" fontId="0" fillId="0" borderId="10" xfId="0" applyBorder="1"/>
    <xf numFmtId="0" fontId="5" fillId="0" borderId="28" xfId="0" applyFont="1" applyBorder="1" applyAlignment="1">
      <alignment horizontal="center" vertical="center" wrapText="1"/>
    </xf>
    <xf numFmtId="1" fontId="3" fillId="0" borderId="15" xfId="0" applyNumberFormat="1" applyFont="1" applyBorder="1" applyAlignment="1">
      <alignment horizontal="center" vertical="center"/>
    </xf>
    <xf numFmtId="164" fontId="9" fillId="0" borderId="1" xfId="0" applyNumberFormat="1" applyFont="1" applyBorder="1" applyAlignment="1">
      <alignment horizontal="center" vertical="center"/>
    </xf>
    <xf numFmtId="164" fontId="9" fillId="0" borderId="17" xfId="0" applyNumberFormat="1" applyFont="1" applyBorder="1" applyAlignment="1">
      <alignment horizontal="center" vertical="center"/>
    </xf>
    <xf numFmtId="1" fontId="9" fillId="0" borderId="0" xfId="0" applyNumberFormat="1" applyFont="1" applyAlignment="1">
      <alignment horizontal="center" vertical="center"/>
    </xf>
    <xf numFmtId="0" fontId="9" fillId="0" borderId="0" xfId="0" applyFont="1" applyAlignment="1">
      <alignment horizontal="center" vertical="center"/>
    </xf>
    <xf numFmtId="166" fontId="9" fillId="0" borderId="0" xfId="0" applyNumberFormat="1" applyFont="1" applyAlignment="1">
      <alignment horizontal="center" vertical="center"/>
    </xf>
    <xf numFmtId="2" fontId="9" fillId="0" borderId="0" xfId="0" applyNumberFormat="1" applyFont="1" applyAlignment="1">
      <alignment horizontal="center" vertical="center"/>
    </xf>
    <xf numFmtId="165" fontId="9" fillId="0" borderId="0" xfId="0" applyNumberFormat="1" applyFont="1" applyAlignment="1">
      <alignment horizontal="center" vertical="center"/>
    </xf>
    <xf numFmtId="1" fontId="9" fillId="0" borderId="21" xfId="0" applyNumberFormat="1" applyFont="1" applyBorder="1" applyAlignment="1">
      <alignment horizontal="center" vertical="center"/>
    </xf>
    <xf numFmtId="1" fontId="9" fillId="0" borderId="22" xfId="0" applyNumberFormat="1" applyFont="1" applyBorder="1" applyAlignment="1">
      <alignment horizontal="center" vertical="center"/>
    </xf>
    <xf numFmtId="166" fontId="9" fillId="0" borderId="22" xfId="0" applyNumberFormat="1" applyFont="1" applyBorder="1" applyAlignment="1">
      <alignment horizontal="center" vertical="center"/>
    </xf>
    <xf numFmtId="165" fontId="9" fillId="0" borderId="22" xfId="0" applyNumberFormat="1" applyFont="1" applyBorder="1" applyAlignment="1">
      <alignment horizontal="center" vertical="center"/>
    </xf>
    <xf numFmtId="0" fontId="7" fillId="0" borderId="1" xfId="0" quotePrefix="1" applyFont="1" applyBorder="1" applyAlignment="1">
      <alignment horizontal="center" vertical="center"/>
    </xf>
    <xf numFmtId="0" fontId="1" fillId="0" borderId="4" xfId="0" applyFont="1" applyBorder="1" applyAlignment="1">
      <alignment horizontal="center" vertical="center"/>
    </xf>
    <xf numFmtId="0" fontId="7" fillId="0" borderId="9" xfId="0" quotePrefix="1" applyFont="1" applyBorder="1" applyAlignment="1">
      <alignment horizontal="center" vertical="center"/>
    </xf>
    <xf numFmtId="0" fontId="0" fillId="0" borderId="22" xfId="0" applyBorder="1"/>
    <xf numFmtId="0" fontId="9" fillId="0" borderId="15" xfId="0" applyFont="1" applyBorder="1" applyAlignment="1">
      <alignment vertical="center"/>
    </xf>
    <xf numFmtId="0" fontId="0" fillId="2" borderId="16" xfId="0" applyFill="1" applyBorder="1" applyAlignment="1">
      <alignment horizontal="center"/>
    </xf>
    <xf numFmtId="0" fontId="0" fillId="2" borderId="16" xfId="0" applyFill="1" applyBorder="1"/>
    <xf numFmtId="0" fontId="0" fillId="0" borderId="34" xfId="0" applyBorder="1" applyAlignment="1">
      <alignment horizontal="center"/>
    </xf>
    <xf numFmtId="0" fontId="0" fillId="0" borderId="34" xfId="0" applyBorder="1"/>
    <xf numFmtId="0" fontId="0" fillId="0" borderId="35" xfId="0" applyBorder="1" applyAlignment="1">
      <alignment horizontal="center"/>
    </xf>
    <xf numFmtId="0" fontId="0" fillId="0" borderId="36" xfId="0" applyBorder="1" applyAlignment="1">
      <alignment horizontal="center"/>
    </xf>
    <xf numFmtId="0" fontId="0" fillId="0" borderId="7" xfId="0" applyBorder="1"/>
    <xf numFmtId="0" fontId="26" fillId="0" borderId="10" xfId="0" applyFont="1" applyBorder="1" applyAlignment="1">
      <alignment horizontal="right"/>
    </xf>
    <xf numFmtId="165" fontId="27" fillId="2" borderId="35" xfId="0" applyNumberFormat="1" applyFont="1" applyFill="1" applyBorder="1" applyAlignment="1">
      <alignment horizontal="center" vertical="center"/>
    </xf>
    <xf numFmtId="165" fontId="27" fillId="2" borderId="36" xfId="0" applyNumberFormat="1" applyFont="1" applyFill="1" applyBorder="1" applyAlignment="1">
      <alignment horizontal="center" vertical="center"/>
    </xf>
    <xf numFmtId="0" fontId="9" fillId="0" borderId="0" xfId="0" applyFont="1" applyAlignment="1">
      <alignment horizontal="center"/>
    </xf>
    <xf numFmtId="0" fontId="0" fillId="2" borderId="10" xfId="0" applyFill="1" applyBorder="1" applyAlignment="1">
      <alignment horizontal="center"/>
    </xf>
    <xf numFmtId="0" fontId="0" fillId="2" borderId="0" xfId="0" applyFill="1" applyAlignment="1">
      <alignment horizontal="center"/>
    </xf>
    <xf numFmtId="0" fontId="0" fillId="2" borderId="0" xfId="0" applyFill="1"/>
    <xf numFmtId="0" fontId="0" fillId="2" borderId="29" xfId="0" applyFill="1" applyBorder="1" applyAlignment="1">
      <alignment horizontal="center"/>
    </xf>
    <xf numFmtId="0" fontId="27" fillId="2" borderId="10" xfId="0" applyFont="1" applyFill="1" applyBorder="1" applyAlignment="1">
      <alignment horizontal="center"/>
    </xf>
    <xf numFmtId="0" fontId="27" fillId="2" borderId="0" xfId="0" applyFont="1" applyFill="1" applyAlignment="1">
      <alignment horizontal="center"/>
    </xf>
    <xf numFmtId="0" fontId="27" fillId="2" borderId="0" xfId="0" applyFont="1" applyFill="1"/>
    <xf numFmtId="0" fontId="0" fillId="0" borderId="14" xfId="0" applyBorder="1" applyAlignment="1">
      <alignment horizontal="center"/>
    </xf>
    <xf numFmtId="165" fontId="19" fillId="0" borderId="0" xfId="0" applyNumberFormat="1" applyFont="1" applyAlignment="1">
      <alignment horizontal="center" vertical="center"/>
    </xf>
    <xf numFmtId="0" fontId="9" fillId="0" borderId="0" xfId="0" applyFont="1"/>
    <xf numFmtId="165" fontId="20" fillId="0" borderId="0" xfId="0" applyNumberFormat="1" applyFont="1" applyAlignment="1">
      <alignment horizontal="center" vertical="center"/>
    </xf>
    <xf numFmtId="165" fontId="21" fillId="0" borderId="0" xfId="0" applyNumberFormat="1" applyFont="1" applyAlignment="1">
      <alignment horizontal="center" vertical="center"/>
    </xf>
    <xf numFmtId="165" fontId="23" fillId="0" borderId="0" xfId="0" applyNumberFormat="1" applyFont="1" applyAlignment="1">
      <alignment horizontal="center" vertical="center"/>
    </xf>
    <xf numFmtId="0" fontId="19" fillId="0" borderId="0" xfId="0" applyFont="1" applyAlignment="1">
      <alignment horizontal="right"/>
    </xf>
    <xf numFmtId="0" fontId="6" fillId="0" borderId="0" xfId="0" applyFont="1" applyAlignment="1">
      <alignment horizontal="right"/>
    </xf>
    <xf numFmtId="0" fontId="9" fillId="0" borderId="22" xfId="0" applyFont="1" applyBorder="1" applyAlignment="1">
      <alignment horizontal="center"/>
    </xf>
    <xf numFmtId="0" fontId="19" fillId="0" borderId="10" xfId="0" applyFont="1" applyBorder="1" applyAlignment="1">
      <alignment horizontal="right" vertical="center"/>
    </xf>
    <xf numFmtId="0" fontId="19" fillId="0" borderId="0" xfId="0" applyFont="1" applyAlignment="1">
      <alignment horizontal="right" vertical="center"/>
    </xf>
    <xf numFmtId="0" fontId="19" fillId="0" borderId="0" xfId="0" applyFont="1" applyAlignment="1">
      <alignment horizontal="center" vertical="center"/>
    </xf>
    <xf numFmtId="1" fontId="19" fillId="0" borderId="29" xfId="0" applyNumberFormat="1" applyFont="1" applyBorder="1" applyAlignment="1">
      <alignment horizontal="center" vertical="center"/>
    </xf>
    <xf numFmtId="1" fontId="19" fillId="0" borderId="16" xfId="0" applyNumberFormat="1" applyFont="1" applyBorder="1" applyAlignment="1">
      <alignment horizontal="center" vertical="center"/>
    </xf>
    <xf numFmtId="165" fontId="19" fillId="0" borderId="16" xfId="0" applyNumberFormat="1" applyFont="1" applyBorder="1" applyAlignment="1">
      <alignment horizontal="center" vertical="center"/>
    </xf>
    <xf numFmtId="0" fontId="19" fillId="0" borderId="0" xfId="0" applyFont="1" applyAlignment="1">
      <alignment vertical="center"/>
    </xf>
    <xf numFmtId="0" fontId="24" fillId="0" borderId="10" xfId="0" applyFont="1" applyBorder="1" applyAlignment="1">
      <alignment horizontal="right" vertical="center"/>
    </xf>
    <xf numFmtId="0" fontId="24" fillId="0" borderId="0" xfId="0" applyFont="1" applyAlignment="1">
      <alignment horizontal="right" vertical="center"/>
    </xf>
    <xf numFmtId="0" fontId="24" fillId="0" borderId="0" xfId="0" applyFont="1" applyAlignment="1">
      <alignment horizontal="center" vertical="center"/>
    </xf>
    <xf numFmtId="1" fontId="24" fillId="0" borderId="29" xfId="0" applyNumberFormat="1" applyFont="1" applyBorder="1" applyAlignment="1">
      <alignment horizontal="center" vertical="center"/>
    </xf>
    <xf numFmtId="1" fontId="24" fillId="0" borderId="16" xfId="0" applyNumberFormat="1" applyFont="1" applyBorder="1" applyAlignment="1">
      <alignment horizontal="center" vertical="center"/>
    </xf>
    <xf numFmtId="165" fontId="24" fillId="0" borderId="16" xfId="0" applyNumberFormat="1" applyFont="1" applyBorder="1" applyAlignment="1">
      <alignment horizontal="center" vertical="center"/>
    </xf>
    <xf numFmtId="0" fontId="24" fillId="0" borderId="0" xfId="0" applyFont="1" applyAlignment="1">
      <alignment vertical="center"/>
    </xf>
    <xf numFmtId="0" fontId="21" fillId="0" borderId="10" xfId="0" applyFont="1" applyBorder="1" applyAlignment="1">
      <alignment horizontal="right" vertical="center"/>
    </xf>
    <xf numFmtId="0" fontId="21" fillId="0" borderId="0" xfId="0" applyFont="1" applyAlignment="1">
      <alignment horizontal="right" vertical="center"/>
    </xf>
    <xf numFmtId="0" fontId="21" fillId="0" borderId="0" xfId="0" applyFont="1" applyAlignment="1">
      <alignment horizontal="center" vertical="center"/>
    </xf>
    <xf numFmtId="1" fontId="21" fillId="0" borderId="29" xfId="0" applyNumberFormat="1" applyFont="1" applyBorder="1" applyAlignment="1">
      <alignment horizontal="center" vertical="center"/>
    </xf>
    <xf numFmtId="1" fontId="21" fillId="0" borderId="16" xfId="0" applyNumberFormat="1" applyFont="1" applyBorder="1" applyAlignment="1">
      <alignment horizontal="center" vertical="center"/>
    </xf>
    <xf numFmtId="165" fontId="21" fillId="0" borderId="16" xfId="0" applyNumberFormat="1" applyFont="1" applyBorder="1" applyAlignment="1">
      <alignment horizontal="center" vertical="center"/>
    </xf>
    <xf numFmtId="0" fontId="21" fillId="0" borderId="0" xfId="0" applyFont="1" applyAlignment="1">
      <alignment vertical="center"/>
    </xf>
    <xf numFmtId="0" fontId="34" fillId="0" borderId="10" xfId="0" applyFont="1" applyBorder="1" applyAlignment="1">
      <alignment horizontal="right" vertical="center"/>
    </xf>
    <xf numFmtId="0" fontId="34" fillId="0" borderId="0" xfId="0" applyFont="1" applyAlignment="1">
      <alignment horizontal="right" vertical="center"/>
    </xf>
    <xf numFmtId="0" fontId="34" fillId="0" borderId="0" xfId="0" applyFont="1" applyAlignment="1">
      <alignment horizontal="center" vertical="center"/>
    </xf>
    <xf numFmtId="1" fontId="34" fillId="0" borderId="29" xfId="0" applyNumberFormat="1" applyFont="1" applyBorder="1" applyAlignment="1">
      <alignment horizontal="center" vertical="center"/>
    </xf>
    <xf numFmtId="1" fontId="34" fillId="0" borderId="16" xfId="0" applyNumberFormat="1" applyFont="1" applyBorder="1" applyAlignment="1">
      <alignment horizontal="center" vertical="center"/>
    </xf>
    <xf numFmtId="165" fontId="34" fillId="0" borderId="16" xfId="0" applyNumberFormat="1" applyFont="1" applyBorder="1" applyAlignment="1">
      <alignment horizontal="center" vertical="center"/>
    </xf>
    <xf numFmtId="0" fontId="34" fillId="0" borderId="0" xfId="0" applyFont="1" applyAlignment="1">
      <alignment vertical="center"/>
    </xf>
    <xf numFmtId="0" fontId="22" fillId="0" borderId="10" xfId="0" applyFont="1" applyBorder="1" applyAlignment="1">
      <alignment horizontal="right" vertical="center"/>
    </xf>
    <xf numFmtId="0" fontId="22" fillId="0" borderId="0" xfId="0" applyFont="1" applyAlignment="1">
      <alignment horizontal="right" vertical="center"/>
    </xf>
    <xf numFmtId="0" fontId="22" fillId="0" borderId="0" xfId="0" applyFont="1" applyAlignment="1">
      <alignment horizontal="center" vertical="center"/>
    </xf>
    <xf numFmtId="1" fontId="22" fillId="0" borderId="29" xfId="0" applyNumberFormat="1" applyFont="1" applyBorder="1" applyAlignment="1">
      <alignment horizontal="center" vertical="center"/>
    </xf>
    <xf numFmtId="1" fontId="22" fillId="0" borderId="16" xfId="0" applyNumberFormat="1" applyFont="1" applyBorder="1" applyAlignment="1">
      <alignment horizontal="center" vertical="center"/>
    </xf>
    <xf numFmtId="165" fontId="22" fillId="0" borderId="16" xfId="0" applyNumberFormat="1" applyFont="1" applyBorder="1" applyAlignment="1">
      <alignment horizontal="center" vertical="center"/>
    </xf>
    <xf numFmtId="0" fontId="22" fillId="0" borderId="0" xfId="0" applyFont="1" applyAlignment="1">
      <alignment vertical="center"/>
    </xf>
    <xf numFmtId="0" fontId="0" fillId="0" borderId="10" xfId="0" applyBorder="1" applyAlignment="1">
      <alignment horizontal="center" wrapText="1"/>
    </xf>
    <xf numFmtId="0" fontId="25" fillId="0" borderId="10" xfId="0" applyFont="1" applyBorder="1" applyAlignment="1">
      <alignment horizontal="right" vertical="center"/>
    </xf>
    <xf numFmtId="0" fontId="25" fillId="0" borderId="0" xfId="0" applyFont="1" applyAlignment="1">
      <alignment horizontal="right" vertical="center"/>
    </xf>
    <xf numFmtId="0" fontId="25" fillId="0" borderId="0" xfId="0" applyFont="1" applyAlignment="1">
      <alignment horizontal="center" vertical="center"/>
    </xf>
    <xf numFmtId="1" fontId="25" fillId="0" borderId="29" xfId="0" applyNumberFormat="1" applyFont="1" applyBorder="1" applyAlignment="1">
      <alignment horizontal="center" vertical="center"/>
    </xf>
    <xf numFmtId="1" fontId="25" fillId="0" borderId="16" xfId="0" applyNumberFormat="1" applyFont="1" applyBorder="1" applyAlignment="1">
      <alignment horizontal="center" vertical="center"/>
    </xf>
    <xf numFmtId="165" fontId="25" fillId="0" borderId="16" xfId="0" applyNumberFormat="1" applyFont="1" applyBorder="1" applyAlignment="1">
      <alignment horizontal="center" vertical="center"/>
    </xf>
    <xf numFmtId="0" fontId="25" fillId="0" borderId="0" xfId="0" applyFont="1" applyAlignment="1">
      <alignment vertical="center"/>
    </xf>
    <xf numFmtId="0" fontId="23" fillId="0" borderId="10" xfId="0" applyFont="1" applyBorder="1" applyAlignment="1">
      <alignment horizontal="right" vertical="center"/>
    </xf>
    <xf numFmtId="0" fontId="23" fillId="0" borderId="0" xfId="0" applyFont="1" applyAlignment="1">
      <alignment horizontal="right" vertical="center"/>
    </xf>
    <xf numFmtId="0" fontId="23" fillId="0" borderId="0" xfId="0" applyFont="1" applyAlignment="1">
      <alignment horizontal="center" vertical="center"/>
    </xf>
    <xf numFmtId="1" fontId="23" fillId="0" borderId="29" xfId="0" applyNumberFormat="1" applyFont="1" applyBorder="1" applyAlignment="1">
      <alignment horizontal="center" vertical="center"/>
    </xf>
    <xf numFmtId="1" fontId="23" fillId="0" borderId="16" xfId="0" applyNumberFormat="1" applyFont="1" applyBorder="1" applyAlignment="1">
      <alignment horizontal="center" vertical="center"/>
    </xf>
    <xf numFmtId="165" fontId="23" fillId="0" borderId="16" xfId="0" applyNumberFormat="1" applyFont="1" applyBorder="1" applyAlignment="1">
      <alignment horizontal="center" vertical="center"/>
    </xf>
    <xf numFmtId="0" fontId="23" fillId="0" borderId="0" xfId="0" applyFont="1" applyAlignment="1">
      <alignment vertical="center"/>
    </xf>
    <xf numFmtId="0" fontId="1" fillId="0" borderId="6" xfId="0" applyFont="1" applyBorder="1" applyAlignment="1">
      <alignment horizontal="right" vertical="center"/>
    </xf>
    <xf numFmtId="0" fontId="1" fillId="0" borderId="4" xfId="0" applyFont="1" applyBorder="1" applyAlignment="1">
      <alignment vertical="center"/>
    </xf>
    <xf numFmtId="1" fontId="1" fillId="0" borderId="6" xfId="0" applyNumberFormat="1" applyFont="1" applyBorder="1" applyAlignment="1">
      <alignment horizontal="center" vertical="center"/>
    </xf>
    <xf numFmtId="167" fontId="1" fillId="0" borderId="4" xfId="0" applyNumberFormat="1" applyFont="1" applyBorder="1" applyAlignment="1">
      <alignment horizontal="center" vertical="center"/>
    </xf>
    <xf numFmtId="0" fontId="1" fillId="0" borderId="0" xfId="0" applyFont="1" applyAlignment="1">
      <alignment vertical="center"/>
    </xf>
    <xf numFmtId="167" fontId="19" fillId="0" borderId="16" xfId="0" applyNumberFormat="1" applyFont="1" applyBorder="1" applyAlignment="1">
      <alignment horizontal="center" vertical="center"/>
    </xf>
    <xf numFmtId="1" fontId="0" fillId="0" borderId="10" xfId="0" applyNumberFormat="1" applyBorder="1" applyAlignment="1">
      <alignment horizontal="center"/>
    </xf>
    <xf numFmtId="0" fontId="19" fillId="0" borderId="10" xfId="0" applyFont="1" applyBorder="1" applyAlignment="1">
      <alignment horizontal="center" vertical="center"/>
    </xf>
    <xf numFmtId="0" fontId="19" fillId="0" borderId="1" xfId="0" applyFont="1" applyBorder="1" applyAlignment="1">
      <alignment horizontal="center" vertical="center"/>
    </xf>
    <xf numFmtId="0" fontId="9" fillId="0" borderId="10" xfId="0" applyFont="1" applyBorder="1" applyAlignment="1">
      <alignment horizontal="center"/>
    </xf>
    <xf numFmtId="0" fontId="9" fillId="0" borderId="1" xfId="0" applyFont="1" applyBorder="1" applyAlignment="1">
      <alignment horizontal="center"/>
    </xf>
    <xf numFmtId="0" fontId="24" fillId="0" borderId="10" xfId="0" applyFont="1" applyBorder="1" applyAlignment="1">
      <alignment horizontal="center" vertical="center"/>
    </xf>
    <xf numFmtId="0" fontId="24" fillId="0" borderId="1" xfId="0" applyFont="1" applyBorder="1" applyAlignment="1">
      <alignment horizontal="center" vertical="center"/>
    </xf>
    <xf numFmtId="0" fontId="21" fillId="0" borderId="10" xfId="0" applyFont="1" applyBorder="1" applyAlignment="1">
      <alignment horizontal="center" vertical="center"/>
    </xf>
    <xf numFmtId="0" fontId="21" fillId="0" borderId="1" xfId="0" applyFont="1" applyBorder="1" applyAlignment="1">
      <alignment horizontal="center" vertical="center"/>
    </xf>
    <xf numFmtId="0" fontId="23" fillId="0" borderId="10" xfId="0" applyFont="1" applyBorder="1" applyAlignment="1">
      <alignment horizontal="center" vertical="center"/>
    </xf>
    <xf numFmtId="0" fontId="23" fillId="0" borderId="1" xfId="0" applyFont="1" applyBorder="1" applyAlignment="1">
      <alignment horizontal="center" vertical="center"/>
    </xf>
    <xf numFmtId="0" fontId="22" fillId="0" borderId="10" xfId="0" applyFont="1" applyBorder="1" applyAlignment="1">
      <alignment horizontal="center" vertical="center"/>
    </xf>
    <xf numFmtId="0" fontId="22" fillId="0" borderId="1" xfId="0" applyFont="1" applyBorder="1" applyAlignment="1">
      <alignment horizontal="center" vertical="center"/>
    </xf>
    <xf numFmtId="0" fontId="34" fillId="0" borderId="10" xfId="0" applyFont="1" applyBorder="1" applyAlignment="1">
      <alignment horizontal="center" vertical="center"/>
    </xf>
    <xf numFmtId="0" fontId="34" fillId="0" borderId="1" xfId="0" applyFont="1" applyBorder="1" applyAlignment="1">
      <alignment horizontal="center" vertical="center"/>
    </xf>
    <xf numFmtId="0" fontId="25" fillId="0" borderId="10" xfId="0" applyFont="1" applyBorder="1" applyAlignment="1">
      <alignment horizontal="center" vertical="center"/>
    </xf>
    <xf numFmtId="0" fontId="25" fillId="0" borderId="1" xfId="0" applyFont="1" applyBorder="1" applyAlignment="1">
      <alignment horizontal="center" vertical="center"/>
    </xf>
    <xf numFmtId="0" fontId="9" fillId="0" borderId="42" xfId="0" applyFont="1" applyBorder="1" applyAlignment="1">
      <alignment horizontal="center"/>
    </xf>
    <xf numFmtId="0" fontId="9" fillId="0" borderId="17" xfId="0" applyFont="1" applyBorder="1" applyAlignment="1">
      <alignment horizontal="center"/>
    </xf>
    <xf numFmtId="0" fontId="1" fillId="0" borderId="9" xfId="0" applyFont="1" applyBorder="1" applyAlignment="1">
      <alignment horizontal="center" vertical="center"/>
    </xf>
    <xf numFmtId="1" fontId="19" fillId="0" borderId="10" xfId="0" applyNumberFormat="1" applyFont="1" applyBorder="1" applyAlignment="1">
      <alignment horizontal="center" vertical="center"/>
    </xf>
    <xf numFmtId="1" fontId="19" fillId="0" borderId="0" xfId="0" applyNumberFormat="1" applyFont="1" applyAlignment="1">
      <alignment horizontal="center" vertical="center"/>
    </xf>
    <xf numFmtId="1" fontId="19" fillId="0" borderId="1" xfId="0" applyNumberFormat="1" applyFont="1" applyBorder="1" applyAlignment="1">
      <alignment horizontal="center" vertical="center"/>
    </xf>
    <xf numFmtId="1" fontId="24" fillId="0" borderId="10" xfId="0" applyNumberFormat="1" applyFont="1" applyBorder="1" applyAlignment="1">
      <alignment horizontal="center" vertical="center"/>
    </xf>
    <xf numFmtId="1" fontId="24" fillId="0" borderId="0" xfId="0" applyNumberFormat="1" applyFont="1" applyAlignment="1">
      <alignment horizontal="center" vertical="center"/>
    </xf>
    <xf numFmtId="1" fontId="24" fillId="0" borderId="1" xfId="0" applyNumberFormat="1" applyFont="1" applyBorder="1" applyAlignment="1">
      <alignment horizontal="center" vertical="center"/>
    </xf>
    <xf numFmtId="1" fontId="21" fillId="0" borderId="10" xfId="0" applyNumberFormat="1" applyFont="1" applyBorder="1" applyAlignment="1">
      <alignment horizontal="center" vertical="center"/>
    </xf>
    <xf numFmtId="1" fontId="21" fillId="0" borderId="0" xfId="0" applyNumberFormat="1" applyFont="1" applyAlignment="1">
      <alignment horizontal="center" vertical="center"/>
    </xf>
    <xf numFmtId="1" fontId="21" fillId="0" borderId="1" xfId="0" applyNumberFormat="1" applyFont="1" applyBorder="1" applyAlignment="1">
      <alignment horizontal="center" vertical="center"/>
    </xf>
    <xf numFmtId="1" fontId="23" fillId="0" borderId="10" xfId="0" applyNumberFormat="1" applyFont="1" applyBorder="1" applyAlignment="1">
      <alignment horizontal="center" vertical="center"/>
    </xf>
    <xf numFmtId="1" fontId="23" fillId="0" borderId="0" xfId="0" applyNumberFormat="1" applyFont="1" applyAlignment="1">
      <alignment horizontal="center" vertical="center"/>
    </xf>
    <xf numFmtId="1" fontId="23" fillId="0" borderId="1" xfId="0" applyNumberFormat="1" applyFont="1" applyBorder="1" applyAlignment="1">
      <alignment horizontal="center" vertical="center"/>
    </xf>
    <xf numFmtId="1" fontId="22" fillId="0" borderId="10" xfId="0" applyNumberFormat="1" applyFont="1" applyBorder="1" applyAlignment="1">
      <alignment horizontal="center" vertical="center"/>
    </xf>
    <xf numFmtId="1" fontId="22" fillId="0" borderId="0" xfId="0" applyNumberFormat="1" applyFont="1" applyAlignment="1">
      <alignment horizontal="center" vertical="center"/>
    </xf>
    <xf numFmtId="1" fontId="22" fillId="0" borderId="1" xfId="0" applyNumberFormat="1" applyFont="1" applyBorder="1" applyAlignment="1">
      <alignment horizontal="center" vertical="center"/>
    </xf>
    <xf numFmtId="1" fontId="34" fillId="0" borderId="10" xfId="0" applyNumberFormat="1" applyFont="1" applyBorder="1" applyAlignment="1">
      <alignment horizontal="center" vertical="center"/>
    </xf>
    <xf numFmtId="1" fontId="34" fillId="0" borderId="0" xfId="0" applyNumberFormat="1" applyFont="1" applyAlignment="1">
      <alignment horizontal="center" vertical="center"/>
    </xf>
    <xf numFmtId="1" fontId="34" fillId="0" borderId="1" xfId="0" applyNumberFormat="1" applyFont="1" applyBorder="1" applyAlignment="1">
      <alignment horizontal="center" vertical="center"/>
    </xf>
    <xf numFmtId="1" fontId="25" fillId="0" borderId="10" xfId="0" applyNumberFormat="1" applyFont="1" applyBorder="1" applyAlignment="1">
      <alignment horizontal="center" vertical="center"/>
    </xf>
    <xf numFmtId="1" fontId="25" fillId="0" borderId="0" xfId="0" applyNumberFormat="1" applyFont="1" applyAlignment="1">
      <alignment horizontal="center" vertical="center"/>
    </xf>
    <xf numFmtId="1" fontId="25" fillId="0" borderId="1" xfId="0" applyNumberFormat="1" applyFont="1" applyBorder="1" applyAlignment="1">
      <alignment horizontal="center" vertical="center"/>
    </xf>
    <xf numFmtId="0" fontId="7" fillId="0" borderId="0" xfId="0" applyFont="1"/>
    <xf numFmtId="167" fontId="24" fillId="0" borderId="16" xfId="0" applyNumberFormat="1" applyFont="1" applyBorder="1" applyAlignment="1">
      <alignment horizontal="center" vertical="center"/>
    </xf>
    <xf numFmtId="0" fontId="37" fillId="0" borderId="10" xfId="0" applyFont="1" applyBorder="1" applyAlignment="1">
      <alignment horizontal="right" vertical="center"/>
    </xf>
    <xf numFmtId="0" fontId="37" fillId="0" borderId="0" xfId="0" applyFont="1" applyAlignment="1">
      <alignment horizontal="right" vertical="center"/>
    </xf>
    <xf numFmtId="0" fontId="37" fillId="0" borderId="0" xfId="0" applyFont="1" applyAlignment="1">
      <alignment horizontal="center" vertical="center"/>
    </xf>
    <xf numFmtId="1" fontId="37" fillId="0" borderId="29" xfId="0" applyNumberFormat="1" applyFont="1" applyBorder="1" applyAlignment="1">
      <alignment horizontal="center" vertical="center"/>
    </xf>
    <xf numFmtId="1" fontId="37" fillId="0" borderId="16" xfId="0" applyNumberFormat="1" applyFont="1" applyBorder="1" applyAlignment="1">
      <alignment horizontal="center" vertical="center"/>
    </xf>
    <xf numFmtId="165" fontId="37" fillId="0" borderId="16" xfId="0" applyNumberFormat="1" applyFont="1" applyBorder="1" applyAlignment="1">
      <alignment horizontal="center" vertical="center"/>
    </xf>
    <xf numFmtId="167" fontId="37" fillId="0" borderId="16" xfId="0" applyNumberFormat="1" applyFont="1" applyBorder="1" applyAlignment="1">
      <alignment horizontal="center" vertical="center"/>
    </xf>
    <xf numFmtId="0" fontId="37" fillId="0" borderId="0" xfId="0" applyFont="1" applyAlignment="1">
      <alignment vertical="center"/>
    </xf>
    <xf numFmtId="0" fontId="37" fillId="0" borderId="10" xfId="0" applyFont="1" applyBorder="1" applyAlignment="1">
      <alignment horizontal="center" vertical="center"/>
    </xf>
    <xf numFmtId="0" fontId="37" fillId="0" borderId="1" xfId="0" applyFont="1" applyBorder="1" applyAlignment="1">
      <alignment horizontal="center" vertical="center"/>
    </xf>
    <xf numFmtId="1" fontId="37" fillId="0" borderId="10" xfId="0" applyNumberFormat="1" applyFont="1" applyBorder="1" applyAlignment="1">
      <alignment horizontal="center" vertical="center"/>
    </xf>
    <xf numFmtId="1" fontId="37" fillId="0" borderId="0" xfId="0" applyNumberFormat="1" applyFont="1" applyAlignment="1">
      <alignment horizontal="center" vertical="center"/>
    </xf>
    <xf numFmtId="1" fontId="37" fillId="0" borderId="1" xfId="0" applyNumberFormat="1" applyFont="1" applyBorder="1" applyAlignment="1">
      <alignment horizontal="center" vertical="center"/>
    </xf>
    <xf numFmtId="167" fontId="21" fillId="0" borderId="16" xfId="0" applyNumberFormat="1" applyFont="1" applyBorder="1" applyAlignment="1">
      <alignment horizontal="center" vertical="center"/>
    </xf>
    <xf numFmtId="167" fontId="22" fillId="0" borderId="16" xfId="0" applyNumberFormat="1" applyFont="1" applyBorder="1" applyAlignment="1">
      <alignment horizontal="center" vertical="center"/>
    </xf>
    <xf numFmtId="167" fontId="23" fillId="0" borderId="16" xfId="0" applyNumberFormat="1" applyFont="1" applyBorder="1" applyAlignment="1">
      <alignment horizontal="center" vertical="center"/>
    </xf>
    <xf numFmtId="0" fontId="20" fillId="0" borderId="10" xfId="0" applyFont="1" applyBorder="1" applyAlignment="1">
      <alignment horizontal="right" vertical="center"/>
    </xf>
    <xf numFmtId="0" fontId="20" fillId="0" borderId="0" xfId="0" applyFont="1" applyAlignment="1">
      <alignment horizontal="right" vertical="center"/>
    </xf>
    <xf numFmtId="0" fontId="20" fillId="0" borderId="0" xfId="0" applyFont="1" applyAlignment="1">
      <alignment horizontal="center" vertical="center"/>
    </xf>
    <xf numFmtId="1" fontId="20" fillId="0" borderId="29" xfId="0" applyNumberFormat="1" applyFont="1" applyBorder="1" applyAlignment="1">
      <alignment horizontal="center" vertical="center"/>
    </xf>
    <xf numFmtId="1" fontId="20" fillId="0" borderId="16" xfId="0" applyNumberFormat="1" applyFont="1" applyBorder="1" applyAlignment="1">
      <alignment horizontal="center" vertical="center"/>
    </xf>
    <xf numFmtId="165" fontId="20" fillId="0" borderId="16" xfId="0" applyNumberFormat="1" applyFont="1" applyBorder="1" applyAlignment="1">
      <alignment horizontal="center" vertical="center"/>
    </xf>
    <xf numFmtId="167" fontId="20" fillId="0" borderId="16" xfId="0" applyNumberFormat="1" applyFont="1" applyBorder="1" applyAlignment="1">
      <alignment horizontal="center" vertical="center"/>
    </xf>
    <xf numFmtId="0" fontId="20" fillId="0" borderId="0" xfId="0" applyFont="1" applyAlignment="1">
      <alignment vertical="center"/>
    </xf>
    <xf numFmtId="0" fontId="20" fillId="0" borderId="10" xfId="0" applyFont="1" applyBorder="1" applyAlignment="1">
      <alignment horizontal="center" vertical="center"/>
    </xf>
    <xf numFmtId="0" fontId="20" fillId="0" borderId="1" xfId="0" applyFont="1" applyBorder="1" applyAlignment="1">
      <alignment horizontal="center" vertical="center"/>
    </xf>
    <xf numFmtId="1" fontId="20" fillId="0" borderId="10" xfId="0" applyNumberFormat="1" applyFont="1" applyBorder="1" applyAlignment="1">
      <alignment horizontal="center" vertical="center"/>
    </xf>
    <xf numFmtId="1" fontId="20" fillId="0" borderId="0" xfId="0" applyNumberFormat="1" applyFont="1" applyAlignment="1">
      <alignment horizontal="center" vertical="center"/>
    </xf>
    <xf numFmtId="1" fontId="20" fillId="0" borderId="1" xfId="0" applyNumberFormat="1" applyFont="1" applyBorder="1" applyAlignment="1">
      <alignment horizontal="center" vertical="center"/>
    </xf>
    <xf numFmtId="0" fontId="38" fillId="0" borderId="10" xfId="0" applyFont="1" applyBorder="1" applyAlignment="1">
      <alignment horizontal="right" vertical="center"/>
    </xf>
    <xf numFmtId="0" fontId="38" fillId="0" borderId="0" xfId="0" applyFont="1" applyAlignment="1">
      <alignment horizontal="right" vertical="center"/>
    </xf>
    <xf numFmtId="165" fontId="38" fillId="0" borderId="0" xfId="0" applyNumberFormat="1" applyFont="1" applyAlignment="1">
      <alignment horizontal="center" vertical="center"/>
    </xf>
    <xf numFmtId="0" fontId="38" fillId="0" borderId="0" xfId="0" applyFont="1" applyAlignment="1">
      <alignment horizontal="center" vertical="center"/>
    </xf>
    <xf numFmtId="1" fontId="38" fillId="0" borderId="29" xfId="0" applyNumberFormat="1" applyFont="1" applyBorder="1" applyAlignment="1">
      <alignment horizontal="center" vertical="center"/>
    </xf>
    <xf numFmtId="1" fontId="38" fillId="0" borderId="16" xfId="0" applyNumberFormat="1" applyFont="1" applyBorder="1" applyAlignment="1">
      <alignment horizontal="center" vertical="center"/>
    </xf>
    <xf numFmtId="165" fontId="38" fillId="0" borderId="16" xfId="0" applyNumberFormat="1" applyFont="1" applyBorder="1" applyAlignment="1">
      <alignment horizontal="center" vertical="center"/>
    </xf>
    <xf numFmtId="167" fontId="38" fillId="0" borderId="16" xfId="0" applyNumberFormat="1" applyFont="1" applyBorder="1" applyAlignment="1">
      <alignment horizontal="center" vertical="center"/>
    </xf>
    <xf numFmtId="0" fontId="38" fillId="0" borderId="0" xfId="0" applyFont="1" applyAlignment="1">
      <alignment vertical="center"/>
    </xf>
    <xf numFmtId="0" fontId="38" fillId="0" borderId="10" xfId="0" applyFont="1" applyBorder="1" applyAlignment="1">
      <alignment horizontal="center" vertical="center"/>
    </xf>
    <xf numFmtId="0" fontId="38" fillId="0" borderId="1" xfId="0" applyFont="1" applyBorder="1" applyAlignment="1">
      <alignment horizontal="center" vertical="center"/>
    </xf>
    <xf numFmtId="1" fontId="38" fillId="0" borderId="10" xfId="0" applyNumberFormat="1" applyFont="1" applyBorder="1" applyAlignment="1">
      <alignment horizontal="center" vertical="center"/>
    </xf>
    <xf numFmtId="1" fontId="38" fillId="0" borderId="0" xfId="0" applyNumberFormat="1" applyFont="1" applyAlignment="1">
      <alignment horizontal="center" vertical="center"/>
    </xf>
    <xf numFmtId="1" fontId="38" fillId="0" borderId="1" xfId="0" applyNumberFormat="1" applyFont="1" applyBorder="1" applyAlignment="1">
      <alignment horizontal="center" vertical="center"/>
    </xf>
    <xf numFmtId="167" fontId="34" fillId="0" borderId="16" xfId="0" applyNumberFormat="1" applyFont="1" applyBorder="1" applyAlignment="1">
      <alignment horizontal="center" vertical="center"/>
    </xf>
    <xf numFmtId="167" fontId="25" fillId="0" borderId="16" xfId="0" applyNumberFormat="1" applyFont="1" applyBorder="1" applyAlignment="1">
      <alignment horizontal="center" vertical="center"/>
    </xf>
    <xf numFmtId="0" fontId="39" fillId="0" borderId="10" xfId="0" applyFont="1" applyBorder="1" applyAlignment="1">
      <alignment horizontal="right" vertical="center"/>
    </xf>
    <xf numFmtId="0" fontId="39" fillId="0" borderId="0" xfId="0" applyFont="1" applyAlignment="1">
      <alignment horizontal="right" vertical="center"/>
    </xf>
    <xf numFmtId="0" fontId="39" fillId="0" borderId="0" xfId="0" applyFont="1" applyAlignment="1">
      <alignment horizontal="center" vertical="center"/>
    </xf>
    <xf numFmtId="1" fontId="39" fillId="0" borderId="29" xfId="0" applyNumberFormat="1" applyFont="1" applyBorder="1" applyAlignment="1">
      <alignment horizontal="center" vertical="center"/>
    </xf>
    <xf numFmtId="1" fontId="39" fillId="0" borderId="16" xfId="0" applyNumberFormat="1" applyFont="1" applyBorder="1" applyAlignment="1">
      <alignment horizontal="center" vertical="center"/>
    </xf>
    <xf numFmtId="165" fontId="39" fillId="0" borderId="16" xfId="0" applyNumberFormat="1" applyFont="1" applyBorder="1" applyAlignment="1">
      <alignment horizontal="center" vertical="center"/>
    </xf>
    <xf numFmtId="167" fontId="39" fillId="0" borderId="16" xfId="0" applyNumberFormat="1" applyFont="1" applyBorder="1" applyAlignment="1">
      <alignment horizontal="center" vertical="center"/>
    </xf>
    <xf numFmtId="0" fontId="39" fillId="0" borderId="0" xfId="0" applyFont="1" applyAlignment="1">
      <alignment vertical="center"/>
    </xf>
    <xf numFmtId="0" fontId="39" fillId="0" borderId="10" xfId="0" applyFont="1" applyBorder="1" applyAlignment="1">
      <alignment horizontal="center" vertical="center"/>
    </xf>
    <xf numFmtId="0" fontId="39" fillId="0" borderId="1" xfId="0" applyFont="1" applyBorder="1" applyAlignment="1">
      <alignment horizontal="center" vertical="center"/>
    </xf>
    <xf numFmtId="1" fontId="39" fillId="0" borderId="10" xfId="0" applyNumberFormat="1" applyFont="1" applyBorder="1" applyAlignment="1">
      <alignment horizontal="center" vertical="center"/>
    </xf>
    <xf numFmtId="1" fontId="39" fillId="0" borderId="0" xfId="0" applyNumberFormat="1" applyFont="1" applyAlignment="1">
      <alignment horizontal="center" vertical="center"/>
    </xf>
    <xf numFmtId="1" fontId="39" fillId="0" borderId="1" xfId="0" applyNumberFormat="1" applyFont="1" applyBorder="1" applyAlignment="1">
      <alignment horizontal="center" vertical="center"/>
    </xf>
    <xf numFmtId="0" fontId="18" fillId="0" borderId="5" xfId="0" applyFont="1" applyBorder="1" applyAlignment="1">
      <alignment horizontal="center"/>
    </xf>
    <xf numFmtId="0" fontId="4" fillId="0" borderId="0" xfId="0" applyFont="1"/>
    <xf numFmtId="165" fontId="1" fillId="0" borderId="41" xfId="0" applyNumberFormat="1" applyFont="1" applyBorder="1" applyAlignment="1">
      <alignment horizontal="center" vertical="center"/>
    </xf>
    <xf numFmtId="20" fontId="0" fillId="0" borderId="0" xfId="0" applyNumberFormat="1" applyAlignment="1">
      <alignment horizontal="center"/>
    </xf>
    <xf numFmtId="0" fontId="0" fillId="0" borderId="25" xfId="0" applyBorder="1"/>
    <xf numFmtId="0" fontId="45" fillId="0" borderId="4" xfId="0" applyFont="1" applyBorder="1" applyAlignment="1">
      <alignment horizontal="center" vertical="center"/>
    </xf>
    <xf numFmtId="0" fontId="44" fillId="0" borderId="11" xfId="0" applyFont="1" applyBorder="1"/>
    <xf numFmtId="0" fontId="29" fillId="0" borderId="0" xfId="0" applyFont="1" applyAlignment="1">
      <alignment wrapText="1"/>
    </xf>
    <xf numFmtId="0" fontId="0" fillId="0" borderId="0" xfId="0" applyAlignment="1">
      <alignment horizontal="center" wrapText="1"/>
    </xf>
    <xf numFmtId="44" fontId="0" fillId="0" borderId="0" xfId="1" applyFont="1"/>
    <xf numFmtId="44" fontId="19" fillId="0" borderId="1" xfId="1" applyFont="1" applyBorder="1" applyAlignment="1">
      <alignment horizontal="center" vertical="center"/>
    </xf>
    <xf numFmtId="44" fontId="0" fillId="0" borderId="1" xfId="1" applyFont="1" applyBorder="1"/>
    <xf numFmtId="165" fontId="46" fillId="0" borderId="0" xfId="0" applyNumberFormat="1" applyFont="1" applyAlignment="1">
      <alignment horizontal="center" vertical="center"/>
    </xf>
    <xf numFmtId="44" fontId="46" fillId="0" borderId="1" xfId="1" applyFont="1" applyBorder="1" applyAlignment="1">
      <alignment horizontal="center" vertical="center"/>
    </xf>
    <xf numFmtId="165" fontId="26" fillId="0" borderId="0" xfId="0" applyNumberFormat="1" applyFont="1" applyAlignment="1">
      <alignment horizontal="center" vertical="center"/>
    </xf>
    <xf numFmtId="44" fontId="26" fillId="0" borderId="1" xfId="1" applyFont="1" applyBorder="1" applyAlignment="1">
      <alignment horizontal="center" vertical="center"/>
    </xf>
    <xf numFmtId="44" fontId="21" fillId="0" borderId="1" xfId="1" applyFont="1" applyBorder="1" applyAlignment="1">
      <alignment horizontal="center" vertical="center"/>
    </xf>
    <xf numFmtId="165" fontId="47" fillId="0" borderId="0" xfId="0" applyNumberFormat="1" applyFont="1" applyAlignment="1">
      <alignment horizontal="center" vertical="center"/>
    </xf>
    <xf numFmtId="44" fontId="47" fillId="0" borderId="1" xfId="1" applyFont="1" applyBorder="1" applyAlignment="1">
      <alignment horizontal="center" vertical="center"/>
    </xf>
    <xf numFmtId="44" fontId="23" fillId="0" borderId="1" xfId="1" applyFont="1" applyBorder="1" applyAlignment="1">
      <alignment horizontal="center" vertical="center"/>
    </xf>
    <xf numFmtId="44" fontId="20" fillId="0" borderId="1" xfId="1" applyFont="1" applyBorder="1" applyAlignment="1">
      <alignment horizontal="center" vertical="center"/>
    </xf>
    <xf numFmtId="44" fontId="38" fillId="0" borderId="1" xfId="1" applyFont="1" applyBorder="1" applyAlignment="1">
      <alignment horizontal="center" vertical="center"/>
    </xf>
    <xf numFmtId="165" fontId="48" fillId="0" borderId="0" xfId="0" applyNumberFormat="1" applyFont="1" applyAlignment="1">
      <alignment horizontal="center" vertical="center"/>
    </xf>
    <xf numFmtId="44" fontId="48" fillId="0" borderId="1" xfId="1" applyFont="1" applyBorder="1" applyAlignment="1">
      <alignment horizontal="center" vertical="center"/>
    </xf>
    <xf numFmtId="165" fontId="49" fillId="0" borderId="0" xfId="0" applyNumberFormat="1" applyFont="1" applyAlignment="1">
      <alignment horizontal="center" vertical="center"/>
    </xf>
    <xf numFmtId="44" fontId="49" fillId="0" borderId="1" xfId="1" applyFont="1" applyBorder="1" applyAlignment="1">
      <alignment horizontal="center" vertical="center"/>
    </xf>
    <xf numFmtId="165" fontId="50" fillId="0" borderId="0" xfId="0" applyNumberFormat="1" applyFont="1" applyAlignment="1">
      <alignment horizontal="center" vertical="center"/>
    </xf>
    <xf numFmtId="44" fontId="50" fillId="0" borderId="1" xfId="1" applyFont="1" applyBorder="1" applyAlignment="1">
      <alignment horizontal="center" vertical="center"/>
    </xf>
    <xf numFmtId="0" fontId="51" fillId="0" borderId="0" xfId="0" applyFont="1"/>
    <xf numFmtId="0" fontId="51" fillId="0" borderId="1" xfId="0" applyFont="1" applyBorder="1"/>
    <xf numFmtId="165" fontId="0" fillId="0" borderId="0" xfId="0" applyNumberFormat="1" applyAlignment="1">
      <alignment horizontal="right"/>
    </xf>
    <xf numFmtId="165" fontId="19" fillId="0" borderId="0" xfId="0" applyNumberFormat="1" applyFont="1" applyAlignment="1">
      <alignment horizontal="right"/>
    </xf>
    <xf numFmtId="0" fontId="1" fillId="0" borderId="6" xfId="0" applyFont="1" applyBorder="1" applyAlignment="1">
      <alignment vertical="center"/>
    </xf>
    <xf numFmtId="44" fontId="1" fillId="0" borderId="9" xfId="0" applyNumberFormat="1" applyFont="1" applyBorder="1" applyAlignment="1">
      <alignment vertical="center"/>
    </xf>
    <xf numFmtId="0" fontId="0" fillId="0" borderId="1" xfId="0" applyBorder="1" applyAlignment="1">
      <alignment horizontal="center" wrapText="1"/>
    </xf>
    <xf numFmtId="0" fontId="0" fillId="0" borderId="37" xfId="0" applyBorder="1" applyAlignment="1">
      <alignment horizontal="center" wrapText="1"/>
    </xf>
    <xf numFmtId="1" fontId="5" fillId="0" borderId="15" xfId="0" applyNumberFormat="1" applyFont="1" applyBorder="1" applyAlignment="1">
      <alignment horizontal="center" vertical="center"/>
    </xf>
    <xf numFmtId="0" fontId="3" fillId="0" borderId="0" xfId="0" applyFont="1" applyAlignment="1">
      <alignment horizontal="center" vertical="center" wrapText="1"/>
    </xf>
    <xf numFmtId="0" fontId="5" fillId="0" borderId="0" xfId="0" applyFont="1" applyAlignment="1">
      <alignment horizontal="center" vertical="center" wrapText="1"/>
    </xf>
    <xf numFmtId="0" fontId="5" fillId="0" borderId="1" xfId="0" applyFont="1" applyBorder="1" applyAlignment="1">
      <alignment horizontal="center" vertical="center" wrapText="1"/>
    </xf>
    <xf numFmtId="14" fontId="28" fillId="0" borderId="10" xfId="0" applyNumberFormat="1" applyFont="1" applyBorder="1" applyAlignment="1">
      <alignment horizontal="center"/>
    </xf>
    <xf numFmtId="0" fontId="1" fillId="0" borderId="0" xfId="0" applyFont="1"/>
    <xf numFmtId="0" fontId="52" fillId="0" borderId="0" xfId="0" applyFont="1" applyAlignment="1">
      <alignment horizontal="center" vertical="center" wrapText="1"/>
    </xf>
    <xf numFmtId="2" fontId="19" fillId="0" borderId="0" xfId="0" applyNumberFormat="1" applyFont="1" applyAlignment="1">
      <alignment horizontal="center" vertical="center"/>
    </xf>
    <xf numFmtId="2" fontId="24" fillId="0" borderId="0" xfId="0" applyNumberFormat="1" applyFont="1" applyAlignment="1">
      <alignment horizontal="center" vertical="center"/>
    </xf>
    <xf numFmtId="2" fontId="37" fillId="0" borderId="0" xfId="0" applyNumberFormat="1" applyFont="1" applyAlignment="1">
      <alignment horizontal="center" vertical="center"/>
    </xf>
    <xf numFmtId="2" fontId="21" fillId="0" borderId="0" xfId="0" applyNumberFormat="1" applyFont="1" applyAlignment="1">
      <alignment horizontal="center" vertical="center"/>
    </xf>
    <xf numFmtId="2" fontId="22" fillId="0" borderId="0" xfId="0" applyNumberFormat="1" applyFont="1" applyAlignment="1">
      <alignment horizontal="center" vertical="center"/>
    </xf>
    <xf numFmtId="2" fontId="23" fillId="0" borderId="0" xfId="0" applyNumberFormat="1" applyFont="1" applyAlignment="1">
      <alignment horizontal="center" vertical="center"/>
    </xf>
    <xf numFmtId="2" fontId="20" fillId="0" borderId="0" xfId="0" applyNumberFormat="1" applyFont="1" applyAlignment="1">
      <alignment horizontal="center" vertical="center"/>
    </xf>
    <xf numFmtId="2" fontId="38" fillId="0" borderId="0" xfId="0" applyNumberFormat="1" applyFont="1" applyAlignment="1">
      <alignment horizontal="center" vertical="center"/>
    </xf>
    <xf numFmtId="2" fontId="34" fillId="0" borderId="0" xfId="0" applyNumberFormat="1" applyFont="1" applyAlignment="1">
      <alignment horizontal="center" vertical="center"/>
    </xf>
    <xf numFmtId="2" fontId="25" fillId="0" borderId="0" xfId="0" applyNumberFormat="1" applyFont="1" applyAlignment="1">
      <alignment horizontal="center" vertical="center"/>
    </xf>
    <xf numFmtId="2" fontId="39" fillId="0" borderId="0" xfId="0" applyNumberFormat="1" applyFont="1" applyAlignment="1">
      <alignment horizontal="center" vertical="center"/>
    </xf>
    <xf numFmtId="2" fontId="27" fillId="0" borderId="0" xfId="0" applyNumberFormat="1" applyFont="1" applyAlignment="1">
      <alignment horizontal="center"/>
    </xf>
    <xf numFmtId="165" fontId="27" fillId="2" borderId="1" xfId="0" applyNumberFormat="1" applyFont="1" applyFill="1" applyBorder="1" applyAlignment="1">
      <alignment horizontal="center" vertical="center"/>
    </xf>
    <xf numFmtId="2" fontId="1" fillId="0" borderId="9" xfId="0" applyNumberFormat="1" applyFont="1" applyBorder="1" applyAlignment="1">
      <alignment horizontal="center" vertical="center"/>
    </xf>
    <xf numFmtId="0" fontId="6" fillId="0" borderId="0" xfId="0" applyFont="1" applyAlignment="1">
      <alignment vertical="center"/>
    </xf>
    <xf numFmtId="0" fontId="12" fillId="0" borderId="0" xfId="0" applyFont="1" applyAlignment="1">
      <alignment vertical="center"/>
    </xf>
    <xf numFmtId="0" fontId="29" fillId="0" borderId="0" xfId="0" applyFont="1" applyAlignment="1">
      <alignment vertical="center"/>
    </xf>
    <xf numFmtId="0" fontId="12" fillId="3" borderId="16" xfId="0" applyFont="1" applyFill="1" applyBorder="1" applyAlignment="1">
      <alignment horizontal="center" vertical="center"/>
    </xf>
    <xf numFmtId="1" fontId="12" fillId="3" borderId="16" xfId="0" applyNumberFormat="1" applyFont="1" applyFill="1" applyBorder="1" applyAlignment="1">
      <alignment horizontal="center" vertical="center"/>
    </xf>
    <xf numFmtId="0" fontId="13" fillId="3" borderId="16" xfId="0" applyFont="1" applyFill="1" applyBorder="1" applyAlignment="1">
      <alignment horizontal="center" vertical="center"/>
    </xf>
    <xf numFmtId="1" fontId="13" fillId="3" borderId="16" xfId="0" applyNumberFormat="1" applyFont="1" applyFill="1" applyBorder="1" applyAlignment="1">
      <alignment horizontal="center" vertical="center"/>
    </xf>
    <xf numFmtId="0" fontId="13" fillId="3" borderId="20" xfId="0" applyFont="1" applyFill="1" applyBorder="1" applyAlignment="1">
      <alignment horizontal="center" vertical="center"/>
    </xf>
    <xf numFmtId="1" fontId="13" fillId="3" borderId="20" xfId="0" applyNumberFormat="1" applyFont="1" applyFill="1" applyBorder="1" applyAlignment="1">
      <alignment horizontal="center" vertical="center"/>
    </xf>
    <xf numFmtId="164" fontId="14" fillId="3" borderId="29" xfId="0" applyNumberFormat="1" applyFont="1" applyFill="1" applyBorder="1" applyAlignment="1">
      <alignment horizontal="center" vertical="center"/>
    </xf>
    <xf numFmtId="164" fontId="14" fillId="3" borderId="16" xfId="0" applyNumberFormat="1" applyFont="1" applyFill="1" applyBorder="1" applyAlignment="1">
      <alignment horizontal="center" vertical="center"/>
    </xf>
    <xf numFmtId="164" fontId="14" fillId="3" borderId="23" xfId="0" applyNumberFormat="1" applyFont="1" applyFill="1" applyBorder="1" applyAlignment="1">
      <alignment horizontal="center" vertical="center"/>
    </xf>
    <xf numFmtId="164" fontId="14" fillId="3" borderId="23" xfId="0" quotePrefix="1" applyNumberFormat="1" applyFont="1" applyFill="1" applyBorder="1" applyAlignment="1">
      <alignment horizontal="center" vertical="center"/>
    </xf>
    <xf numFmtId="164" fontId="14" fillId="3" borderId="31" xfId="0" applyNumberFormat="1" applyFont="1" applyFill="1" applyBorder="1" applyAlignment="1">
      <alignment horizontal="center" vertical="center"/>
    </xf>
    <xf numFmtId="164" fontId="14" fillId="3" borderId="32" xfId="0" applyNumberFormat="1" applyFont="1" applyFill="1" applyBorder="1" applyAlignment="1">
      <alignment horizontal="center" vertical="center"/>
    </xf>
    <xf numFmtId="164" fontId="14" fillId="3" borderId="33" xfId="0" quotePrefix="1" applyNumberFormat="1" applyFont="1" applyFill="1" applyBorder="1" applyAlignment="1">
      <alignment horizontal="center" vertical="center"/>
    </xf>
    <xf numFmtId="0" fontId="33" fillId="0" borderId="0" xfId="0" applyFont="1" applyAlignment="1">
      <alignment vertical="center"/>
    </xf>
    <xf numFmtId="0" fontId="29" fillId="0" borderId="0" xfId="0" applyFont="1" applyAlignment="1">
      <alignment vertical="center" wrapText="1"/>
    </xf>
    <xf numFmtId="165" fontId="53" fillId="0" borderId="35" xfId="0" applyNumberFormat="1" applyFont="1" applyBorder="1" applyAlignment="1">
      <alignment horizontal="center" vertical="center"/>
    </xf>
    <xf numFmtId="165" fontId="53" fillId="0" borderId="36" xfId="0" applyNumberFormat="1" applyFont="1" applyBorder="1" applyAlignment="1">
      <alignment horizontal="center" vertical="center"/>
    </xf>
    <xf numFmtId="165" fontId="53" fillId="0" borderId="1" xfId="0" applyNumberFormat="1" applyFont="1" applyBorder="1" applyAlignment="1">
      <alignment horizontal="center" vertical="center"/>
    </xf>
    <xf numFmtId="165" fontId="55" fillId="0" borderId="36" xfId="0" applyNumberFormat="1" applyFont="1" applyBorder="1" applyAlignment="1">
      <alignment horizontal="center" vertical="center"/>
    </xf>
    <xf numFmtId="165" fontId="56" fillId="0" borderId="36" xfId="0" applyNumberFormat="1" applyFont="1" applyBorder="1" applyAlignment="1">
      <alignment horizontal="center" vertical="center"/>
    </xf>
    <xf numFmtId="165" fontId="57" fillId="0" borderId="36" xfId="0" applyNumberFormat="1" applyFont="1" applyBorder="1" applyAlignment="1">
      <alignment horizontal="center" vertical="center"/>
    </xf>
    <xf numFmtId="165" fontId="58" fillId="0" borderId="36" xfId="0" applyNumberFormat="1" applyFont="1" applyBorder="1" applyAlignment="1">
      <alignment horizontal="center" vertical="center"/>
    </xf>
    <xf numFmtId="165" fontId="59" fillId="0" borderId="36" xfId="0" applyNumberFormat="1" applyFont="1" applyBorder="1" applyAlignment="1">
      <alignment horizontal="center" vertical="center"/>
    </xf>
    <xf numFmtId="165" fontId="60" fillId="0" borderId="36" xfId="0" applyNumberFormat="1" applyFont="1" applyBorder="1" applyAlignment="1">
      <alignment horizontal="center" vertical="center"/>
    </xf>
    <xf numFmtId="165" fontId="61" fillId="0" borderId="36" xfId="0" applyNumberFormat="1" applyFont="1" applyBorder="1" applyAlignment="1">
      <alignment horizontal="center" vertical="center"/>
    </xf>
    <xf numFmtId="165" fontId="62" fillId="0" borderId="36" xfId="0" applyNumberFormat="1" applyFont="1" applyBorder="1" applyAlignment="1">
      <alignment horizontal="center" vertical="center"/>
    </xf>
    <xf numFmtId="165" fontId="63" fillId="0" borderId="36" xfId="0" applyNumberFormat="1" applyFont="1" applyBorder="1" applyAlignment="1">
      <alignment horizontal="center" vertical="center"/>
    </xf>
    <xf numFmtId="165" fontId="64" fillId="0" borderId="36" xfId="0" applyNumberFormat="1" applyFont="1" applyBorder="1" applyAlignment="1">
      <alignment horizontal="center" vertical="center"/>
    </xf>
    <xf numFmtId="0" fontId="53" fillId="0" borderId="10" xfId="0" applyFont="1" applyBorder="1" applyAlignment="1">
      <alignment horizontal="right" vertical="center"/>
    </xf>
    <xf numFmtId="0" fontId="55" fillId="0" borderId="10" xfId="0" applyFont="1" applyBorder="1" applyAlignment="1">
      <alignment horizontal="right" vertical="center"/>
    </xf>
    <xf numFmtId="0" fontId="56" fillId="0" borderId="10" xfId="0" applyFont="1" applyBorder="1" applyAlignment="1">
      <alignment horizontal="right" vertical="center"/>
    </xf>
    <xf numFmtId="0" fontId="6" fillId="0" borderId="0" xfId="0" applyFont="1" applyAlignment="1">
      <alignment vertical="center" wrapText="1"/>
    </xf>
    <xf numFmtId="0" fontId="6" fillId="0" borderId="1" xfId="0" applyFont="1" applyBorder="1"/>
    <xf numFmtId="0" fontId="0" fillId="0" borderId="9" xfId="0" applyBorder="1"/>
    <xf numFmtId="0" fontId="43" fillId="0" borderId="11" xfId="0" applyFont="1" applyBorder="1" applyAlignment="1">
      <alignment vertical="center"/>
    </xf>
    <xf numFmtId="0" fontId="2" fillId="0" borderId="0" xfId="0" applyFont="1" applyAlignment="1">
      <alignment vertical="center"/>
    </xf>
    <xf numFmtId="165" fontId="0" fillId="0" borderId="0" xfId="0" applyNumberFormat="1" applyAlignment="1">
      <alignment horizontal="center"/>
    </xf>
    <xf numFmtId="0" fontId="0" fillId="0" borderId="50" xfId="0" applyBorder="1" applyAlignment="1">
      <alignment horizontal="center"/>
    </xf>
    <xf numFmtId="1" fontId="0" fillId="0" borderId="50" xfId="0" applyNumberFormat="1" applyBorder="1" applyAlignment="1">
      <alignment horizontal="center"/>
    </xf>
    <xf numFmtId="165" fontId="0" fillId="0" borderId="50" xfId="0" applyNumberFormat="1" applyBorder="1" applyAlignment="1">
      <alignment horizontal="center"/>
    </xf>
    <xf numFmtId="0" fontId="66" fillId="0" borderId="0" xfId="0" applyFont="1" applyAlignment="1">
      <alignment horizontal="center" wrapText="1"/>
    </xf>
    <xf numFmtId="0" fontId="0" fillId="0" borderId="56" xfId="0" applyBorder="1"/>
    <xf numFmtId="0" fontId="0" fillId="0" borderId="59" xfId="0" applyBorder="1"/>
    <xf numFmtId="0" fontId="0" fillId="0" borderId="60" xfId="0" applyBorder="1"/>
    <xf numFmtId="0" fontId="0" fillId="0" borderId="58" xfId="0" applyBorder="1"/>
    <xf numFmtId="20" fontId="0" fillId="0" borderId="60" xfId="0" applyNumberFormat="1" applyBorder="1" applyAlignment="1">
      <alignment horizontal="center"/>
    </xf>
    <xf numFmtId="1" fontId="0" fillId="0" borderId="60" xfId="0" applyNumberFormat="1" applyBorder="1" applyAlignment="1">
      <alignment horizontal="center"/>
    </xf>
    <xf numFmtId="0" fontId="0" fillId="0" borderId="60" xfId="0" applyBorder="1" applyAlignment="1">
      <alignment horizontal="center" vertical="center"/>
    </xf>
    <xf numFmtId="20" fontId="0" fillId="10" borderId="16" xfId="0" applyNumberFormat="1" applyFill="1" applyBorder="1" applyAlignment="1">
      <alignment horizontal="center"/>
    </xf>
    <xf numFmtId="0" fontId="0" fillId="10" borderId="51" xfId="0" applyFill="1" applyBorder="1" applyAlignment="1">
      <alignment horizontal="center"/>
    </xf>
    <xf numFmtId="0" fontId="0" fillId="10" borderId="65" xfId="0" applyFill="1" applyBorder="1" applyAlignment="1">
      <alignment horizontal="center"/>
    </xf>
    <xf numFmtId="20" fontId="0" fillId="10" borderId="62" xfId="0" applyNumberFormat="1" applyFill="1" applyBorder="1" applyAlignment="1">
      <alignment horizontal="center"/>
    </xf>
    <xf numFmtId="0" fontId="0" fillId="10" borderId="62" xfId="0" applyFill="1" applyBorder="1" applyAlignment="1">
      <alignment horizontal="center"/>
    </xf>
    <xf numFmtId="0" fontId="0" fillId="10" borderId="64" xfId="0" applyFill="1" applyBorder="1" applyAlignment="1">
      <alignment horizontal="center"/>
    </xf>
    <xf numFmtId="0" fontId="0" fillId="0" borderId="60" xfId="0" applyBorder="1" applyAlignment="1">
      <alignment horizontal="right"/>
    </xf>
    <xf numFmtId="0" fontId="0" fillId="0" borderId="6" xfId="0" applyBorder="1"/>
    <xf numFmtId="0" fontId="11" fillId="0" borderId="11" xfId="0" applyFont="1" applyBorder="1"/>
    <xf numFmtId="0" fontId="3" fillId="0" borderId="10" xfId="0" applyFont="1" applyBorder="1" applyAlignment="1">
      <alignment horizontal="center"/>
    </xf>
    <xf numFmtId="20" fontId="0" fillId="10" borderId="32" xfId="0" applyNumberFormat="1" applyFill="1" applyBorder="1" applyAlignment="1">
      <alignment horizontal="center"/>
    </xf>
    <xf numFmtId="20" fontId="0" fillId="0" borderId="4" xfId="0" applyNumberFormat="1" applyBorder="1" applyAlignment="1">
      <alignment horizontal="center"/>
    </xf>
    <xf numFmtId="1" fontId="0" fillId="0" borderId="4" xfId="0" applyNumberFormat="1" applyBorder="1" applyAlignment="1">
      <alignment horizontal="center"/>
    </xf>
    <xf numFmtId="0" fontId="3" fillId="0" borderId="69" xfId="0" applyFont="1" applyBorder="1"/>
    <xf numFmtId="166" fontId="0" fillId="0" borderId="50" xfId="0" applyNumberFormat="1" applyBorder="1" applyAlignment="1">
      <alignment horizontal="center"/>
    </xf>
    <xf numFmtId="0" fontId="74" fillId="0" borderId="51" xfId="0" applyFont="1" applyBorder="1" applyAlignment="1">
      <alignment horizontal="center"/>
    </xf>
    <xf numFmtId="0" fontId="78" fillId="0" borderId="51" xfId="0" applyFont="1" applyBorder="1" applyAlignment="1">
      <alignment horizontal="center"/>
    </xf>
    <xf numFmtId="0" fontId="78" fillId="0" borderId="57" xfId="0" applyFont="1" applyBorder="1" applyAlignment="1">
      <alignment horizontal="center"/>
    </xf>
    <xf numFmtId="0" fontId="10" fillId="0" borderId="0" xfId="0" applyFont="1"/>
    <xf numFmtId="0" fontId="81" fillId="0" borderId="0" xfId="0" applyFont="1" applyAlignment="1">
      <alignment horizontal="right" vertical="center" wrapText="1"/>
    </xf>
    <xf numFmtId="0" fontId="79" fillId="0" borderId="61" xfId="0" applyFont="1" applyBorder="1" applyAlignment="1">
      <alignment horizontal="center"/>
    </xf>
    <xf numFmtId="0" fontId="83" fillId="0" borderId="52" xfId="0" applyFont="1" applyBorder="1" applyAlignment="1">
      <alignment horizontal="center"/>
    </xf>
    <xf numFmtId="0" fontId="1" fillId="0" borderId="10" xfId="0" applyFont="1" applyBorder="1" applyAlignment="1">
      <alignment horizontal="center"/>
    </xf>
    <xf numFmtId="0" fontId="1" fillId="0" borderId="1" xfId="0" applyFont="1" applyBorder="1" applyAlignment="1">
      <alignment horizontal="center"/>
    </xf>
    <xf numFmtId="0" fontId="74" fillId="0" borderId="72" xfId="0" applyFont="1" applyBorder="1" applyAlignment="1">
      <alignment horizontal="center"/>
    </xf>
    <xf numFmtId="0" fontId="74" fillId="0" borderId="73" xfId="0" applyFont="1" applyBorder="1" applyAlignment="1">
      <alignment horizontal="center"/>
    </xf>
    <xf numFmtId="0" fontId="83" fillId="0" borderId="72" xfId="0" applyFont="1" applyBorder="1" applyAlignment="1">
      <alignment horizontal="center"/>
    </xf>
    <xf numFmtId="0" fontId="84" fillId="0" borderId="73" xfId="0" applyFont="1" applyBorder="1" applyAlignment="1">
      <alignment horizontal="center"/>
    </xf>
    <xf numFmtId="0" fontId="83" fillId="0" borderId="74" xfId="0" applyFont="1" applyBorder="1" applyAlignment="1">
      <alignment horizontal="center"/>
    </xf>
    <xf numFmtId="0" fontId="83" fillId="0" borderId="68" xfId="0" applyFont="1" applyBorder="1" applyAlignment="1">
      <alignment horizontal="center"/>
    </xf>
    <xf numFmtId="0" fontId="84" fillId="0" borderId="75" xfId="0" applyFont="1" applyBorder="1" applyAlignment="1">
      <alignment horizontal="center"/>
    </xf>
    <xf numFmtId="0" fontId="78" fillId="0" borderId="46" xfId="0" applyFont="1" applyBorder="1" applyAlignment="1">
      <alignment horizontal="center"/>
    </xf>
    <xf numFmtId="0" fontId="78" fillId="0" borderId="47" xfId="0" applyFont="1" applyBorder="1" applyAlignment="1">
      <alignment horizontal="center"/>
    </xf>
    <xf numFmtId="0" fontId="78" fillId="0" borderId="48" xfId="0" applyFont="1" applyBorder="1" applyAlignment="1">
      <alignment horizontal="center"/>
    </xf>
    <xf numFmtId="0" fontId="44" fillId="0" borderId="76" xfId="0" applyFont="1" applyBorder="1"/>
    <xf numFmtId="0" fontId="44" fillId="0" borderId="77" xfId="0" applyFont="1" applyBorder="1"/>
    <xf numFmtId="0" fontId="44" fillId="0" borderId="78" xfId="0" applyFont="1" applyBorder="1"/>
    <xf numFmtId="43" fontId="0" fillId="0" borderId="0" xfId="0" applyNumberFormat="1" applyAlignment="1">
      <alignment horizontal="center" vertical="center"/>
    </xf>
    <xf numFmtId="44" fontId="78" fillId="0" borderId="49" xfId="1" applyFont="1" applyBorder="1" applyAlignment="1">
      <alignment horizontal="center"/>
    </xf>
    <xf numFmtId="2" fontId="0" fillId="0" borderId="0" xfId="0" applyNumberFormat="1" applyAlignment="1">
      <alignment horizontal="center" vertical="center"/>
    </xf>
    <xf numFmtId="2" fontId="0" fillId="0" borderId="22" xfId="0" applyNumberFormat="1" applyBorder="1" applyAlignment="1">
      <alignment horizontal="center" vertical="center"/>
    </xf>
    <xf numFmtId="0" fontId="3" fillId="0" borderId="37" xfId="0" applyFont="1" applyBorder="1"/>
    <xf numFmtId="0" fontId="3" fillId="0" borderId="0" xfId="0" applyFont="1"/>
    <xf numFmtId="0" fontId="3" fillId="0" borderId="37" xfId="0" applyFont="1" applyBorder="1" applyAlignment="1">
      <alignment horizontal="center"/>
    </xf>
    <xf numFmtId="2" fontId="9" fillId="0" borderId="0" xfId="0" applyNumberFormat="1" applyFont="1" applyAlignment="1">
      <alignment horizontal="center"/>
    </xf>
    <xf numFmtId="165" fontId="9" fillId="0" borderId="0" xfId="0" applyNumberFormat="1" applyFont="1" applyAlignment="1">
      <alignment horizontal="center"/>
    </xf>
    <xf numFmtId="0" fontId="88" fillId="0" borderId="0" xfId="0" applyFont="1" applyAlignment="1">
      <alignment horizontal="center" vertical="center" wrapText="1"/>
    </xf>
    <xf numFmtId="0" fontId="89" fillId="0" borderId="0" xfId="0" applyFont="1" applyAlignment="1">
      <alignment horizontal="center"/>
    </xf>
    <xf numFmtId="0" fontId="75" fillId="10" borderId="49" xfId="0" applyFont="1" applyFill="1" applyBorder="1" applyAlignment="1">
      <alignment horizontal="center" vertical="center"/>
    </xf>
    <xf numFmtId="0" fontId="76" fillId="10" borderId="49" xfId="0" applyFont="1" applyFill="1" applyBorder="1" applyAlignment="1">
      <alignment horizontal="center" vertical="center"/>
    </xf>
    <xf numFmtId="0" fontId="0" fillId="12" borderId="0" xfId="0" applyFill="1" applyAlignment="1">
      <alignment horizontal="center"/>
    </xf>
    <xf numFmtId="0" fontId="3" fillId="0" borderId="0" xfId="0" applyFont="1" applyAlignment="1">
      <alignment horizontal="center" wrapText="1"/>
    </xf>
    <xf numFmtId="0" fontId="86" fillId="12" borderId="7" xfId="0" applyFont="1" applyFill="1" applyBorder="1" applyAlignment="1">
      <alignment horizontal="right"/>
    </xf>
    <xf numFmtId="9" fontId="0" fillId="0" borderId="0" xfId="0" applyNumberFormat="1"/>
    <xf numFmtId="0" fontId="0" fillId="0" borderId="82" xfId="0" applyBorder="1" applyAlignment="1">
      <alignment horizontal="center"/>
    </xf>
    <xf numFmtId="0" fontId="11" fillId="4" borderId="11" xfId="0" applyFont="1" applyFill="1" applyBorder="1" applyAlignment="1">
      <alignment horizontal="centerContinuous"/>
    </xf>
    <xf numFmtId="0" fontId="68" fillId="0" borderId="37" xfId="0" applyFont="1" applyBorder="1" applyAlignment="1">
      <alignment horizontal="centerContinuous"/>
    </xf>
    <xf numFmtId="0" fontId="11" fillId="7" borderId="11" xfId="0" applyFont="1" applyFill="1" applyBorder="1" applyAlignment="1">
      <alignment horizontal="centerContinuous" vertical="center"/>
    </xf>
    <xf numFmtId="0" fontId="11" fillId="7" borderId="8" xfId="0" applyFont="1" applyFill="1" applyBorder="1" applyAlignment="1">
      <alignment horizontal="centerContinuous" vertical="center"/>
    </xf>
    <xf numFmtId="14" fontId="29" fillId="0" borderId="56" xfId="0" applyNumberFormat="1" applyFont="1" applyBorder="1" applyAlignment="1">
      <alignment horizontal="right"/>
    </xf>
    <xf numFmtId="0" fontId="4" fillId="0" borderId="0" xfId="0" applyFont="1" applyAlignment="1">
      <alignment horizontal="center"/>
    </xf>
    <xf numFmtId="0" fontId="11" fillId="0" borderId="0" xfId="0" applyFont="1"/>
    <xf numFmtId="0" fontId="11" fillId="4" borderId="0" xfId="0" applyFont="1" applyFill="1" applyAlignment="1">
      <alignment horizontal="centerContinuous"/>
    </xf>
    <xf numFmtId="0" fontId="11" fillId="7" borderId="0" xfId="0" applyFont="1" applyFill="1" applyAlignment="1">
      <alignment horizontal="centerContinuous" vertical="center"/>
    </xf>
    <xf numFmtId="0" fontId="11" fillId="7" borderId="1" xfId="0" applyFont="1" applyFill="1" applyBorder="1" applyAlignment="1">
      <alignment horizontal="centerContinuous" vertical="center"/>
    </xf>
    <xf numFmtId="14" fontId="29" fillId="0" borderId="7" xfId="0" applyNumberFormat="1" applyFont="1" applyBorder="1" applyAlignment="1">
      <alignment horizontal="right"/>
    </xf>
    <xf numFmtId="0" fontId="0" fillId="0" borderId="0" xfId="0" applyAlignment="1">
      <alignment horizontal="center" textRotation="152"/>
    </xf>
    <xf numFmtId="0" fontId="0" fillId="0" borderId="0" xfId="0" applyAlignment="1">
      <alignment textRotation="152"/>
    </xf>
    <xf numFmtId="0" fontId="0" fillId="0" borderId="0" xfId="0" applyAlignment="1">
      <alignment horizontal="center" textRotation="136"/>
    </xf>
    <xf numFmtId="0" fontId="0" fillId="0" borderId="0" xfId="0" applyAlignment="1">
      <alignment horizontal="center" textRotation="136" wrapText="1"/>
    </xf>
    <xf numFmtId="0" fontId="10" fillId="0" borderId="0" xfId="0" applyFont="1" applyAlignment="1">
      <alignment horizontal="center" wrapText="1"/>
    </xf>
    <xf numFmtId="0" fontId="0" fillId="0" borderId="0" xfId="0" applyAlignment="1">
      <alignment horizontal="center" textRotation="148"/>
    </xf>
    <xf numFmtId="0" fontId="66" fillId="0" borderId="0" xfId="0" applyFont="1" applyAlignment="1">
      <alignment horizontal="center" textRotation="148"/>
    </xf>
    <xf numFmtId="1" fontId="0" fillId="0" borderId="0" xfId="0" applyNumberFormat="1" applyAlignment="1">
      <alignment horizontal="center"/>
    </xf>
    <xf numFmtId="166" fontId="0" fillId="0" borderId="0" xfId="0" applyNumberFormat="1" applyAlignment="1">
      <alignment horizontal="center"/>
    </xf>
    <xf numFmtId="0" fontId="0" fillId="5" borderId="0" xfId="0" applyFill="1"/>
    <xf numFmtId="0" fontId="5" fillId="5" borderId="0" xfId="0" applyFont="1" applyFill="1" applyAlignment="1">
      <alignment horizontal="center"/>
    </xf>
    <xf numFmtId="0" fontId="82" fillId="12" borderId="0" xfId="0" applyFont="1" applyFill="1" applyAlignment="1">
      <alignment horizontal="center" wrapText="1"/>
    </xf>
    <xf numFmtId="0" fontId="82" fillId="0" borderId="0" xfId="0" applyFont="1" applyAlignment="1">
      <alignment horizontal="center" wrapText="1"/>
    </xf>
    <xf numFmtId="0" fontId="0" fillId="0" borderId="83" xfId="0" applyBorder="1" applyAlignment="1">
      <alignment horizontal="right"/>
    </xf>
    <xf numFmtId="0" fontId="0" fillId="9" borderId="6" xfId="0" applyFill="1" applyBorder="1"/>
    <xf numFmtId="0" fontId="0" fillId="9" borderId="4" xfId="0" applyFill="1" applyBorder="1"/>
    <xf numFmtId="0" fontId="0" fillId="9" borderId="4" xfId="0" applyFill="1" applyBorder="1" applyAlignment="1">
      <alignment horizontal="center"/>
    </xf>
    <xf numFmtId="0" fontId="44" fillId="9" borderId="6" xfId="0" applyFont="1" applyFill="1" applyBorder="1"/>
    <xf numFmtId="0" fontId="0" fillId="0" borderId="11" xfId="0" applyBorder="1" applyAlignment="1">
      <alignment horizontal="center" textRotation="152"/>
    </xf>
    <xf numFmtId="0" fontId="0" fillId="0" borderId="11" xfId="0" applyBorder="1" applyAlignment="1">
      <alignment textRotation="152"/>
    </xf>
    <xf numFmtId="0" fontId="0" fillId="0" borderId="11" xfId="0" applyBorder="1" applyAlignment="1">
      <alignment horizontal="center" textRotation="136"/>
    </xf>
    <xf numFmtId="0" fontId="0" fillId="0" borderId="11" xfId="0" applyBorder="1" applyAlignment="1">
      <alignment horizontal="center" textRotation="136" wrapText="1"/>
    </xf>
    <xf numFmtId="0" fontId="0" fillId="0" borderId="11" xfId="0" applyBorder="1" applyAlignment="1">
      <alignment horizontal="center" wrapText="1"/>
    </xf>
    <xf numFmtId="0" fontId="10" fillId="0" borderId="11" xfId="0" applyFont="1" applyBorder="1" applyAlignment="1">
      <alignment horizontal="center" wrapText="1"/>
    </xf>
    <xf numFmtId="0" fontId="0" fillId="0" borderId="11" xfId="0" applyBorder="1" applyAlignment="1">
      <alignment horizontal="center" textRotation="148"/>
    </xf>
    <xf numFmtId="0" fontId="66" fillId="0" borderId="11" xfId="0" applyFont="1" applyBorder="1" applyAlignment="1">
      <alignment horizontal="center" textRotation="148"/>
    </xf>
    <xf numFmtId="0" fontId="11" fillId="7" borderId="7" xfId="0" applyFont="1" applyFill="1" applyBorder="1" applyAlignment="1">
      <alignment horizontal="centerContinuous" vertical="center"/>
    </xf>
    <xf numFmtId="0" fontId="11" fillId="7" borderId="10" xfId="0" applyFont="1" applyFill="1" applyBorder="1" applyAlignment="1">
      <alignment horizontal="centerContinuous" vertical="center"/>
    </xf>
    <xf numFmtId="0" fontId="75" fillId="0" borderId="71" xfId="0" applyFont="1" applyBorder="1" applyAlignment="1">
      <alignment vertical="center"/>
    </xf>
    <xf numFmtId="2" fontId="75" fillId="0" borderId="2" xfId="0" applyNumberFormat="1" applyFont="1" applyBorder="1" applyAlignment="1">
      <alignment vertical="center"/>
    </xf>
    <xf numFmtId="1" fontId="53" fillId="0" borderId="35" xfId="0" applyNumberFormat="1" applyFont="1" applyBorder="1" applyAlignment="1">
      <alignment horizontal="center" vertical="center"/>
    </xf>
    <xf numFmtId="1" fontId="55" fillId="0" borderId="35" xfId="0" applyNumberFormat="1" applyFont="1" applyBorder="1" applyAlignment="1">
      <alignment horizontal="center" vertical="center"/>
    </xf>
    <xf numFmtId="1" fontId="56" fillId="0" borderId="35" xfId="0" applyNumberFormat="1" applyFont="1" applyBorder="1" applyAlignment="1">
      <alignment horizontal="center" vertical="center"/>
    </xf>
    <xf numFmtId="1" fontId="57" fillId="0" borderId="35" xfId="0" applyNumberFormat="1" applyFont="1" applyBorder="1" applyAlignment="1">
      <alignment horizontal="center" vertical="center"/>
    </xf>
    <xf numFmtId="1" fontId="58" fillId="0" borderId="35" xfId="0" applyNumberFormat="1" applyFont="1" applyBorder="1" applyAlignment="1">
      <alignment horizontal="center" vertical="center"/>
    </xf>
    <xf numFmtId="1" fontId="59" fillId="0" borderId="35" xfId="0" applyNumberFormat="1" applyFont="1" applyBorder="1" applyAlignment="1">
      <alignment horizontal="center" vertical="center"/>
    </xf>
    <xf numFmtId="1" fontId="60" fillId="0" borderId="35" xfId="0" applyNumberFormat="1" applyFont="1" applyBorder="1" applyAlignment="1">
      <alignment horizontal="center" vertical="center"/>
    </xf>
    <xf numFmtId="1" fontId="61" fillId="0" borderId="35" xfId="0" applyNumberFormat="1" applyFont="1" applyBorder="1" applyAlignment="1">
      <alignment horizontal="center" vertical="center"/>
    </xf>
    <xf numFmtId="1" fontId="62" fillId="0" borderId="35" xfId="0" applyNumberFormat="1" applyFont="1" applyBorder="1" applyAlignment="1">
      <alignment horizontal="center" vertical="center"/>
    </xf>
    <xf numFmtId="1" fontId="63" fillId="0" borderId="35" xfId="0" applyNumberFormat="1" applyFont="1" applyBorder="1" applyAlignment="1">
      <alignment horizontal="center" vertical="center"/>
    </xf>
    <xf numFmtId="1" fontId="64" fillId="0" borderId="35" xfId="0" applyNumberFormat="1" applyFont="1" applyBorder="1" applyAlignment="1">
      <alignment horizontal="center" vertical="center"/>
    </xf>
    <xf numFmtId="14" fontId="29" fillId="0" borderId="7" xfId="0" applyNumberFormat="1" applyFont="1" applyBorder="1" applyAlignment="1">
      <alignment horizontal="center"/>
    </xf>
    <xf numFmtId="2" fontId="0" fillId="0" borderId="22" xfId="0" applyNumberFormat="1" applyBorder="1" applyAlignment="1">
      <alignment horizontal="center"/>
    </xf>
    <xf numFmtId="14" fontId="42" fillId="0" borderId="0" xfId="0" applyNumberFormat="1" applyFont="1" applyAlignment="1">
      <alignment vertical="center"/>
    </xf>
    <xf numFmtId="0" fontId="65" fillId="0" borderId="0" xfId="0" applyFont="1" applyAlignment="1">
      <alignment horizontal="center" vertical="center"/>
    </xf>
    <xf numFmtId="0" fontId="29" fillId="0" borderId="11" xfId="0" applyFont="1" applyBorder="1" applyAlignment="1">
      <alignment vertical="center"/>
    </xf>
    <xf numFmtId="0" fontId="45" fillId="0" borderId="0" xfId="0" applyFont="1" applyAlignment="1">
      <alignment horizontal="center" vertical="center"/>
    </xf>
    <xf numFmtId="0" fontId="66" fillId="0" borderId="10" xfId="0" applyFont="1" applyBorder="1" applyAlignment="1">
      <alignment horizontal="right" vertical="center"/>
    </xf>
    <xf numFmtId="1" fontId="1" fillId="0" borderId="40" xfId="0" applyNumberFormat="1" applyFont="1" applyBorder="1" applyAlignment="1">
      <alignment horizontal="center" vertical="center"/>
    </xf>
    <xf numFmtId="1" fontId="27" fillId="2" borderId="35" xfId="0" applyNumberFormat="1" applyFont="1" applyFill="1" applyBorder="1" applyAlignment="1">
      <alignment horizontal="center" vertical="center"/>
    </xf>
    <xf numFmtId="0" fontId="44" fillId="0" borderId="0" xfId="0" applyFont="1"/>
    <xf numFmtId="165" fontId="53" fillId="0" borderId="0" xfId="0" applyNumberFormat="1" applyFont="1" applyAlignment="1">
      <alignment horizontal="center" vertical="center"/>
    </xf>
    <xf numFmtId="165" fontId="54" fillId="0" borderId="0" xfId="0" applyNumberFormat="1" applyFont="1" applyAlignment="1">
      <alignment horizontal="center" vertical="center"/>
    </xf>
    <xf numFmtId="165" fontId="55" fillId="0" borderId="0" xfId="0" applyNumberFormat="1" applyFont="1" applyAlignment="1">
      <alignment horizontal="center" vertical="center"/>
    </xf>
    <xf numFmtId="165" fontId="55" fillId="0" borderId="1" xfId="0" applyNumberFormat="1" applyFont="1" applyBorder="1" applyAlignment="1">
      <alignment horizontal="center" vertical="center"/>
    </xf>
    <xf numFmtId="165" fontId="56" fillId="0" borderId="0" xfId="0" applyNumberFormat="1" applyFont="1" applyAlignment="1">
      <alignment horizontal="center" vertical="center"/>
    </xf>
    <xf numFmtId="165" fontId="56" fillId="0" borderId="1" xfId="0" applyNumberFormat="1" applyFont="1" applyBorder="1" applyAlignment="1">
      <alignment horizontal="center" vertical="center"/>
    </xf>
    <xf numFmtId="165" fontId="57" fillId="0" borderId="0" xfId="0" applyNumberFormat="1" applyFont="1" applyAlignment="1">
      <alignment horizontal="center" vertical="center"/>
    </xf>
    <xf numFmtId="165" fontId="57" fillId="0" borderId="1" xfId="0" applyNumberFormat="1" applyFont="1" applyBorder="1" applyAlignment="1">
      <alignment horizontal="center" vertical="center"/>
    </xf>
    <xf numFmtId="165" fontId="58" fillId="0" borderId="0" xfId="0" applyNumberFormat="1" applyFont="1" applyAlignment="1">
      <alignment horizontal="center" vertical="center"/>
    </xf>
    <xf numFmtId="165" fontId="58" fillId="0" borderId="1" xfId="0" applyNumberFormat="1" applyFont="1" applyBorder="1" applyAlignment="1">
      <alignment horizontal="center" vertical="center"/>
    </xf>
    <xf numFmtId="165" fontId="59" fillId="0" borderId="0" xfId="0" applyNumberFormat="1" applyFont="1" applyAlignment="1">
      <alignment horizontal="center" vertical="center"/>
    </xf>
    <xf numFmtId="165" fontId="59" fillId="0" borderId="1" xfId="0" applyNumberFormat="1" applyFont="1" applyBorder="1" applyAlignment="1">
      <alignment horizontal="center" vertical="center"/>
    </xf>
    <xf numFmtId="165" fontId="60" fillId="0" borderId="0" xfId="0" applyNumberFormat="1" applyFont="1" applyAlignment="1">
      <alignment horizontal="center" vertical="center"/>
    </xf>
    <xf numFmtId="165" fontId="60" fillId="0" borderId="1" xfId="0" applyNumberFormat="1" applyFont="1" applyBorder="1" applyAlignment="1">
      <alignment horizontal="center" vertical="center"/>
    </xf>
    <xf numFmtId="165" fontId="61" fillId="0" borderId="0" xfId="0" applyNumberFormat="1" applyFont="1" applyAlignment="1">
      <alignment horizontal="center" vertical="center"/>
    </xf>
    <xf numFmtId="165" fontId="61" fillId="0" borderId="1" xfId="0" applyNumberFormat="1" applyFont="1" applyBorder="1" applyAlignment="1">
      <alignment horizontal="center" vertical="center"/>
    </xf>
    <xf numFmtId="165" fontId="62" fillId="0" borderId="0" xfId="0" applyNumberFormat="1" applyFont="1" applyAlignment="1">
      <alignment horizontal="center" vertical="center"/>
    </xf>
    <xf numFmtId="165" fontId="62" fillId="0" borderId="1" xfId="0" applyNumberFormat="1" applyFont="1" applyBorder="1" applyAlignment="1">
      <alignment horizontal="center" vertical="center"/>
    </xf>
    <xf numFmtId="165" fontId="63" fillId="0" borderId="0" xfId="0" applyNumberFormat="1" applyFont="1" applyAlignment="1">
      <alignment horizontal="center" vertical="center"/>
    </xf>
    <xf numFmtId="165" fontId="63" fillId="0" borderId="1" xfId="0" applyNumberFormat="1" applyFont="1" applyBorder="1" applyAlignment="1">
      <alignment horizontal="center" vertical="center"/>
    </xf>
    <xf numFmtId="165" fontId="64" fillId="0" borderId="0" xfId="0" applyNumberFormat="1" applyFont="1" applyAlignment="1">
      <alignment horizontal="center" vertical="center"/>
    </xf>
    <xf numFmtId="165" fontId="64" fillId="0" borderId="1" xfId="0" applyNumberFormat="1" applyFont="1" applyBorder="1" applyAlignment="1">
      <alignment horizontal="center" vertical="center"/>
    </xf>
    <xf numFmtId="165" fontId="27" fillId="2" borderId="0" xfId="0" applyNumberFormat="1" applyFont="1" applyFill="1" applyAlignment="1">
      <alignment horizontal="center" vertical="center"/>
    </xf>
    <xf numFmtId="165" fontId="44" fillId="2" borderId="0" xfId="0" applyNumberFormat="1" applyFont="1" applyFill="1" applyAlignment="1">
      <alignment horizontal="center" vertical="center"/>
    </xf>
    <xf numFmtId="165" fontId="1" fillId="0" borderId="9" xfId="0" applyNumberFormat="1" applyFont="1" applyBorder="1" applyAlignment="1">
      <alignment horizontal="center" vertical="center"/>
    </xf>
    <xf numFmtId="0" fontId="0" fillId="10" borderId="20" xfId="0" applyFill="1" applyBorder="1" applyAlignment="1">
      <alignment horizontal="center"/>
    </xf>
    <xf numFmtId="0" fontId="28" fillId="0" borderId="0" xfId="0" applyFont="1" applyAlignment="1">
      <alignment horizontal="right"/>
    </xf>
    <xf numFmtId="1" fontId="1" fillId="0" borderId="1" xfId="0" applyNumberFormat="1" applyFont="1" applyBorder="1" applyAlignment="1">
      <alignment horizontal="center" vertical="center"/>
    </xf>
    <xf numFmtId="0" fontId="6" fillId="0" borderId="4" xfId="0" applyFont="1" applyBorder="1" applyAlignment="1">
      <alignment vertical="center"/>
    </xf>
    <xf numFmtId="0" fontId="28" fillId="0" borderId="4" xfId="0" applyFont="1" applyBorder="1" applyAlignment="1">
      <alignment horizontal="right"/>
    </xf>
    <xf numFmtId="14" fontId="42" fillId="0" borderId="4" xfId="0" applyNumberFormat="1" applyFont="1" applyBorder="1" applyAlignment="1">
      <alignment vertical="center"/>
    </xf>
    <xf numFmtId="0" fontId="0" fillId="0" borderId="21" xfId="0" applyBorder="1" applyAlignment="1">
      <alignment horizontal="center"/>
    </xf>
    <xf numFmtId="167" fontId="42" fillId="0" borderId="0" xfId="1" applyNumberFormat="1" applyFont="1" applyBorder="1" applyAlignment="1">
      <alignment vertical="center"/>
    </xf>
    <xf numFmtId="44" fontId="0" fillId="0" borderId="0" xfId="1" applyFont="1" applyBorder="1"/>
    <xf numFmtId="0" fontId="17" fillId="0" borderId="7" xfId="0" applyFont="1" applyBorder="1"/>
    <xf numFmtId="0" fontId="0" fillId="2" borderId="46" xfId="0" applyFill="1" applyBorder="1" applyAlignment="1">
      <alignment horizontal="center"/>
    </xf>
    <xf numFmtId="9" fontId="0" fillId="0" borderId="4" xfId="0" applyNumberFormat="1" applyBorder="1" applyAlignment="1">
      <alignment horizontal="center"/>
    </xf>
    <xf numFmtId="9" fontId="0" fillId="2" borderId="49" xfId="2" applyFont="1" applyFill="1" applyBorder="1" applyAlignment="1">
      <alignment horizontal="center"/>
    </xf>
    <xf numFmtId="44" fontId="0" fillId="0" borderId="4" xfId="1" applyFont="1" applyBorder="1"/>
    <xf numFmtId="9" fontId="0" fillId="0" borderId="85" xfId="2" applyFont="1" applyBorder="1" applyAlignment="1">
      <alignment horizontal="center"/>
    </xf>
    <xf numFmtId="9" fontId="0" fillId="0" borderId="1" xfId="0" applyNumberFormat="1" applyBorder="1" applyAlignment="1">
      <alignment horizontal="center"/>
    </xf>
    <xf numFmtId="0" fontId="0" fillId="0" borderId="10" xfId="0" applyBorder="1" applyAlignment="1">
      <alignment horizontal="left"/>
    </xf>
    <xf numFmtId="0" fontId="0" fillId="0" borderId="85" xfId="0" applyBorder="1"/>
    <xf numFmtId="0" fontId="9" fillId="0" borderId="10" xfId="0" applyFont="1" applyBorder="1" applyAlignment="1">
      <alignment horizontal="left"/>
    </xf>
    <xf numFmtId="9" fontId="0" fillId="0" borderId="1" xfId="2" applyFont="1" applyBorder="1" applyAlignment="1">
      <alignment horizontal="center"/>
    </xf>
    <xf numFmtId="0" fontId="0" fillId="0" borderId="0" xfId="0" applyAlignment="1">
      <alignment horizontal="left"/>
    </xf>
    <xf numFmtId="0" fontId="9" fillId="0" borderId="0" xfId="0" applyFont="1" applyAlignment="1">
      <alignment horizontal="left"/>
    </xf>
    <xf numFmtId="0" fontId="44" fillId="12" borderId="0" xfId="0" applyFont="1" applyFill="1"/>
    <xf numFmtId="1" fontId="19" fillId="0" borderId="0" xfId="0" applyNumberFormat="1" applyFont="1" applyAlignment="1">
      <alignment vertical="center"/>
    </xf>
    <xf numFmtId="0" fontId="92" fillId="0" borderId="0" xfId="0" applyFont="1"/>
    <xf numFmtId="1" fontId="0" fillId="0" borderId="0" xfId="0" applyNumberFormat="1"/>
    <xf numFmtId="0" fontId="66" fillId="0" borderId="6" xfId="0" applyFont="1" applyBorder="1" applyAlignment="1">
      <alignment horizontal="right" vertical="center"/>
    </xf>
    <xf numFmtId="0" fontId="4" fillId="0" borderId="10" xfId="0" applyFont="1" applyBorder="1" applyAlignment="1">
      <alignment horizontal="centerContinuous"/>
    </xf>
    <xf numFmtId="0" fontId="11" fillId="0" borderId="0" xfId="0" applyFont="1" applyAlignment="1">
      <alignment horizontal="centerContinuous" vertical="center" wrapText="1"/>
    </xf>
    <xf numFmtId="0" fontId="0" fillId="0" borderId="0" xfId="0" applyAlignment="1">
      <alignment horizontal="centerContinuous"/>
    </xf>
    <xf numFmtId="0" fontId="29" fillId="0" borderId="0" xfId="0" applyFont="1"/>
    <xf numFmtId="0" fontId="4" fillId="0" borderId="10" xfId="0" applyFont="1" applyBorder="1" applyAlignment="1">
      <alignment horizontal="center"/>
    </xf>
    <xf numFmtId="0" fontId="4" fillId="0" borderId="11" xfId="0" applyFont="1" applyBorder="1"/>
    <xf numFmtId="0" fontId="4" fillId="0" borderId="8" xfId="0" applyFont="1" applyBorder="1"/>
    <xf numFmtId="0" fontId="2" fillId="13" borderId="0" xfId="0" applyFont="1" applyFill="1" applyAlignment="1">
      <alignment horizontal="centerContinuous"/>
    </xf>
    <xf numFmtId="0" fontId="65" fillId="13" borderId="0" xfId="0" applyFont="1" applyFill="1" applyAlignment="1">
      <alignment horizontal="centerContinuous"/>
    </xf>
    <xf numFmtId="0" fontId="65" fillId="5" borderId="0" xfId="0" applyFont="1" applyFill="1" applyAlignment="1">
      <alignment horizontal="centerContinuous"/>
    </xf>
    <xf numFmtId="0" fontId="72" fillId="6" borderId="0" xfId="0" applyFont="1" applyFill="1" applyAlignment="1">
      <alignment horizontal="centerContinuous"/>
    </xf>
    <xf numFmtId="0" fontId="0" fillId="0" borderId="76" xfId="0" applyBorder="1"/>
    <xf numFmtId="0" fontId="0" fillId="0" borderId="77" xfId="0" applyBorder="1"/>
    <xf numFmtId="0" fontId="0" fillId="0" borderId="78" xfId="0" applyBorder="1"/>
    <xf numFmtId="0" fontId="93" fillId="0" borderId="76" xfId="0" applyFont="1" applyBorder="1" applyAlignment="1">
      <alignment horizontal="left" vertical="center"/>
    </xf>
    <xf numFmtId="0" fontId="93" fillId="0" borderId="77" xfId="0" applyFont="1" applyBorder="1" applyAlignment="1">
      <alignment horizontal="left" vertical="center"/>
    </xf>
    <xf numFmtId="0" fontId="93" fillId="0" borderId="78" xfId="0" applyFont="1" applyBorder="1" applyAlignment="1">
      <alignment horizontal="left" vertical="center"/>
    </xf>
    <xf numFmtId="0" fontId="11" fillId="0" borderId="2" xfId="0" applyFont="1" applyBorder="1" applyAlignment="1">
      <alignment horizontal="centerContinuous" vertical="center" wrapText="1"/>
    </xf>
    <xf numFmtId="0" fontId="11" fillId="0" borderId="5" xfId="0" applyFont="1" applyBorder="1" applyAlignment="1">
      <alignment horizontal="centerContinuous" vertical="center" wrapText="1"/>
    </xf>
    <xf numFmtId="0" fontId="11" fillId="0" borderId="3" xfId="0" applyFont="1" applyBorder="1" applyAlignment="1">
      <alignment horizontal="centerContinuous" vertical="center" wrapText="1"/>
    </xf>
    <xf numFmtId="0" fontId="11" fillId="0" borderId="7" xfId="0" applyFont="1" applyBorder="1" applyAlignment="1">
      <alignment horizontal="centerContinuous" vertical="center" wrapText="1"/>
    </xf>
    <xf numFmtId="0" fontId="11" fillId="0" borderId="11" xfId="0" applyFont="1" applyBorder="1" applyAlignment="1">
      <alignment horizontal="centerContinuous" vertical="center" wrapText="1"/>
    </xf>
    <xf numFmtId="0" fontId="29" fillId="0" borderId="0" xfId="0" applyFont="1" applyAlignment="1">
      <alignment horizontal="centerContinuous"/>
    </xf>
    <xf numFmtId="0" fontId="29" fillId="0" borderId="1" xfId="0" applyFont="1" applyBorder="1" applyAlignment="1">
      <alignment horizontal="centerContinuous"/>
    </xf>
    <xf numFmtId="0" fontId="91" fillId="0" borderId="0" xfId="0" applyFont="1" applyAlignment="1">
      <alignment vertical="center"/>
    </xf>
    <xf numFmtId="0" fontId="96" fillId="0" borderId="0" xfId="0" applyFont="1"/>
    <xf numFmtId="0" fontId="97" fillId="6" borderId="0" xfId="0" applyFont="1" applyFill="1"/>
    <xf numFmtId="2" fontId="98" fillId="6" borderId="0" xfId="0" applyNumberFormat="1" applyFont="1" applyFill="1" applyAlignment="1">
      <alignment horizontal="right" vertical="center"/>
    </xf>
    <xf numFmtId="0" fontId="99" fillId="6" borderId="0" xfId="0" applyFont="1" applyFill="1" applyAlignment="1">
      <alignment horizontal="center" vertical="center"/>
    </xf>
    <xf numFmtId="0" fontId="98" fillId="6" borderId="0" xfId="0" applyFont="1" applyFill="1" applyAlignment="1">
      <alignment horizontal="right" vertical="center"/>
    </xf>
    <xf numFmtId="0" fontId="1" fillId="6" borderId="0" xfId="0" applyFont="1" applyFill="1"/>
    <xf numFmtId="165" fontId="99" fillId="6" borderId="0" xfId="0" applyNumberFormat="1" applyFont="1" applyFill="1" applyAlignment="1">
      <alignment horizontal="center" vertical="center"/>
    </xf>
    <xf numFmtId="0" fontId="94" fillId="5" borderId="0" xfId="0" applyFont="1" applyFill="1"/>
    <xf numFmtId="0" fontId="77" fillId="5" borderId="0" xfId="0" applyFont="1" applyFill="1" applyAlignment="1">
      <alignment horizontal="center" vertical="center"/>
    </xf>
    <xf numFmtId="0" fontId="98" fillId="5" borderId="0" xfId="0" applyFont="1" applyFill="1" applyAlignment="1">
      <alignment horizontal="right" vertical="center"/>
    </xf>
    <xf numFmtId="165" fontId="99" fillId="5" borderId="0" xfId="0" applyNumberFormat="1" applyFont="1" applyFill="1" applyAlignment="1">
      <alignment horizontal="center" vertical="center"/>
    </xf>
    <xf numFmtId="0" fontId="95" fillId="13" borderId="0" xfId="0" applyFont="1" applyFill="1"/>
    <xf numFmtId="0" fontId="65" fillId="13" borderId="0" xfId="0" applyFont="1" applyFill="1" applyAlignment="1">
      <alignment horizontal="right" vertical="center"/>
    </xf>
    <xf numFmtId="0" fontId="0" fillId="13" borderId="0" xfId="0" applyFill="1"/>
    <xf numFmtId="0" fontId="98" fillId="13" borderId="0" xfId="0" applyFont="1" applyFill="1" applyAlignment="1">
      <alignment horizontal="right" vertical="center"/>
    </xf>
    <xf numFmtId="165" fontId="98" fillId="5" borderId="0" xfId="0" applyNumberFormat="1" applyFont="1" applyFill="1" applyAlignment="1">
      <alignment horizontal="right" vertical="center"/>
    </xf>
    <xf numFmtId="165" fontId="98" fillId="13" borderId="0" xfId="0" applyNumberFormat="1" applyFont="1" applyFill="1" applyAlignment="1">
      <alignment horizontal="right" vertical="center"/>
    </xf>
    <xf numFmtId="0" fontId="100" fillId="0" borderId="0" xfId="0" applyFont="1" applyAlignment="1">
      <alignment vertical="center"/>
    </xf>
    <xf numFmtId="167" fontId="0" fillId="0" borderId="11" xfId="1" applyNumberFormat="1" applyFont="1" applyBorder="1" applyAlignment="1">
      <alignment horizontal="center"/>
    </xf>
    <xf numFmtId="44" fontId="9" fillId="0" borderId="0" xfId="0" applyNumberFormat="1" applyFont="1"/>
    <xf numFmtId="9" fontId="0" fillId="4" borderId="0" xfId="2" applyFont="1" applyFill="1" applyBorder="1" applyAlignment="1">
      <alignment horizontal="center"/>
    </xf>
    <xf numFmtId="0" fontId="17" fillId="0" borderId="10" xfId="0" applyFont="1" applyBorder="1"/>
    <xf numFmtId="167" fontId="0" fillId="0" borderId="0" xfId="1" applyNumberFormat="1" applyFont="1" applyBorder="1" applyAlignment="1">
      <alignment horizontal="center"/>
    </xf>
    <xf numFmtId="0" fontId="74" fillId="0" borderId="0" xfId="0" applyFont="1" applyAlignment="1">
      <alignment horizontal="center"/>
    </xf>
    <xf numFmtId="0" fontId="11" fillId="6" borderId="5" xfId="0" applyFont="1" applyFill="1" applyBorder="1" applyAlignment="1">
      <alignment horizontal="centerContinuous"/>
    </xf>
    <xf numFmtId="0" fontId="11" fillId="6" borderId="3" xfId="0" applyFont="1" applyFill="1" applyBorder="1" applyAlignment="1">
      <alignment horizontal="centerContinuous"/>
    </xf>
    <xf numFmtId="0" fontId="11" fillId="5" borderId="5" xfId="0" applyFont="1" applyFill="1" applyBorder="1" applyAlignment="1">
      <alignment horizontal="centerContinuous"/>
    </xf>
    <xf numFmtId="0" fontId="11" fillId="5" borderId="3" xfId="0" applyFont="1" applyFill="1" applyBorder="1" applyAlignment="1">
      <alignment horizontal="centerContinuous"/>
    </xf>
    <xf numFmtId="0" fontId="29" fillId="5" borderId="2" xfId="0" applyFont="1" applyFill="1" applyBorder="1" applyAlignment="1">
      <alignment horizontal="centerContinuous"/>
    </xf>
    <xf numFmtId="0" fontId="29" fillId="13" borderId="2" xfId="0" applyFont="1" applyFill="1" applyBorder="1" applyAlignment="1">
      <alignment horizontal="centerContinuous" vertical="center"/>
    </xf>
    <xf numFmtId="0" fontId="2" fillId="13" borderId="5" xfId="0" applyFont="1" applyFill="1" applyBorder="1" applyAlignment="1">
      <alignment horizontal="centerContinuous"/>
    </xf>
    <xf numFmtId="0" fontId="2" fillId="13" borderId="3" xfId="0" applyFont="1" applyFill="1" applyBorder="1" applyAlignment="1">
      <alignment horizontal="centerContinuous"/>
    </xf>
    <xf numFmtId="0" fontId="67" fillId="0" borderId="0" xfId="0" applyFont="1" applyAlignment="1">
      <alignment vertical="center"/>
    </xf>
    <xf numFmtId="0" fontId="19" fillId="0" borderId="10" xfId="0" applyFont="1" applyBorder="1" applyAlignment="1">
      <alignment vertical="center"/>
    </xf>
    <xf numFmtId="0" fontId="19" fillId="0" borderId="1" xfId="0" applyFont="1" applyBorder="1" applyAlignment="1">
      <alignment vertical="center"/>
    </xf>
    <xf numFmtId="0" fontId="24" fillId="0" borderId="10" xfId="0" applyFont="1" applyBorder="1" applyAlignment="1">
      <alignment vertical="center"/>
    </xf>
    <xf numFmtId="0" fontId="24" fillId="0" borderId="1" xfId="0" applyFont="1" applyBorder="1" applyAlignment="1">
      <alignment vertical="center"/>
    </xf>
    <xf numFmtId="0" fontId="37" fillId="0" borderId="10" xfId="0" applyFont="1" applyBorder="1" applyAlignment="1">
      <alignment vertical="center"/>
    </xf>
    <xf numFmtId="0" fontId="37" fillId="0" borderId="1" xfId="0" applyFont="1" applyBorder="1" applyAlignment="1">
      <alignment vertical="center"/>
    </xf>
    <xf numFmtId="0" fontId="21" fillId="0" borderId="10" xfId="0" applyFont="1" applyBorder="1" applyAlignment="1">
      <alignment vertical="center"/>
    </xf>
    <xf numFmtId="0" fontId="21" fillId="0" borderId="1" xfId="0" applyFont="1" applyBorder="1" applyAlignment="1">
      <alignment vertical="center"/>
    </xf>
    <xf numFmtId="0" fontId="22" fillId="0" borderId="10" xfId="0" applyFont="1" applyBorder="1" applyAlignment="1">
      <alignment vertical="center"/>
    </xf>
    <xf numFmtId="0" fontId="22" fillId="0" borderId="1" xfId="0" applyFont="1" applyBorder="1" applyAlignment="1">
      <alignment vertical="center"/>
    </xf>
    <xf numFmtId="0" fontId="23" fillId="0" borderId="10" xfId="0" applyFont="1" applyBorder="1" applyAlignment="1">
      <alignment vertical="center"/>
    </xf>
    <xf numFmtId="0" fontId="23" fillId="0" borderId="1" xfId="0" applyFont="1" applyBorder="1" applyAlignment="1">
      <alignment vertical="center"/>
    </xf>
    <xf numFmtId="0" fontId="20" fillId="0" borderId="10" xfId="0" applyFont="1" applyBorder="1" applyAlignment="1">
      <alignment vertical="center"/>
    </xf>
    <xf numFmtId="0" fontId="20" fillId="0" borderId="1" xfId="0" applyFont="1" applyBorder="1" applyAlignment="1">
      <alignment vertical="center"/>
    </xf>
    <xf numFmtId="0" fontId="38" fillId="0" borderId="1" xfId="0" applyFont="1" applyBorder="1" applyAlignment="1">
      <alignment vertical="center"/>
    </xf>
    <xf numFmtId="0" fontId="34" fillId="0" borderId="10" xfId="0" applyFont="1" applyBorder="1" applyAlignment="1">
      <alignment vertical="center"/>
    </xf>
    <xf numFmtId="0" fontId="34" fillId="0" borderId="1" xfId="0" applyFont="1" applyBorder="1" applyAlignment="1">
      <alignment vertical="center"/>
    </xf>
    <xf numFmtId="0" fontId="6" fillId="0" borderId="6" xfId="0" applyFont="1" applyBorder="1" applyAlignment="1">
      <alignment horizontal="right"/>
    </xf>
    <xf numFmtId="0" fontId="9" fillId="0" borderId="0" xfId="0" applyFont="1" applyAlignment="1">
      <alignment horizontal="right"/>
    </xf>
    <xf numFmtId="0" fontId="6" fillId="0" borderId="0" xfId="0" applyFont="1" applyAlignment="1">
      <alignment horizontal="center"/>
    </xf>
    <xf numFmtId="0" fontId="0" fillId="0" borderId="0" xfId="0" applyAlignment="1">
      <alignment horizontal="right"/>
    </xf>
    <xf numFmtId="0" fontId="3" fillId="0" borderId="0" xfId="0" applyFont="1" applyAlignment="1">
      <alignment horizontal="center"/>
    </xf>
    <xf numFmtId="0" fontId="65" fillId="0" borderId="0" xfId="0" applyFont="1" applyAlignment="1">
      <alignment horizontal="right" vertical="center"/>
    </xf>
    <xf numFmtId="0" fontId="77" fillId="0" borderId="0" xfId="0" applyFont="1" applyAlignment="1">
      <alignment horizontal="center" vertical="center"/>
    </xf>
    <xf numFmtId="0" fontId="0" fillId="0" borderId="10" xfId="0" applyBorder="1" applyAlignment="1">
      <alignment horizontal="right"/>
    </xf>
    <xf numFmtId="0" fontId="0" fillId="0" borderId="0" xfId="0" applyAlignment="1">
      <alignment horizontal="center" vertical="center"/>
    </xf>
    <xf numFmtId="165" fontId="1" fillId="0" borderId="0" xfId="0" applyNumberFormat="1" applyFont="1" applyAlignment="1">
      <alignment horizontal="center" vertical="center"/>
    </xf>
    <xf numFmtId="0" fontId="3" fillId="0" borderId="7" xfId="0" applyFont="1" applyBorder="1" applyAlignment="1">
      <alignment horizontal="center"/>
    </xf>
    <xf numFmtId="0" fontId="4" fillId="0" borderId="11" xfId="0" applyFont="1" applyBorder="1" applyAlignment="1">
      <alignment horizontal="center"/>
    </xf>
    <xf numFmtId="0" fontId="29" fillId="0" borderId="0" xfId="0" applyFont="1" applyAlignment="1">
      <alignment horizontal="center"/>
    </xf>
    <xf numFmtId="0" fontId="0" fillId="0" borderId="0" xfId="0" applyAlignment="1">
      <alignment horizontal="center" vertical="center" wrapText="1"/>
    </xf>
    <xf numFmtId="0" fontId="11" fillId="0" borderId="0" xfId="0" applyFont="1" applyAlignment="1">
      <alignment horizontal="center" vertical="center" wrapText="1"/>
    </xf>
    <xf numFmtId="2" fontId="0" fillId="0" borderId="0" xfId="0" applyNumberFormat="1" applyAlignment="1">
      <alignment horizontal="center"/>
    </xf>
    <xf numFmtId="0" fontId="9" fillId="0" borderId="60" xfId="0" applyFont="1" applyBorder="1" applyAlignment="1">
      <alignment horizontal="center" vertical="center"/>
    </xf>
    <xf numFmtId="0" fontId="0" fillId="10" borderId="16" xfId="0" applyFill="1" applyBorder="1" applyAlignment="1">
      <alignment horizontal="center"/>
    </xf>
    <xf numFmtId="0" fontId="0" fillId="0" borderId="1" xfId="0" applyBorder="1" applyAlignment="1">
      <alignment horizontal="center"/>
    </xf>
    <xf numFmtId="0" fontId="40" fillId="0" borderId="5" xfId="0" applyFont="1" applyBorder="1" applyAlignment="1">
      <alignment horizontal="center"/>
    </xf>
    <xf numFmtId="0" fontId="3" fillId="0" borderId="0" xfId="0" applyFont="1" applyAlignment="1">
      <alignment horizontal="center" vertical="center"/>
    </xf>
    <xf numFmtId="0" fontId="3" fillId="0" borderId="0" xfId="0" applyFont="1" applyAlignment="1">
      <alignment horizontal="right" vertical="center"/>
    </xf>
    <xf numFmtId="0" fontId="0" fillId="0" borderId="11" xfId="0" applyBorder="1" applyAlignment="1">
      <alignment horizontal="center"/>
    </xf>
    <xf numFmtId="0" fontId="1" fillId="0" borderId="0" xfId="0" applyFont="1" applyAlignment="1">
      <alignment horizontal="center"/>
    </xf>
    <xf numFmtId="0" fontId="1" fillId="0" borderId="0" xfId="0" applyFont="1" applyAlignment="1">
      <alignment horizontal="right" vertical="center"/>
    </xf>
    <xf numFmtId="0" fontId="0" fillId="10" borderId="10" xfId="0" applyFill="1" applyBorder="1" applyAlignment="1">
      <alignment horizontal="right"/>
    </xf>
    <xf numFmtId="0" fontId="0" fillId="10" borderId="83" xfId="0" applyFill="1" applyBorder="1" applyAlignment="1">
      <alignment horizontal="right"/>
    </xf>
    <xf numFmtId="0" fontId="0" fillId="10" borderId="6" xfId="0" applyFill="1" applyBorder="1" applyAlignment="1">
      <alignment horizontal="right"/>
    </xf>
    <xf numFmtId="0" fontId="0" fillId="10" borderId="0" xfId="0" applyFill="1"/>
    <xf numFmtId="0" fontId="0" fillId="10" borderId="4" xfId="0" applyFill="1" applyBorder="1" applyAlignment="1">
      <alignment horizontal="right"/>
    </xf>
    <xf numFmtId="49" fontId="103" fillId="0" borderId="10" xfId="0" applyNumberFormat="1" applyFont="1" applyBorder="1" applyAlignment="1">
      <alignment horizontal="right"/>
    </xf>
    <xf numFmtId="0" fontId="104" fillId="0" borderId="0" xfId="0" applyFont="1" applyAlignment="1">
      <alignment horizontal="center" vertical="center"/>
    </xf>
    <xf numFmtId="0" fontId="103" fillId="0" borderId="0" xfId="0" applyFont="1" applyAlignment="1">
      <alignment horizontal="right"/>
    </xf>
    <xf numFmtId="0" fontId="104" fillId="0" borderId="0" xfId="0" applyFont="1"/>
    <xf numFmtId="165" fontId="104" fillId="0" borderId="1" xfId="0" applyNumberFormat="1" applyFont="1" applyBorder="1" applyAlignment="1">
      <alignment horizontal="center"/>
    </xf>
    <xf numFmtId="1" fontId="104" fillId="0" borderId="0" xfId="0" applyNumberFormat="1" applyFont="1" applyAlignment="1">
      <alignment horizontal="center" vertical="center"/>
    </xf>
    <xf numFmtId="0" fontId="105" fillId="12" borderId="0" xfId="0" applyFont="1" applyFill="1"/>
    <xf numFmtId="49" fontId="103" fillId="0" borderId="6" xfId="0" applyNumberFormat="1" applyFont="1" applyBorder="1" applyAlignment="1">
      <alignment horizontal="right"/>
    </xf>
    <xf numFmtId="1" fontId="104" fillId="0" borderId="4" xfId="0" applyNumberFormat="1" applyFont="1" applyBorder="1" applyAlignment="1">
      <alignment horizontal="center" vertical="center"/>
    </xf>
    <xf numFmtId="0" fontId="103" fillId="0" borderId="4" xfId="0" applyFont="1" applyBorder="1" applyAlignment="1">
      <alignment horizontal="right"/>
    </xf>
    <xf numFmtId="0" fontId="105" fillId="12" borderId="4" xfId="0" applyFont="1" applyFill="1" applyBorder="1"/>
    <xf numFmtId="165" fontId="104" fillId="0" borderId="9" xfId="0" applyNumberFormat="1" applyFont="1" applyBorder="1" applyAlignment="1">
      <alignment horizontal="center"/>
    </xf>
    <xf numFmtId="165" fontId="106" fillId="0" borderId="10" xfId="0" applyNumberFormat="1" applyFont="1" applyBorder="1" applyAlignment="1">
      <alignment horizontal="center"/>
    </xf>
    <xf numFmtId="165" fontId="104" fillId="0" borderId="0" xfId="0" applyNumberFormat="1" applyFont="1" applyAlignment="1">
      <alignment horizontal="center"/>
    </xf>
    <xf numFmtId="165" fontId="106" fillId="0" borderId="0" xfId="0" applyNumberFormat="1" applyFont="1" applyAlignment="1">
      <alignment horizontal="center"/>
    </xf>
    <xf numFmtId="165" fontId="106" fillId="0" borderId="6" xfId="0" applyNumberFormat="1" applyFont="1" applyBorder="1" applyAlignment="1">
      <alignment horizontal="center"/>
    </xf>
    <xf numFmtId="165" fontId="104" fillId="0" borderId="4" xfId="0" applyNumberFormat="1" applyFont="1" applyBorder="1" applyAlignment="1">
      <alignment horizontal="center"/>
    </xf>
    <xf numFmtId="165" fontId="106" fillId="0" borderId="4" xfId="0" applyNumberFormat="1" applyFont="1" applyBorder="1" applyAlignment="1">
      <alignment horizontal="center"/>
    </xf>
    <xf numFmtId="165" fontId="106" fillId="0" borderId="10" xfId="0" applyNumberFormat="1" applyFont="1" applyBorder="1" applyAlignment="1">
      <alignment horizontal="right"/>
    </xf>
    <xf numFmtId="0" fontId="104" fillId="0" borderId="0" xfId="0" applyFont="1" applyAlignment="1">
      <alignment horizontal="center"/>
    </xf>
    <xf numFmtId="0" fontId="106" fillId="0" borderId="0" xfId="0" applyFont="1" applyAlignment="1">
      <alignment horizontal="right"/>
    </xf>
    <xf numFmtId="165" fontId="106" fillId="0" borderId="6" xfId="0" applyNumberFormat="1" applyFont="1" applyBorder="1" applyAlignment="1">
      <alignment horizontal="right"/>
    </xf>
    <xf numFmtId="0" fontId="104" fillId="0" borderId="4" xfId="0" applyFont="1" applyBorder="1"/>
    <xf numFmtId="0" fontId="104" fillId="0" borderId="4" xfId="0" applyFont="1" applyBorder="1" applyAlignment="1">
      <alignment horizontal="center"/>
    </xf>
    <xf numFmtId="0" fontId="106" fillId="0" borderId="4" xfId="0" applyFont="1" applyBorder="1" applyAlignment="1">
      <alignment horizontal="right"/>
    </xf>
    <xf numFmtId="0" fontId="106" fillId="0" borderId="10" xfId="0" applyFont="1" applyBorder="1" applyAlignment="1">
      <alignment horizontal="right"/>
    </xf>
    <xf numFmtId="0" fontId="106" fillId="0" borderId="6" xfId="0" applyFont="1" applyBorder="1" applyAlignment="1">
      <alignment horizontal="right"/>
    </xf>
    <xf numFmtId="0" fontId="104" fillId="0" borderId="0" xfId="0" applyFont="1" applyAlignment="1">
      <alignment horizontal="right"/>
    </xf>
    <xf numFmtId="0" fontId="103" fillId="0" borderId="10" xfId="0" applyFont="1" applyBorder="1"/>
    <xf numFmtId="0" fontId="103" fillId="0" borderId="10" xfId="0" applyFont="1" applyBorder="1" applyAlignment="1">
      <alignment horizontal="right"/>
    </xf>
    <xf numFmtId="0" fontId="103" fillId="0" borderId="6" xfId="0" applyFont="1" applyBorder="1" applyAlignment="1">
      <alignment horizontal="right"/>
    </xf>
    <xf numFmtId="0" fontId="107" fillId="0" borderId="10" xfId="0" applyFont="1" applyBorder="1"/>
    <xf numFmtId="0" fontId="107" fillId="0" borderId="10" xfId="0" applyFont="1" applyBorder="1" applyAlignment="1">
      <alignment horizontal="right"/>
    </xf>
    <xf numFmtId="0" fontId="107" fillId="0" borderId="6" xfId="0" applyFont="1" applyBorder="1" applyAlignment="1">
      <alignment horizontal="right"/>
    </xf>
    <xf numFmtId="0" fontId="107" fillId="0" borderId="0" xfId="0" applyFont="1" applyAlignment="1">
      <alignment horizontal="right"/>
    </xf>
    <xf numFmtId="0" fontId="107" fillId="0" borderId="4" xfId="0" applyFont="1" applyBorder="1" applyAlignment="1">
      <alignment horizontal="right"/>
    </xf>
    <xf numFmtId="18" fontId="0" fillId="10" borderId="16" xfId="0" applyNumberFormat="1" applyFill="1" applyBorder="1" applyAlignment="1">
      <alignment horizontal="center"/>
    </xf>
    <xf numFmtId="14" fontId="0" fillId="0" borderId="0" xfId="0" applyNumberFormat="1"/>
    <xf numFmtId="0" fontId="0" fillId="10" borderId="87" xfId="0" applyFill="1" applyBorder="1" applyAlignment="1">
      <alignment horizontal="center"/>
    </xf>
    <xf numFmtId="0" fontId="5" fillId="15" borderId="16" xfId="0" applyFont="1" applyFill="1" applyBorder="1" applyAlignment="1">
      <alignment horizontal="center" vertical="center" wrapText="1"/>
    </xf>
    <xf numFmtId="0" fontId="0" fillId="0" borderId="16" xfId="0" applyBorder="1" applyAlignment="1">
      <alignment horizontal="center" vertical="center"/>
    </xf>
    <xf numFmtId="1" fontId="0" fillId="0" borderId="16" xfId="0" applyNumberFormat="1" applyBorder="1" applyAlignment="1">
      <alignment horizontal="center" vertical="center"/>
    </xf>
    <xf numFmtId="165" fontId="0" fillId="0" borderId="16" xfId="0" applyNumberFormat="1" applyBorder="1" applyAlignment="1">
      <alignment horizontal="center" vertical="center"/>
    </xf>
    <xf numFmtId="0" fontId="3" fillId="3" borderId="16" xfId="0" applyFont="1" applyFill="1" applyBorder="1" applyAlignment="1">
      <alignment horizontal="center" vertical="center"/>
    </xf>
    <xf numFmtId="0" fontId="5" fillId="17" borderId="16" xfId="0" applyFont="1" applyFill="1" applyBorder="1" applyAlignment="1">
      <alignment horizontal="center" vertical="center" wrapText="1"/>
    </xf>
    <xf numFmtId="0" fontId="5" fillId="19" borderId="16" xfId="0" applyFont="1" applyFill="1" applyBorder="1" applyAlignment="1">
      <alignment horizontal="center" vertical="center" wrapText="1"/>
    </xf>
    <xf numFmtId="0" fontId="5" fillId="21" borderId="16" xfId="0" applyFont="1" applyFill="1" applyBorder="1" applyAlignment="1">
      <alignment horizontal="center" vertical="center" wrapText="1"/>
    </xf>
    <xf numFmtId="0" fontId="78" fillId="0" borderId="67" xfId="0" applyFont="1" applyBorder="1" applyAlignment="1">
      <alignment horizontal="center"/>
    </xf>
    <xf numFmtId="9" fontId="0" fillId="2" borderId="0" xfId="2" applyFont="1" applyFill="1" applyBorder="1" applyAlignment="1">
      <alignment horizontal="center"/>
    </xf>
    <xf numFmtId="0" fontId="5" fillId="22" borderId="16" xfId="0" applyFont="1" applyFill="1" applyBorder="1" applyAlignment="1">
      <alignment horizontal="center" vertical="center"/>
    </xf>
    <xf numFmtId="0" fontId="4" fillId="0" borderId="0" xfId="0" applyFont="1" applyAlignment="1">
      <alignment horizontal="center" vertical="center"/>
    </xf>
    <xf numFmtId="0" fontId="43" fillId="0" borderId="0" xfId="0" applyFont="1" applyAlignment="1">
      <alignment horizontal="center" vertical="center"/>
    </xf>
    <xf numFmtId="0" fontId="2" fillId="0" borderId="0" xfId="0" applyFont="1"/>
    <xf numFmtId="0" fontId="2" fillId="0" borderId="4" xfId="0" applyFont="1" applyBorder="1"/>
    <xf numFmtId="0" fontId="2" fillId="0" borderId="4" xfId="0" applyFont="1" applyBorder="1" applyAlignment="1">
      <alignment horizontal="right"/>
    </xf>
    <xf numFmtId="0" fontId="6" fillId="0" borderId="0" xfId="0" applyFont="1" applyAlignment="1">
      <alignment horizontal="right" vertical="center"/>
    </xf>
    <xf numFmtId="164" fontId="0" fillId="0" borderId="0" xfId="0" applyNumberFormat="1" applyAlignment="1">
      <alignment horizontal="center" vertical="center"/>
    </xf>
    <xf numFmtId="0" fontId="3" fillId="0" borderId="4" xfId="0" applyFont="1" applyBorder="1" applyAlignment="1">
      <alignment horizontal="center" vertical="center" wrapText="1"/>
    </xf>
    <xf numFmtId="0" fontId="5" fillId="0" borderId="0" xfId="0" applyFont="1" applyAlignment="1">
      <alignment horizontal="center" wrapText="1"/>
    </xf>
    <xf numFmtId="164" fontId="6" fillId="0" borderId="10" xfId="0" applyNumberFormat="1" applyFont="1" applyBorder="1" applyAlignment="1">
      <alignment vertical="center"/>
    </xf>
    <xf numFmtId="0" fontId="0" fillId="0" borderId="49" xfId="0" applyBorder="1" applyAlignment="1">
      <alignment vertical="center"/>
    </xf>
    <xf numFmtId="0" fontId="11" fillId="0" borderId="0" xfId="0" applyFont="1" applyAlignment="1">
      <alignment horizontal="center" vertical="center"/>
    </xf>
    <xf numFmtId="0" fontId="43" fillId="0" borderId="0" xfId="0" quotePrefix="1" applyFont="1" applyAlignment="1">
      <alignment horizontal="center" vertical="center"/>
    </xf>
    <xf numFmtId="0" fontId="0" fillId="0" borderId="49" xfId="0" applyBorder="1" applyAlignment="1">
      <alignment horizontal="center" vertical="center"/>
    </xf>
    <xf numFmtId="164" fontId="6" fillId="0" borderId="0" xfId="0" applyNumberFormat="1" applyFont="1" applyAlignment="1">
      <alignment horizontal="right" vertical="center"/>
    </xf>
    <xf numFmtId="0" fontId="4" fillId="0" borderId="0" xfId="0" applyFont="1" applyAlignment="1">
      <alignment horizontal="right" vertical="center"/>
    </xf>
    <xf numFmtId="164" fontId="0" fillId="0" borderId="0" xfId="0" applyNumberFormat="1" applyAlignment="1">
      <alignment horizontal="right" vertical="center"/>
    </xf>
    <xf numFmtId="0" fontId="3" fillId="0" borderId="4" xfId="0" applyFont="1" applyBorder="1" applyAlignment="1">
      <alignment horizontal="right" vertical="center"/>
    </xf>
    <xf numFmtId="0" fontId="0" fillId="0" borderId="0" xfId="0" applyAlignment="1">
      <alignment horizontal="right" vertical="center"/>
    </xf>
    <xf numFmtId="164" fontId="6" fillId="0" borderId="6" xfId="0" applyNumberFormat="1" applyFont="1" applyBorder="1" applyAlignment="1">
      <alignment vertical="center"/>
    </xf>
    <xf numFmtId="0" fontId="8" fillId="0" borderId="4" xfId="0" applyFont="1" applyBorder="1" applyAlignment="1">
      <alignment horizontal="center" vertical="center"/>
    </xf>
    <xf numFmtId="0" fontId="43" fillId="0" borderId="4" xfId="0" applyFont="1" applyBorder="1" applyAlignment="1">
      <alignment horizontal="center" vertical="center"/>
    </xf>
    <xf numFmtId="0" fontId="43" fillId="0" borderId="4" xfId="0" quotePrefix="1" applyFont="1" applyBorder="1" applyAlignment="1">
      <alignment horizontal="center" vertical="center"/>
    </xf>
    <xf numFmtId="0" fontId="0" fillId="0" borderId="9" xfId="0" applyBorder="1" applyAlignment="1">
      <alignment vertical="center"/>
    </xf>
    <xf numFmtId="0" fontId="0" fillId="0" borderId="0" xfId="0" quotePrefix="1" applyAlignment="1">
      <alignment vertical="center"/>
    </xf>
    <xf numFmtId="0" fontId="6" fillId="3" borderId="0" xfId="0" applyFont="1" applyFill="1" applyAlignment="1">
      <alignment horizontal="center" vertical="center"/>
    </xf>
    <xf numFmtId="0" fontId="0" fillId="0" borderId="10" xfId="0" applyBorder="1" applyAlignment="1">
      <alignment vertical="center"/>
    </xf>
    <xf numFmtId="1" fontId="3" fillId="0" borderId="16" xfId="0" applyNumberFormat="1" applyFont="1" applyBorder="1" applyAlignment="1">
      <alignment horizontal="center" vertical="center"/>
    </xf>
    <xf numFmtId="0" fontId="0" fillId="0" borderId="0" xfId="0" quotePrefix="1" applyAlignment="1">
      <alignment horizontal="center" vertical="center"/>
    </xf>
    <xf numFmtId="0" fontId="0" fillId="0" borderId="16" xfId="0" applyBorder="1" applyAlignment="1">
      <alignment vertical="center"/>
    </xf>
    <xf numFmtId="0" fontId="0" fillId="0" borderId="88" xfId="0" applyBorder="1" applyAlignment="1">
      <alignment vertical="center"/>
    </xf>
    <xf numFmtId="164" fontId="0" fillId="0" borderId="0" xfId="0" applyNumberFormat="1" applyAlignment="1">
      <alignment vertical="center"/>
    </xf>
    <xf numFmtId="0" fontId="3" fillId="0" borderId="16" xfId="0" applyFont="1" applyBorder="1" applyAlignment="1">
      <alignment horizontal="center" vertical="center"/>
    </xf>
    <xf numFmtId="0" fontId="3" fillId="0" borderId="32" xfId="0" applyFont="1" applyBorder="1" applyAlignment="1">
      <alignment horizontal="center" vertical="center"/>
    </xf>
    <xf numFmtId="0" fontId="43" fillId="0" borderId="25" xfId="0" quotePrefix="1" applyFont="1" applyBorder="1" applyAlignment="1">
      <alignment horizontal="center" vertical="center"/>
    </xf>
    <xf numFmtId="0" fontId="43" fillId="0" borderId="0" xfId="0" applyFont="1" applyAlignment="1">
      <alignment vertical="center"/>
    </xf>
    <xf numFmtId="0" fontId="109" fillId="0" borderId="0" xfId="0" applyFont="1" applyAlignment="1">
      <alignment horizontal="center" vertical="center"/>
    </xf>
    <xf numFmtId="0" fontId="5" fillId="16" borderId="16" xfId="0" applyFont="1" applyFill="1" applyBorder="1" applyAlignment="1">
      <alignment horizontal="center" vertical="center" wrapText="1"/>
    </xf>
    <xf numFmtId="0" fontId="5" fillId="20" borderId="16" xfId="0" applyFont="1" applyFill="1" applyBorder="1" applyAlignment="1">
      <alignment horizontal="center" vertical="center" wrapText="1"/>
    </xf>
    <xf numFmtId="0" fontId="5" fillId="18" borderId="16" xfId="0" applyFont="1" applyFill="1" applyBorder="1" applyAlignment="1">
      <alignment horizontal="center" vertical="center" wrapText="1"/>
    </xf>
    <xf numFmtId="0" fontId="5" fillId="15" borderId="16" xfId="0" applyFont="1" applyFill="1" applyBorder="1" applyAlignment="1">
      <alignment horizontal="center" vertical="center" wrapText="1"/>
    </xf>
    <xf numFmtId="0" fontId="108" fillId="0" borderId="0" xfId="0" applyFont="1" applyAlignment="1">
      <alignment horizontal="center" vertical="center"/>
    </xf>
    <xf numFmtId="0" fontId="65" fillId="0" borderId="0" xfId="0" applyFont="1" applyAlignment="1">
      <alignment horizontal="right" vertical="center"/>
    </xf>
    <xf numFmtId="0" fontId="72" fillId="0" borderId="7" xfId="0" applyFont="1" applyBorder="1" applyAlignment="1">
      <alignment horizontal="center"/>
    </xf>
    <xf numFmtId="0" fontId="72" fillId="0" borderId="11" xfId="0" applyFont="1" applyBorder="1" applyAlignment="1">
      <alignment horizontal="center"/>
    </xf>
    <xf numFmtId="0" fontId="72" fillId="0" borderId="8" xfId="0" applyFont="1" applyBorder="1" applyAlignment="1">
      <alignment horizontal="center"/>
    </xf>
    <xf numFmtId="0" fontId="1" fillId="0" borderId="0" xfId="0" applyFont="1" applyAlignment="1">
      <alignment horizontal="right"/>
    </xf>
    <xf numFmtId="0" fontId="9" fillId="0" borderId="10" xfId="0" applyFont="1" applyBorder="1" applyAlignment="1">
      <alignment horizontal="right"/>
    </xf>
    <xf numFmtId="0" fontId="9" fillId="0" borderId="0" xfId="0" applyFont="1" applyAlignment="1">
      <alignment horizontal="right"/>
    </xf>
    <xf numFmtId="0" fontId="6" fillId="0" borderId="10" xfId="0" applyFont="1" applyBorder="1" applyAlignment="1">
      <alignment horizontal="center"/>
    </xf>
    <xf numFmtId="0" fontId="6" fillId="0" borderId="0" xfId="0" applyFont="1" applyAlignment="1">
      <alignment horizontal="center"/>
    </xf>
    <xf numFmtId="0" fontId="6" fillId="0" borderId="1" xfId="0" applyFont="1" applyBorder="1" applyAlignment="1">
      <alignment horizontal="center"/>
    </xf>
    <xf numFmtId="0" fontId="6" fillId="0" borderId="2" xfId="0" applyFont="1" applyBorder="1" applyAlignment="1">
      <alignment horizontal="center"/>
    </xf>
    <xf numFmtId="0" fontId="6" fillId="0" borderId="5" xfId="0" applyFont="1" applyBorder="1" applyAlignment="1">
      <alignment horizontal="center"/>
    </xf>
    <xf numFmtId="0" fontId="6" fillId="0" borderId="3" xfId="0" applyFont="1" applyBorder="1" applyAlignment="1">
      <alignment horizontal="center"/>
    </xf>
    <xf numFmtId="0" fontId="0" fillId="0" borderId="0" xfId="0" applyAlignment="1">
      <alignment horizontal="right"/>
    </xf>
    <xf numFmtId="0" fontId="0" fillId="0" borderId="0" xfId="0" applyAlignment="1">
      <alignment horizontal="center"/>
    </xf>
    <xf numFmtId="0" fontId="6" fillId="0" borderId="7" xfId="0" applyFont="1" applyBorder="1" applyAlignment="1">
      <alignment horizontal="center"/>
    </xf>
    <xf numFmtId="0" fontId="6" fillId="0" borderId="11" xfId="0" applyFont="1" applyBorder="1" applyAlignment="1">
      <alignment horizontal="center"/>
    </xf>
    <xf numFmtId="0" fontId="6" fillId="0" borderId="8" xfId="0" applyFont="1" applyBorder="1" applyAlignment="1">
      <alignment horizontal="center"/>
    </xf>
    <xf numFmtId="0" fontId="6" fillId="0" borderId="56" xfId="0" applyFont="1" applyBorder="1" applyAlignment="1">
      <alignment horizontal="center"/>
    </xf>
    <xf numFmtId="0" fontId="6" fillId="0" borderId="58" xfId="0" applyFont="1" applyBorder="1" applyAlignment="1">
      <alignment horizontal="center"/>
    </xf>
    <xf numFmtId="0" fontId="3" fillId="0" borderId="0" xfId="0" applyFont="1" applyAlignment="1">
      <alignment horizontal="center"/>
    </xf>
    <xf numFmtId="0" fontId="75" fillId="0" borderId="2" xfId="0" applyFont="1" applyBorder="1" applyAlignment="1">
      <alignment horizontal="center" vertical="center"/>
    </xf>
    <xf numFmtId="0" fontId="75" fillId="0" borderId="71" xfId="0" applyFont="1" applyBorder="1" applyAlignment="1">
      <alignment horizontal="center" vertical="center"/>
    </xf>
    <xf numFmtId="0" fontId="9" fillId="0" borderId="56" xfId="0" applyFont="1" applyBorder="1" applyAlignment="1">
      <alignment horizontal="right"/>
    </xf>
    <xf numFmtId="0" fontId="6" fillId="0" borderId="53" xfId="0" applyFont="1" applyBorder="1" applyAlignment="1">
      <alignment horizontal="center"/>
    </xf>
    <xf numFmtId="0" fontId="6" fillId="0" borderId="54" xfId="0" applyFont="1" applyBorder="1" applyAlignment="1">
      <alignment horizontal="center"/>
    </xf>
    <xf numFmtId="0" fontId="6" fillId="0" borderId="55" xfId="0" applyFont="1" applyBorder="1" applyAlignment="1">
      <alignment horizontal="center"/>
    </xf>
    <xf numFmtId="0" fontId="5" fillId="0" borderId="11" xfId="0" applyFont="1" applyBorder="1" applyAlignment="1">
      <alignment horizontal="center"/>
    </xf>
    <xf numFmtId="0" fontId="5" fillId="0" borderId="70" xfId="0" applyFont="1" applyBorder="1" applyAlignment="1">
      <alignment horizontal="center"/>
    </xf>
    <xf numFmtId="0" fontId="77" fillId="0" borderId="0" xfId="0" applyFont="1" applyAlignment="1">
      <alignment horizontal="center" vertical="center"/>
    </xf>
    <xf numFmtId="0" fontId="15" fillId="0" borderId="69" xfId="0" applyFont="1" applyBorder="1" applyAlignment="1">
      <alignment horizontal="center" vertical="center"/>
    </xf>
    <xf numFmtId="0" fontId="15" fillId="0" borderId="11" xfId="0" applyFont="1" applyBorder="1" applyAlignment="1">
      <alignment horizontal="center" vertical="center"/>
    </xf>
    <xf numFmtId="0" fontId="15" fillId="0" borderId="56" xfId="0" applyFont="1" applyBorder="1" applyAlignment="1">
      <alignment horizontal="center" vertical="center"/>
    </xf>
    <xf numFmtId="0" fontId="15" fillId="0" borderId="0" xfId="0" applyFont="1" applyAlignment="1">
      <alignment horizontal="center" vertical="center"/>
    </xf>
    <xf numFmtId="0" fontId="6" fillId="0" borderId="0" xfId="0" applyFont="1" applyAlignment="1">
      <alignment horizontal="right" vertical="center" wrapText="1"/>
    </xf>
    <xf numFmtId="0" fontId="6" fillId="0" borderId="1" xfId="0" applyFont="1" applyBorder="1" applyAlignment="1">
      <alignment horizontal="right" vertical="center" wrapText="1"/>
    </xf>
    <xf numFmtId="0" fontId="72" fillId="0" borderId="53" xfId="0" applyFont="1" applyBorder="1" applyAlignment="1">
      <alignment horizontal="center"/>
    </xf>
    <xf numFmtId="0" fontId="72" fillId="0" borderId="54" xfId="0" applyFont="1" applyBorder="1" applyAlignment="1">
      <alignment horizontal="center"/>
    </xf>
    <xf numFmtId="0" fontId="72" fillId="0" borderId="55" xfId="0" applyFont="1" applyBorder="1" applyAlignment="1">
      <alignment horizontal="center"/>
    </xf>
    <xf numFmtId="0" fontId="76" fillId="0" borderId="7" xfId="0" applyFont="1" applyBorder="1" applyAlignment="1">
      <alignment horizontal="center" vertical="center"/>
    </xf>
    <xf numFmtId="0" fontId="76" fillId="0" borderId="8" xfId="0" applyFont="1" applyBorder="1" applyAlignment="1">
      <alignment horizontal="center" vertical="center"/>
    </xf>
    <xf numFmtId="0" fontId="76" fillId="0" borderId="6" xfId="0" applyFont="1" applyBorder="1" applyAlignment="1">
      <alignment horizontal="center" vertical="center"/>
    </xf>
    <xf numFmtId="0" fontId="76" fillId="0" borderId="9" xfId="0" applyFont="1" applyBorder="1" applyAlignment="1">
      <alignment horizontal="center" vertical="center"/>
    </xf>
    <xf numFmtId="0" fontId="73" fillId="0" borderId="10" xfId="0" applyFont="1" applyBorder="1" applyAlignment="1">
      <alignment horizontal="right" vertical="center"/>
    </xf>
    <xf numFmtId="0" fontId="73" fillId="0" borderId="0" xfId="0" applyFont="1" applyAlignment="1">
      <alignment horizontal="right" vertical="center"/>
    </xf>
    <xf numFmtId="0" fontId="80" fillId="0" borderId="60" xfId="0" applyFont="1" applyBorder="1" applyAlignment="1">
      <alignment horizontal="right"/>
    </xf>
    <xf numFmtId="0" fontId="82" fillId="0" borderId="60" xfId="0" applyFont="1" applyBorder="1" applyAlignment="1">
      <alignment horizontal="left" vertical="center" wrapText="1"/>
    </xf>
    <xf numFmtId="0" fontId="15" fillId="0" borderId="70" xfId="0" applyFont="1" applyBorder="1" applyAlignment="1">
      <alignment horizontal="center" vertical="center"/>
    </xf>
    <xf numFmtId="0" fontId="15" fillId="0" borderId="58" xfId="0" applyFont="1" applyBorder="1" applyAlignment="1">
      <alignment horizontal="center" vertical="center"/>
    </xf>
    <xf numFmtId="0" fontId="6" fillId="0" borderId="10" xfId="0" applyFont="1" applyBorder="1" applyAlignment="1">
      <alignment horizontal="left"/>
    </xf>
    <xf numFmtId="0" fontId="6" fillId="0" borderId="0" xfId="0" applyFont="1" applyAlignment="1">
      <alignment horizontal="left"/>
    </xf>
    <xf numFmtId="0" fontId="0" fillId="0" borderId="6" xfId="0" applyBorder="1" applyAlignment="1">
      <alignment horizontal="center"/>
    </xf>
    <xf numFmtId="0" fontId="0" fillId="0" borderId="4" xfId="0" applyBorder="1" applyAlignment="1">
      <alignment horizontal="center"/>
    </xf>
    <xf numFmtId="0" fontId="0" fillId="0" borderId="10" xfId="0" applyBorder="1" applyAlignment="1">
      <alignment horizontal="center"/>
    </xf>
    <xf numFmtId="0" fontId="0" fillId="0" borderId="10" xfId="0" applyBorder="1" applyAlignment="1">
      <alignment horizontal="center" vertical="center"/>
    </xf>
    <xf numFmtId="0" fontId="0" fillId="0" borderId="0" xfId="0" applyAlignment="1">
      <alignment horizontal="center" vertical="center"/>
    </xf>
    <xf numFmtId="0" fontId="78" fillId="0" borderId="12" xfId="0" applyFont="1" applyBorder="1" applyAlignment="1">
      <alignment horizontal="center"/>
    </xf>
    <xf numFmtId="0" fontId="78" fillId="0" borderId="13" xfId="0" applyFont="1" applyBorder="1" applyAlignment="1">
      <alignment horizontal="center"/>
    </xf>
    <xf numFmtId="0" fontId="0" fillId="0" borderId="10" xfId="0" applyBorder="1" applyAlignment="1">
      <alignment horizontal="right"/>
    </xf>
    <xf numFmtId="0" fontId="9" fillId="0" borderId="36" xfId="0" applyFont="1" applyBorder="1" applyAlignment="1">
      <alignment horizontal="right"/>
    </xf>
    <xf numFmtId="0" fontId="1" fillId="0" borderId="0" xfId="0" applyFont="1" applyAlignment="1">
      <alignment horizontal="center"/>
    </xf>
    <xf numFmtId="0" fontId="1" fillId="0" borderId="36" xfId="0" applyFont="1" applyBorder="1" applyAlignment="1">
      <alignment horizontal="center"/>
    </xf>
    <xf numFmtId="0" fontId="9" fillId="0" borderId="4" xfId="0" applyFont="1" applyBorder="1" applyAlignment="1">
      <alignment horizontal="right"/>
    </xf>
    <xf numFmtId="0" fontId="11" fillId="16" borderId="16" xfId="0" applyFont="1" applyFill="1" applyBorder="1" applyAlignment="1">
      <alignment horizontal="center" vertical="center"/>
    </xf>
    <xf numFmtId="0" fontId="11" fillId="20" borderId="16" xfId="0" applyFont="1" applyFill="1" applyBorder="1" applyAlignment="1">
      <alignment horizontal="center" vertical="center"/>
    </xf>
    <xf numFmtId="0" fontId="0" fillId="0" borderId="6" xfId="0" applyBorder="1" applyAlignment="1">
      <alignment horizontal="center" vertical="center"/>
    </xf>
    <xf numFmtId="0" fontId="0" fillId="0" borderId="9" xfId="0" applyBorder="1" applyAlignment="1">
      <alignment horizontal="center" vertical="center"/>
    </xf>
    <xf numFmtId="0" fontId="6" fillId="0" borderId="0" xfId="0" applyFont="1" applyAlignment="1">
      <alignment horizontal="right" vertical="center"/>
    </xf>
    <xf numFmtId="0" fontId="0" fillId="0" borderId="16" xfId="0" applyBorder="1" applyAlignment="1">
      <alignment horizontal="center" vertical="center"/>
    </xf>
    <xf numFmtId="0" fontId="0" fillId="0" borderId="23" xfId="0" applyBorder="1" applyAlignment="1">
      <alignment horizontal="center" vertical="center"/>
    </xf>
    <xf numFmtId="0" fontId="0" fillId="3" borderId="2" xfId="0" applyFill="1" applyBorder="1" applyAlignment="1">
      <alignment horizontal="center" vertical="center"/>
    </xf>
    <xf numFmtId="0" fontId="0" fillId="3" borderId="5" xfId="0" applyFill="1" applyBorder="1" applyAlignment="1">
      <alignment horizontal="center" vertical="center"/>
    </xf>
    <xf numFmtId="0" fontId="0" fillId="3" borderId="3" xfId="0" applyFill="1" applyBorder="1" applyAlignment="1">
      <alignment horizontal="center" vertical="center"/>
    </xf>
    <xf numFmtId="0" fontId="0" fillId="0" borderId="20" xfId="0" applyBorder="1" applyAlignment="1">
      <alignment horizontal="center" vertical="center"/>
    </xf>
    <xf numFmtId="0" fontId="0" fillId="0" borderId="24" xfId="0" applyBorder="1" applyAlignment="1">
      <alignment horizontal="center" vertical="center"/>
    </xf>
    <xf numFmtId="0" fontId="0" fillId="0" borderId="7" xfId="0" applyBorder="1" applyAlignment="1">
      <alignment horizontal="center" vertical="center"/>
    </xf>
    <xf numFmtId="0" fontId="0" fillId="0" borderId="11" xfId="0" applyBorder="1" applyAlignment="1">
      <alignment horizontal="center" vertical="center"/>
    </xf>
    <xf numFmtId="0" fontId="0" fillId="0" borderId="8" xfId="0" applyBorder="1" applyAlignment="1">
      <alignment horizontal="center" vertical="center"/>
    </xf>
    <xf numFmtId="0" fontId="0" fillId="0" borderId="4" xfId="0" applyBorder="1" applyAlignment="1">
      <alignment horizontal="center" vertical="center"/>
    </xf>
    <xf numFmtId="0" fontId="6" fillId="0" borderId="6" xfId="0" applyFont="1" applyBorder="1" applyAlignment="1">
      <alignment horizontal="center" vertical="center"/>
    </xf>
    <xf numFmtId="0" fontId="6" fillId="0" borderId="9" xfId="0" applyFont="1" applyBorder="1" applyAlignment="1">
      <alignment horizontal="center" vertical="center"/>
    </xf>
    <xf numFmtId="164" fontId="6" fillId="0" borderId="0" xfId="0" applyNumberFormat="1" applyFont="1" applyAlignment="1">
      <alignment horizontal="right" vertical="center"/>
    </xf>
    <xf numFmtId="0" fontId="0" fillId="0" borderId="16" xfId="0" quotePrefix="1" applyBorder="1" applyAlignment="1">
      <alignment horizontal="center" vertical="center"/>
    </xf>
    <xf numFmtId="0" fontId="0" fillId="0" borderId="23" xfId="0" quotePrefix="1" applyBorder="1" applyAlignment="1">
      <alignment horizontal="center" vertical="center"/>
    </xf>
    <xf numFmtId="0" fontId="6" fillId="3" borderId="2" xfId="0" applyFont="1" applyFill="1" applyBorder="1" applyAlignment="1">
      <alignment horizontal="center" vertical="center"/>
    </xf>
    <xf numFmtId="0" fontId="6" fillId="3" borderId="5" xfId="0" applyFont="1" applyFill="1" applyBorder="1" applyAlignment="1">
      <alignment horizontal="center" vertical="center"/>
    </xf>
    <xf numFmtId="0" fontId="6" fillId="3" borderId="3" xfId="0" applyFont="1" applyFill="1" applyBorder="1" applyAlignment="1">
      <alignment horizontal="center" vertical="center"/>
    </xf>
    <xf numFmtId="0" fontId="5" fillId="0" borderId="0" xfId="0" applyFont="1" applyAlignment="1">
      <alignment horizontal="center" wrapText="1"/>
    </xf>
    <xf numFmtId="0" fontId="5" fillId="0" borderId="0" xfId="0" applyFont="1" applyAlignment="1">
      <alignment horizontal="center" vertical="center" wrapText="1"/>
    </xf>
    <xf numFmtId="0" fontId="5" fillId="0" borderId="1" xfId="0" applyFont="1" applyBorder="1" applyAlignment="1">
      <alignment horizontal="center" vertical="center" wrapText="1"/>
    </xf>
    <xf numFmtId="0" fontId="3" fillId="0" borderId="11" xfId="0" applyFont="1" applyBorder="1" applyAlignment="1">
      <alignment horizontal="right" vertical="center"/>
    </xf>
    <xf numFmtId="0" fontId="0" fillId="0" borderId="2" xfId="0" applyBorder="1" applyAlignment="1">
      <alignment horizontal="center" vertical="center"/>
    </xf>
    <xf numFmtId="0" fontId="0" fillId="0" borderId="3" xfId="0" applyBorder="1" applyAlignment="1">
      <alignment horizontal="center" vertical="center"/>
    </xf>
    <xf numFmtId="0" fontId="8" fillId="0" borderId="11" xfId="0" applyFont="1" applyBorder="1" applyAlignment="1">
      <alignment horizontal="center" vertical="center" wrapText="1"/>
    </xf>
    <xf numFmtId="0" fontId="8" fillId="0" borderId="4" xfId="0" applyFont="1" applyBorder="1" applyAlignment="1">
      <alignment horizontal="center" vertical="center" wrapText="1"/>
    </xf>
    <xf numFmtId="0" fontId="0" fillId="0" borderId="76" xfId="0" applyBorder="1" applyAlignment="1">
      <alignment horizontal="center" vertical="center"/>
    </xf>
    <xf numFmtId="0" fontId="0" fillId="0" borderId="78" xfId="0" applyBorder="1" applyAlignment="1">
      <alignment horizontal="center" vertical="center"/>
    </xf>
    <xf numFmtId="164" fontId="0" fillId="0" borderId="2" xfId="0" applyNumberFormat="1" applyBorder="1" applyAlignment="1">
      <alignment horizontal="right" vertical="center"/>
    </xf>
    <xf numFmtId="164" fontId="0" fillId="0" borderId="5" xfId="0" applyNumberFormat="1" applyBorder="1" applyAlignment="1">
      <alignment horizontal="right" vertical="center"/>
    </xf>
    <xf numFmtId="164" fontId="0" fillId="0" borderId="3" xfId="0" applyNumberFormat="1" applyBorder="1" applyAlignment="1">
      <alignment horizontal="right" vertical="center"/>
    </xf>
    <xf numFmtId="0" fontId="43" fillId="0" borderId="4" xfId="0" quotePrefix="1" applyFont="1" applyBorder="1" applyAlignment="1">
      <alignment horizontal="center" vertical="center"/>
    </xf>
    <xf numFmtId="0" fontId="43" fillId="0" borderId="9" xfId="0" quotePrefix="1" applyFont="1" applyBorder="1" applyAlignment="1">
      <alignment horizontal="center" vertical="center"/>
    </xf>
    <xf numFmtId="0" fontId="2" fillId="0" borderId="0" xfId="0" applyFont="1" applyAlignment="1">
      <alignment horizontal="right"/>
    </xf>
    <xf numFmtId="0" fontId="11" fillId="3" borderId="2" xfId="0" applyFont="1" applyFill="1" applyBorder="1" applyAlignment="1">
      <alignment horizontal="center"/>
    </xf>
    <xf numFmtId="0" fontId="11" fillId="3" borderId="5" xfId="0" applyFont="1" applyFill="1" applyBorder="1" applyAlignment="1">
      <alignment horizontal="center"/>
    </xf>
    <xf numFmtId="0" fontId="11" fillId="3" borderId="3" xfId="0" applyFont="1" applyFill="1" applyBorder="1" applyAlignment="1">
      <alignment horizontal="center"/>
    </xf>
    <xf numFmtId="164" fontId="0" fillId="0" borderId="2" xfId="0" applyNumberFormat="1" applyBorder="1" applyAlignment="1">
      <alignment horizontal="center" vertical="center"/>
    </xf>
    <xf numFmtId="164" fontId="0" fillId="0" borderId="5" xfId="0" applyNumberFormat="1" applyBorder="1" applyAlignment="1">
      <alignment horizontal="center" vertical="center"/>
    </xf>
    <xf numFmtId="164" fontId="0" fillId="0" borderId="3" xfId="0" applyNumberFormat="1" applyBorder="1" applyAlignment="1">
      <alignment horizontal="center" vertical="center"/>
    </xf>
    <xf numFmtId="0" fontId="3" fillId="0" borderId="1" xfId="0" applyFont="1" applyBorder="1" applyAlignment="1">
      <alignment horizontal="center" wrapText="1"/>
    </xf>
    <xf numFmtId="0" fontId="43" fillId="0" borderId="0" xfId="0" quotePrefix="1" applyFont="1" applyAlignment="1">
      <alignment horizontal="center" vertical="center"/>
    </xf>
    <xf numFmtId="0" fontId="43" fillId="0" borderId="1" xfId="0" quotePrefix="1" applyFont="1" applyBorder="1" applyAlignment="1">
      <alignment horizontal="center" vertical="center"/>
    </xf>
    <xf numFmtId="0" fontId="90" fillId="0" borderId="0" xfId="0" quotePrefix="1" applyFont="1" applyAlignment="1">
      <alignment horizontal="center" vertical="center"/>
    </xf>
    <xf numFmtId="0" fontId="90" fillId="0" borderId="0" xfId="0" applyFont="1" applyAlignment="1">
      <alignment horizontal="center" vertical="center"/>
    </xf>
    <xf numFmtId="0" fontId="90" fillId="0" borderId="4" xfId="0" applyFont="1" applyBorder="1" applyAlignment="1">
      <alignment horizontal="center" vertical="center"/>
    </xf>
    <xf numFmtId="0" fontId="43" fillId="0" borderId="0" xfId="0" applyFont="1" applyAlignment="1">
      <alignment horizontal="center" vertical="center"/>
    </xf>
    <xf numFmtId="0" fontId="11" fillId="7" borderId="7" xfId="0" applyFont="1" applyFill="1" applyBorder="1" applyAlignment="1">
      <alignment horizontal="center" vertical="center"/>
    </xf>
    <xf numFmtId="0" fontId="11" fillId="7" borderId="11" xfId="0" applyFont="1" applyFill="1" applyBorder="1" applyAlignment="1">
      <alignment horizontal="center" vertical="center"/>
    </xf>
    <xf numFmtId="0" fontId="11" fillId="7" borderId="8" xfId="0" applyFont="1" applyFill="1" applyBorder="1" applyAlignment="1">
      <alignment horizontal="center" vertical="center"/>
    </xf>
    <xf numFmtId="0" fontId="0" fillId="10" borderId="79" xfId="0" applyFill="1" applyBorder="1" applyAlignment="1">
      <alignment horizontal="center"/>
    </xf>
    <xf numFmtId="0" fontId="0" fillId="10" borderId="80" xfId="0" applyFill="1" applyBorder="1" applyAlignment="1">
      <alignment horizontal="center"/>
    </xf>
    <xf numFmtId="0" fontId="67" fillId="0" borderId="0" xfId="0" applyFont="1" applyAlignment="1">
      <alignment horizontal="center" wrapText="1"/>
    </xf>
    <xf numFmtId="0" fontId="0" fillId="10" borderId="79" xfId="0" applyFill="1" applyBorder="1" applyAlignment="1">
      <alignment horizontal="left" vertical="center"/>
    </xf>
    <xf numFmtId="0" fontId="0" fillId="10" borderId="80" xfId="0" applyFill="1" applyBorder="1" applyAlignment="1">
      <alignment horizontal="left" vertical="center"/>
    </xf>
    <xf numFmtId="0" fontId="9" fillId="0" borderId="60" xfId="0" applyFont="1" applyBorder="1" applyAlignment="1">
      <alignment horizontal="center" vertical="center"/>
    </xf>
    <xf numFmtId="0" fontId="9" fillId="0" borderId="63" xfId="0" applyFont="1" applyBorder="1" applyAlignment="1">
      <alignment horizontal="center" vertical="center"/>
    </xf>
    <xf numFmtId="0" fontId="0" fillId="10" borderId="67" xfId="0" applyFill="1" applyBorder="1" applyAlignment="1">
      <alignment horizontal="center"/>
    </xf>
    <xf numFmtId="0" fontId="0" fillId="10" borderId="68" xfId="0" applyFill="1" applyBorder="1" applyAlignment="1">
      <alignment horizontal="center"/>
    </xf>
    <xf numFmtId="0" fontId="0" fillId="10" borderId="81" xfId="0" applyFill="1" applyBorder="1" applyAlignment="1">
      <alignment horizontal="center"/>
    </xf>
    <xf numFmtId="0" fontId="0" fillId="10" borderId="29" xfId="0" applyFill="1" applyBorder="1" applyAlignment="1">
      <alignment horizontal="center"/>
    </xf>
    <xf numFmtId="0" fontId="0" fillId="10" borderId="16" xfId="0" applyFill="1" applyBorder="1" applyAlignment="1">
      <alignment horizontal="center"/>
    </xf>
    <xf numFmtId="0" fontId="0" fillId="10" borderId="43" xfId="0" applyFill="1" applyBorder="1" applyAlignment="1">
      <alignment horizontal="center"/>
    </xf>
    <xf numFmtId="0" fontId="0" fillId="10" borderId="23" xfId="0" applyFill="1" applyBorder="1" applyAlignment="1">
      <alignment horizontal="center"/>
    </xf>
    <xf numFmtId="0" fontId="0" fillId="10" borderId="10" xfId="0" applyFill="1" applyBorder="1" applyAlignment="1">
      <alignment horizontal="left" vertical="top" wrapText="1"/>
    </xf>
    <xf numFmtId="0" fontId="0" fillId="10" borderId="0" xfId="0" applyFill="1" applyAlignment="1">
      <alignment horizontal="left" vertical="top" wrapText="1"/>
    </xf>
    <xf numFmtId="0" fontId="0" fillId="10" borderId="1" xfId="0" applyFill="1" applyBorder="1" applyAlignment="1">
      <alignment horizontal="left" vertical="top" wrapText="1"/>
    </xf>
    <xf numFmtId="0" fontId="0" fillId="10" borderId="6" xfId="0" applyFill="1" applyBorder="1" applyAlignment="1">
      <alignment horizontal="left" vertical="top" wrapText="1"/>
    </xf>
    <xf numFmtId="0" fontId="0" fillId="10" borderId="4" xfId="0" applyFill="1" applyBorder="1" applyAlignment="1">
      <alignment horizontal="left" vertical="top" wrapText="1"/>
    </xf>
    <xf numFmtId="0" fontId="0" fillId="10" borderId="9" xfId="0" applyFill="1" applyBorder="1" applyAlignment="1">
      <alignment horizontal="left" vertical="top" wrapText="1"/>
    </xf>
    <xf numFmtId="0" fontId="70" fillId="5" borderId="11" xfId="0" applyFont="1" applyFill="1" applyBorder="1" applyAlignment="1">
      <alignment horizontal="center"/>
    </xf>
    <xf numFmtId="0" fontId="11" fillId="5" borderId="11" xfId="0" applyFont="1" applyFill="1" applyBorder="1" applyAlignment="1">
      <alignment horizontal="center"/>
    </xf>
    <xf numFmtId="0" fontId="11" fillId="8" borderId="11" xfId="0" applyFont="1" applyFill="1" applyBorder="1" applyAlignment="1">
      <alignment horizontal="center"/>
    </xf>
    <xf numFmtId="0" fontId="0" fillId="0" borderId="84" xfId="0" applyBorder="1" applyAlignment="1">
      <alignment horizontal="center"/>
    </xf>
    <xf numFmtId="0" fontId="0" fillId="0" borderId="58" xfId="0" applyBorder="1" applyAlignment="1">
      <alignment horizontal="center"/>
    </xf>
    <xf numFmtId="0" fontId="0" fillId="0" borderId="1" xfId="0" applyBorder="1" applyAlignment="1">
      <alignment horizontal="center"/>
    </xf>
    <xf numFmtId="0" fontId="11" fillId="7" borderId="10" xfId="0" applyFont="1" applyFill="1" applyBorder="1" applyAlignment="1">
      <alignment horizontal="center"/>
    </xf>
    <xf numFmtId="0" fontId="11" fillId="7" borderId="0" xfId="0" applyFont="1" applyFill="1" applyAlignment="1">
      <alignment horizontal="center"/>
    </xf>
    <xf numFmtId="0" fontId="11" fillId="7" borderId="1" xfId="0" applyFont="1" applyFill="1" applyBorder="1" applyAlignment="1">
      <alignment horizontal="center"/>
    </xf>
    <xf numFmtId="0" fontId="68" fillId="0" borderId="66" xfId="0" applyFont="1" applyBorder="1" applyAlignment="1">
      <alignment horizontal="center" wrapText="1"/>
    </xf>
    <xf numFmtId="0" fontId="11" fillId="6" borderId="11" xfId="0" applyFont="1" applyFill="1" applyBorder="1" applyAlignment="1">
      <alignment horizontal="center"/>
    </xf>
    <xf numFmtId="0" fontId="11" fillId="6" borderId="0" xfId="0" applyFont="1" applyFill="1" applyAlignment="1">
      <alignment horizontal="center"/>
    </xf>
    <xf numFmtId="0" fontId="85" fillId="0" borderId="0" xfId="0" applyFont="1" applyAlignment="1">
      <alignment horizontal="center" vertical="center"/>
    </xf>
    <xf numFmtId="0" fontId="7" fillId="0" borderId="0" xfId="0" applyFont="1" applyAlignment="1">
      <alignment horizontal="left" vertical="center"/>
    </xf>
    <xf numFmtId="0" fontId="11" fillId="8" borderId="0" xfId="0" applyFont="1" applyFill="1" applyAlignment="1">
      <alignment horizontal="center"/>
    </xf>
    <xf numFmtId="0" fontId="66" fillId="0" borderId="10" xfId="0" applyFont="1" applyBorder="1" applyAlignment="1">
      <alignment horizontal="center" vertical="center" wrapText="1"/>
    </xf>
    <xf numFmtId="0" fontId="66" fillId="0" borderId="0" xfId="0" applyFont="1" applyAlignment="1">
      <alignment horizontal="center" vertical="center" wrapText="1"/>
    </xf>
    <xf numFmtId="0" fontId="66" fillId="0" borderId="1" xfId="0" applyFont="1" applyBorder="1" applyAlignment="1">
      <alignment horizontal="center" vertical="center" wrapText="1"/>
    </xf>
    <xf numFmtId="0" fontId="66" fillId="0" borderId="7" xfId="0" applyFont="1" applyBorder="1" applyAlignment="1">
      <alignment horizontal="center" vertical="center" wrapText="1"/>
    </xf>
    <xf numFmtId="0" fontId="66" fillId="0" borderId="11" xfId="0" applyFont="1" applyBorder="1" applyAlignment="1">
      <alignment horizontal="center" vertical="center" wrapText="1"/>
    </xf>
    <xf numFmtId="0" fontId="66" fillId="0" borderId="8" xfId="0" applyFont="1" applyBorder="1" applyAlignment="1">
      <alignment horizontal="center" vertical="center" wrapText="1"/>
    </xf>
    <xf numFmtId="0" fontId="70" fillId="5" borderId="0" xfId="0" applyFont="1" applyFill="1" applyAlignment="1">
      <alignment horizontal="center"/>
    </xf>
    <xf numFmtId="0" fontId="11" fillId="5" borderId="0" xfId="0" applyFont="1" applyFill="1" applyAlignment="1">
      <alignment horizontal="center"/>
    </xf>
    <xf numFmtId="0" fontId="68" fillId="0" borderId="66" xfId="0" applyFont="1" applyBorder="1" applyAlignment="1">
      <alignment horizontal="center" vertical="center" wrapText="1"/>
    </xf>
    <xf numFmtId="0" fontId="11" fillId="6" borderId="86" xfId="0" applyFont="1" applyFill="1" applyBorder="1" applyAlignment="1">
      <alignment horizontal="center"/>
    </xf>
    <xf numFmtId="0" fontId="0" fillId="11" borderId="0" xfId="0" applyFill="1" applyAlignment="1">
      <alignment horizontal="center"/>
    </xf>
    <xf numFmtId="0" fontId="0" fillId="0" borderId="0" xfId="0" applyAlignment="1">
      <alignment horizontal="center" vertical="center" wrapText="1"/>
    </xf>
    <xf numFmtId="0" fontId="6" fillId="5" borderId="0" xfId="0" applyFont="1" applyFill="1" applyAlignment="1">
      <alignment horizontal="center"/>
    </xf>
    <xf numFmtId="0" fontId="6" fillId="11" borderId="0" xfId="0" applyFont="1" applyFill="1" applyAlignment="1">
      <alignment horizontal="center"/>
    </xf>
    <xf numFmtId="0" fontId="72" fillId="0" borderId="56" xfId="0" applyFont="1" applyBorder="1" applyAlignment="1">
      <alignment horizontal="center"/>
    </xf>
    <xf numFmtId="0" fontId="72" fillId="0" borderId="0" xfId="0" applyFont="1" applyAlignment="1">
      <alignment horizontal="center"/>
    </xf>
    <xf numFmtId="0" fontId="3" fillId="5" borderId="0" xfId="0" applyFont="1" applyFill="1" applyAlignment="1">
      <alignment horizontal="center"/>
    </xf>
    <xf numFmtId="0" fontId="0" fillId="5" borderId="0" xfId="0" applyFill="1" applyAlignment="1">
      <alignment horizontal="center"/>
    </xf>
    <xf numFmtId="0" fontId="3" fillId="11" borderId="0" xfId="0" applyFont="1" applyFill="1" applyAlignment="1">
      <alignment horizontal="center"/>
    </xf>
    <xf numFmtId="0" fontId="43" fillId="0" borderId="0" xfId="0" applyFont="1" applyAlignment="1">
      <alignment horizontal="center" vertical="center" wrapText="1"/>
    </xf>
    <xf numFmtId="0" fontId="0" fillId="6" borderId="0" xfId="0" applyFill="1" applyAlignment="1">
      <alignment horizontal="center"/>
    </xf>
    <xf numFmtId="0" fontId="11" fillId="0" borderId="0" xfId="0" applyFont="1" applyAlignment="1">
      <alignment horizontal="center" vertical="center" wrapText="1"/>
    </xf>
    <xf numFmtId="2" fontId="0" fillId="0" borderId="0" xfId="0" applyNumberFormat="1" applyAlignment="1">
      <alignment horizontal="center"/>
    </xf>
    <xf numFmtId="0" fontId="87" fillId="0" borderId="7" xfId="0" applyFont="1" applyBorder="1" applyAlignment="1">
      <alignment horizontal="center" vertical="center"/>
    </xf>
    <xf numFmtId="0" fontId="87" fillId="0" borderId="8" xfId="0" applyFont="1" applyBorder="1" applyAlignment="1">
      <alignment horizontal="center" vertical="center"/>
    </xf>
    <xf numFmtId="0" fontId="87" fillId="0" borderId="6" xfId="0" applyFont="1" applyBorder="1" applyAlignment="1">
      <alignment horizontal="center" vertical="center"/>
    </xf>
    <xf numFmtId="0" fontId="87" fillId="0" borderId="9" xfId="0" applyFont="1" applyBorder="1" applyAlignment="1">
      <alignment horizontal="center" vertical="center"/>
    </xf>
    <xf numFmtId="0" fontId="3" fillId="6" borderId="0" xfId="0" applyFont="1" applyFill="1" applyAlignment="1">
      <alignment horizontal="center"/>
    </xf>
    <xf numFmtId="0" fontId="6" fillId="6" borderId="0" xfId="0" applyFont="1" applyFill="1" applyAlignment="1">
      <alignment horizontal="center"/>
    </xf>
    <xf numFmtId="165" fontId="1" fillId="0" borderId="0" xfId="0" applyNumberFormat="1" applyFont="1" applyAlignment="1">
      <alignment horizontal="center" vertical="center"/>
    </xf>
    <xf numFmtId="165" fontId="1" fillId="0" borderId="1" xfId="0" applyNumberFormat="1" applyFont="1" applyBorder="1" applyAlignment="1">
      <alignment horizontal="center" vertical="center"/>
    </xf>
    <xf numFmtId="44" fontId="6" fillId="0" borderId="4" xfId="0" applyNumberFormat="1" applyFont="1" applyBorder="1" applyAlignment="1">
      <alignment horizontal="center" vertical="center"/>
    </xf>
    <xf numFmtId="0" fontId="29" fillId="0" borderId="11" xfId="0" applyFont="1" applyBorder="1" applyAlignment="1">
      <alignment horizontal="center" vertical="center"/>
    </xf>
    <xf numFmtId="0" fontId="29" fillId="0" borderId="8" xfId="0" applyFont="1" applyBorder="1" applyAlignment="1">
      <alignment horizontal="center" vertical="center"/>
    </xf>
    <xf numFmtId="0" fontId="29" fillId="0" borderId="4" xfId="0" applyFont="1" applyBorder="1" applyAlignment="1">
      <alignment horizontal="center" vertical="center"/>
    </xf>
    <xf numFmtId="0" fontId="29" fillId="0" borderId="9" xfId="0" applyFont="1" applyBorder="1" applyAlignment="1">
      <alignment horizontal="center" vertical="center"/>
    </xf>
    <xf numFmtId="0" fontId="102" fillId="14" borderId="2" xfId="0" applyFont="1" applyFill="1" applyBorder="1" applyAlignment="1">
      <alignment horizontal="center"/>
    </xf>
    <xf numFmtId="0" fontId="102" fillId="14" borderId="5" xfId="0" applyFont="1" applyFill="1" applyBorder="1" applyAlignment="1">
      <alignment horizontal="center"/>
    </xf>
    <xf numFmtId="0" fontId="102" fillId="14" borderId="3" xfId="0" applyFont="1" applyFill="1" applyBorder="1" applyAlignment="1">
      <alignment horizontal="center"/>
    </xf>
    <xf numFmtId="0" fontId="3" fillId="0" borderId="7" xfId="0" applyFont="1" applyBorder="1" applyAlignment="1">
      <alignment horizontal="center"/>
    </xf>
    <xf numFmtId="0" fontId="3" fillId="0" borderId="11" xfId="0" applyFont="1" applyBorder="1" applyAlignment="1">
      <alignment horizontal="center"/>
    </xf>
    <xf numFmtId="0" fontId="3" fillId="0" borderId="8" xfId="0" applyFont="1" applyBorder="1" applyAlignment="1">
      <alignment horizontal="center"/>
    </xf>
    <xf numFmtId="0" fontId="29" fillId="0" borderId="0" xfId="0" applyFont="1" applyAlignment="1">
      <alignment horizontal="center" vertical="center"/>
    </xf>
    <xf numFmtId="0" fontId="29" fillId="0" borderId="1" xfId="0" applyFont="1" applyBorder="1" applyAlignment="1">
      <alignment horizontal="center" vertical="center"/>
    </xf>
    <xf numFmtId="0" fontId="20" fillId="0" borderId="10" xfId="0" applyFont="1" applyBorder="1" applyAlignment="1">
      <alignment horizontal="left" vertical="center" wrapText="1"/>
    </xf>
    <xf numFmtId="0" fontId="20" fillId="0" borderId="0" xfId="0" applyFont="1" applyAlignment="1">
      <alignment horizontal="left" vertical="center" wrapText="1"/>
    </xf>
    <xf numFmtId="0" fontId="25" fillId="0" borderId="10" xfId="0" applyFont="1" applyBorder="1" applyAlignment="1">
      <alignment horizontal="left" vertical="center" wrapText="1"/>
    </xf>
    <xf numFmtId="0" fontId="25" fillId="0" borderId="0" xfId="0" applyFont="1" applyAlignment="1">
      <alignment horizontal="left" vertical="center" wrapText="1"/>
    </xf>
    <xf numFmtId="0" fontId="25" fillId="0" borderId="1" xfId="0" applyFont="1" applyBorder="1" applyAlignment="1">
      <alignment horizontal="left" vertical="center" wrapText="1"/>
    </xf>
    <xf numFmtId="0" fontId="25" fillId="0" borderId="6" xfId="0" applyFont="1" applyBorder="1" applyAlignment="1">
      <alignment horizontal="left" vertical="center" wrapText="1"/>
    </xf>
    <xf numFmtId="0" fontId="25" fillId="0" borderId="4" xfId="0" applyFont="1" applyBorder="1" applyAlignment="1">
      <alignment horizontal="left" vertical="center" wrapText="1"/>
    </xf>
    <xf numFmtId="0" fontId="25" fillId="0" borderId="9" xfId="0" applyFont="1" applyBorder="1" applyAlignment="1">
      <alignment horizontal="left" vertical="center" wrapText="1"/>
    </xf>
    <xf numFmtId="0" fontId="17" fillId="0" borderId="38" xfId="0" applyFont="1" applyBorder="1" applyAlignment="1">
      <alignment horizontal="center"/>
    </xf>
    <xf numFmtId="0" fontId="17" fillId="0" borderId="8" xfId="0" applyFont="1" applyBorder="1" applyAlignment="1">
      <alignment horizontal="center"/>
    </xf>
    <xf numFmtId="0" fontId="67" fillId="0" borderId="4" xfId="0" applyFont="1" applyBorder="1" applyAlignment="1">
      <alignment horizontal="right" vertical="center"/>
    </xf>
    <xf numFmtId="0" fontId="17" fillId="0" borderId="39" xfId="0" applyFont="1" applyBorder="1" applyAlignment="1">
      <alignment horizontal="center"/>
    </xf>
    <xf numFmtId="44" fontId="6" fillId="0" borderId="4" xfId="0" applyNumberFormat="1" applyFont="1" applyBorder="1" applyAlignment="1">
      <alignment horizontal="center" vertical="center" wrapText="1"/>
    </xf>
    <xf numFmtId="44" fontId="6" fillId="0" borderId="9" xfId="0" applyNumberFormat="1" applyFont="1" applyBorder="1" applyAlignment="1">
      <alignment horizontal="center" vertical="center" wrapText="1"/>
    </xf>
    <xf numFmtId="0" fontId="67" fillId="0" borderId="4" xfId="0" applyFont="1" applyBorder="1" applyAlignment="1">
      <alignment horizontal="center" vertical="center"/>
    </xf>
    <xf numFmtId="0" fontId="67" fillId="0" borderId="11" xfId="0" applyFont="1" applyBorder="1" applyAlignment="1">
      <alignment horizontal="center" vertical="center"/>
    </xf>
    <xf numFmtId="0" fontId="67" fillId="0" borderId="0" xfId="0" applyFont="1" applyAlignment="1">
      <alignment horizontal="center" vertical="center"/>
    </xf>
    <xf numFmtId="44" fontId="6" fillId="0" borderId="0" xfId="0" applyNumberFormat="1" applyFont="1" applyAlignment="1">
      <alignment horizontal="center" vertical="center"/>
    </xf>
    <xf numFmtId="44" fontId="6" fillId="0" borderId="0" xfId="0" applyNumberFormat="1" applyFont="1" applyAlignment="1">
      <alignment horizontal="center" vertical="center" wrapText="1"/>
    </xf>
    <xf numFmtId="44" fontId="6" fillId="0" borderId="1" xfId="0" applyNumberFormat="1" applyFont="1" applyBorder="1" applyAlignment="1">
      <alignment horizontal="center" vertical="center" wrapText="1"/>
    </xf>
    <xf numFmtId="0" fontId="67" fillId="0" borderId="11" xfId="0" applyFont="1" applyBorder="1" applyAlignment="1">
      <alignment horizontal="right" vertical="center"/>
    </xf>
    <xf numFmtId="0" fontId="67" fillId="0" borderId="0" xfId="0" applyFont="1" applyAlignment="1">
      <alignment horizontal="right" vertical="center"/>
    </xf>
    <xf numFmtId="0" fontId="101" fillId="0" borderId="0" xfId="0" applyFont="1" applyAlignment="1">
      <alignment horizontal="center" vertical="center"/>
    </xf>
    <xf numFmtId="0" fontId="35" fillId="0" borderId="0" xfId="0" applyFont="1" applyAlignment="1">
      <alignment horizontal="center" vertical="center"/>
    </xf>
    <xf numFmtId="0" fontId="95" fillId="5" borderId="0" xfId="0" applyFont="1" applyFill="1" applyAlignment="1">
      <alignment horizontal="center"/>
    </xf>
    <xf numFmtId="0" fontId="95" fillId="13" borderId="0" xfId="0" applyFont="1" applyFill="1" applyAlignment="1">
      <alignment horizontal="center"/>
    </xf>
    <xf numFmtId="0" fontId="65" fillId="13" borderId="0" xfId="0" applyFont="1" applyFill="1" applyAlignment="1">
      <alignment horizontal="center"/>
    </xf>
    <xf numFmtId="0" fontId="65" fillId="5" borderId="0" xfId="0" applyFont="1" applyFill="1" applyAlignment="1">
      <alignment horizontal="center"/>
    </xf>
    <xf numFmtId="0" fontId="11" fillId="0" borderId="2" xfId="0" applyFont="1" applyBorder="1" applyAlignment="1">
      <alignment horizontal="center" vertical="center" wrapText="1"/>
    </xf>
    <xf numFmtId="0" fontId="11" fillId="0" borderId="5" xfId="0" applyFont="1" applyBorder="1" applyAlignment="1">
      <alignment horizontal="center" vertical="center" wrapText="1"/>
    </xf>
    <xf numFmtId="0" fontId="11" fillId="0" borderId="3" xfId="0" applyFont="1" applyBorder="1" applyAlignment="1">
      <alignment horizontal="center" vertical="center" wrapText="1"/>
    </xf>
    <xf numFmtId="0" fontId="4" fillId="0" borderId="7" xfId="0" applyFont="1" applyBorder="1" applyAlignment="1">
      <alignment horizontal="center"/>
    </xf>
    <xf numFmtId="0" fontId="4" fillId="0" borderId="11" xfId="0" applyFont="1" applyBorder="1" applyAlignment="1">
      <alignment horizontal="center"/>
    </xf>
    <xf numFmtId="0" fontId="4" fillId="0" borderId="8" xfId="0" applyFont="1" applyBorder="1" applyAlignment="1">
      <alignment horizontal="center"/>
    </xf>
    <xf numFmtId="0" fontId="11" fillId="0" borderId="7" xfId="0" applyFont="1" applyBorder="1" applyAlignment="1">
      <alignment horizontal="center" vertical="center" wrapText="1"/>
    </xf>
    <xf numFmtId="0" fontId="11" fillId="0" borderId="11" xfId="0" applyFont="1" applyBorder="1" applyAlignment="1">
      <alignment horizontal="center" vertical="center" wrapText="1"/>
    </xf>
    <xf numFmtId="0" fontId="29" fillId="0" borderId="0" xfId="0" applyFont="1" applyAlignment="1">
      <alignment horizontal="center"/>
    </xf>
    <xf numFmtId="0" fontId="29" fillId="0" borderId="1" xfId="0" applyFont="1" applyBorder="1" applyAlignment="1">
      <alignment horizontal="center"/>
    </xf>
    <xf numFmtId="0" fontId="29" fillId="0" borderId="11" xfId="0" applyFont="1" applyBorder="1" applyAlignment="1">
      <alignment horizontal="center"/>
    </xf>
    <xf numFmtId="0" fontId="29" fillId="0" borderId="8" xfId="0" applyFont="1" applyBorder="1" applyAlignment="1">
      <alignment horizontal="center"/>
    </xf>
    <xf numFmtId="0" fontId="95" fillId="6" borderId="0" xfId="0" applyFont="1" applyFill="1" applyAlignment="1">
      <alignment horizontal="center"/>
    </xf>
    <xf numFmtId="0" fontId="91" fillId="0" borderId="0" xfId="0" applyFont="1" applyAlignment="1">
      <alignment horizontal="center"/>
    </xf>
    <xf numFmtId="0" fontId="67" fillId="0" borderId="0" xfId="0" applyFont="1" applyAlignment="1">
      <alignment horizontal="left" vertical="center"/>
    </xf>
    <xf numFmtId="0" fontId="7" fillId="0" borderId="0" xfId="0" applyFont="1" applyAlignment="1">
      <alignment horizontal="center"/>
    </xf>
    <xf numFmtId="0" fontId="40" fillId="0" borderId="2" xfId="0" applyFont="1" applyBorder="1" applyAlignment="1">
      <alignment horizontal="center"/>
    </xf>
    <xf numFmtId="0" fontId="40" fillId="0" borderId="5" xfId="0" applyFont="1" applyBorder="1" applyAlignment="1">
      <alignment horizontal="center"/>
    </xf>
    <xf numFmtId="0" fontId="40" fillId="0" borderId="3" xfId="0" applyFont="1" applyBorder="1" applyAlignment="1">
      <alignment horizontal="center"/>
    </xf>
    <xf numFmtId="0" fontId="41" fillId="0" borderId="0" xfId="0" applyFont="1" applyAlignment="1">
      <alignment horizontal="center" vertical="center"/>
    </xf>
    <xf numFmtId="0" fontId="36" fillId="0" borderId="0" xfId="0" applyFont="1" applyAlignment="1">
      <alignment horizontal="center" vertical="center"/>
    </xf>
    <xf numFmtId="0" fontId="36" fillId="0" borderId="4" xfId="0" applyFont="1" applyBorder="1" applyAlignment="1">
      <alignment horizontal="center" vertical="center"/>
    </xf>
    <xf numFmtId="0" fontId="33" fillId="0" borderId="0" xfId="0" applyFont="1" applyAlignment="1">
      <alignment horizontal="center" vertical="center" wrapText="1"/>
    </xf>
    <xf numFmtId="0" fontId="29" fillId="0" borderId="0" xfId="0" applyFont="1" applyAlignment="1">
      <alignment horizontal="right" vertical="center" wrapText="1"/>
    </xf>
    <xf numFmtId="0" fontId="4" fillId="0" borderId="0" xfId="0" applyFont="1" applyAlignment="1">
      <alignment horizontal="center" vertical="center"/>
    </xf>
    <xf numFmtId="0" fontId="4" fillId="0" borderId="5" xfId="0" applyFont="1" applyBorder="1" applyAlignment="1">
      <alignment horizontal="center" vertical="center"/>
    </xf>
    <xf numFmtId="0" fontId="4" fillId="0" borderId="10" xfId="0" applyFont="1" applyBorder="1" applyAlignment="1">
      <alignment horizontal="center" vertical="center"/>
    </xf>
    <xf numFmtId="0" fontId="1" fillId="0" borderId="0" xfId="0" applyFont="1" applyAlignment="1">
      <alignment horizontal="center" vertical="top"/>
    </xf>
    <xf numFmtId="0" fontId="1" fillId="0" borderId="1" xfId="0" applyFont="1" applyBorder="1" applyAlignment="1">
      <alignment horizontal="center" vertical="top"/>
    </xf>
    <xf numFmtId="0" fontId="9" fillId="0" borderId="15" xfId="0" applyFont="1" applyBorder="1" applyAlignment="1">
      <alignment horizontal="right" vertical="center"/>
    </xf>
    <xf numFmtId="164" fontId="15" fillId="0" borderId="11" xfId="0" applyNumberFormat="1" applyFont="1" applyBorder="1" applyAlignment="1">
      <alignment horizontal="center" vertical="center"/>
    </xf>
    <xf numFmtId="164" fontId="1" fillId="0" borderId="11" xfId="0" applyNumberFormat="1" applyFont="1" applyBorder="1" applyAlignment="1">
      <alignment horizontal="center" vertical="center"/>
    </xf>
    <xf numFmtId="164" fontId="1" fillId="0" borderId="8" xfId="0" applyNumberFormat="1" applyFont="1" applyBorder="1" applyAlignment="1">
      <alignment horizontal="center" vertical="center"/>
    </xf>
    <xf numFmtId="0" fontId="9" fillId="0" borderId="10" xfId="0" applyFont="1" applyBorder="1" applyAlignment="1">
      <alignment horizontal="center" wrapText="1"/>
    </xf>
    <xf numFmtId="0" fontId="9" fillId="0" borderId="1" xfId="0" applyFont="1" applyBorder="1" applyAlignment="1">
      <alignment horizontal="center" wrapText="1"/>
    </xf>
    <xf numFmtId="0" fontId="4" fillId="0" borderId="0" xfId="0" applyFont="1" applyAlignment="1">
      <alignment horizontal="right"/>
    </xf>
    <xf numFmtId="14" fontId="2" fillId="0" borderId="0" xfId="0" applyNumberFormat="1" applyFont="1" applyAlignment="1">
      <alignment horizontal="center"/>
    </xf>
    <xf numFmtId="0" fontId="4" fillId="0" borderId="43" xfId="0" applyFont="1" applyBorder="1" applyAlignment="1">
      <alignment horizontal="center"/>
    </xf>
    <xf numFmtId="0" fontId="4" fillId="0" borderId="44" xfId="0" applyFont="1" applyBorder="1" applyAlignment="1">
      <alignment horizontal="center"/>
    </xf>
    <xf numFmtId="0" fontId="4" fillId="0" borderId="45" xfId="0" applyFont="1" applyBorder="1" applyAlignment="1">
      <alignment horizontal="center"/>
    </xf>
    <xf numFmtId="0" fontId="0" fillId="0" borderId="5" xfId="0" applyBorder="1" applyAlignment="1">
      <alignment horizontal="center" vertical="center"/>
    </xf>
    <xf numFmtId="0" fontId="0" fillId="0" borderId="2" xfId="0" applyBorder="1" applyAlignment="1">
      <alignment horizontal="center"/>
    </xf>
    <xf numFmtId="0" fontId="0" fillId="0" borderId="5" xfId="0" applyBorder="1" applyAlignment="1">
      <alignment horizontal="center"/>
    </xf>
    <xf numFmtId="0" fontId="0" fillId="0" borderId="3" xfId="0" applyBorder="1" applyAlignment="1">
      <alignment horizontal="center"/>
    </xf>
    <xf numFmtId="0" fontId="3" fillId="0" borderId="0" xfId="0" applyFont="1" applyAlignment="1">
      <alignment horizontal="center" vertical="center"/>
    </xf>
    <xf numFmtId="0" fontId="5" fillId="0" borderId="0" xfId="0" applyFont="1" applyAlignment="1">
      <alignment horizontal="right" vertical="center"/>
    </xf>
    <xf numFmtId="0" fontId="8" fillId="0" borderId="0" xfId="0" quotePrefix="1" applyFont="1" applyAlignment="1">
      <alignment horizontal="center" vertical="center"/>
    </xf>
    <xf numFmtId="0" fontId="8" fillId="0" borderId="0" xfId="0" applyFont="1" applyAlignment="1">
      <alignment horizontal="center" vertical="center"/>
    </xf>
    <xf numFmtId="0" fontId="3" fillId="0" borderId="0" xfId="0" applyFont="1" applyAlignment="1">
      <alignment horizontal="right" vertical="center"/>
    </xf>
  </cellXfs>
  <cellStyles count="3">
    <cellStyle name="Currency" xfId="1" builtinId="4"/>
    <cellStyle name="Normal" xfId="0" builtinId="0"/>
    <cellStyle name="Percent" xfId="2" builtinId="5"/>
  </cellStyles>
  <dxfs count="17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b/>
        <i val="0"/>
        <color theme="9" tint="-0.24994659260841701"/>
      </font>
    </dxf>
    <dxf>
      <font>
        <color theme="0"/>
      </font>
      <fill>
        <patternFill>
          <bgColor theme="8"/>
        </patternFill>
      </fill>
    </dxf>
    <dxf>
      <font>
        <color theme="7"/>
      </font>
      <fill>
        <patternFill>
          <bgColor rgb="FF7030A0"/>
        </patternFill>
      </fill>
    </dxf>
    <dxf>
      <font>
        <color theme="7"/>
      </font>
      <fill>
        <patternFill>
          <bgColor theme="9" tint="-0.2499465926084170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theme="0"/>
      </font>
      <fill>
        <patternFill>
          <bgColor rgb="FFFF0000"/>
        </patternFill>
      </fill>
    </dxf>
    <dxf>
      <font>
        <b/>
        <i val="0"/>
        <color theme="9" tint="-0.24994659260841701"/>
      </font>
    </dxf>
    <dxf>
      <font>
        <color theme="0"/>
      </font>
      <fill>
        <patternFill>
          <bgColor theme="8"/>
        </patternFill>
      </fill>
    </dxf>
    <dxf>
      <font>
        <color theme="7"/>
      </font>
      <fill>
        <patternFill>
          <bgColor rgb="FF7030A0"/>
        </patternFill>
      </fill>
    </dxf>
    <dxf>
      <font>
        <color theme="7"/>
      </font>
      <fill>
        <patternFill>
          <bgColor theme="9" tint="-0.24994659260841701"/>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0"/>
      </font>
      <fill>
        <patternFill>
          <bgColor rgb="FFFF0000"/>
        </patternFill>
      </fill>
    </dxf>
    <dxf>
      <font>
        <b/>
        <i val="0"/>
        <color theme="7"/>
      </font>
      <fill>
        <patternFill patternType="solid">
          <bgColor theme="9" tint="-0.249977111117893"/>
        </patternFill>
      </fill>
    </dxf>
    <dxf>
      <font>
        <color theme="0"/>
      </font>
      <fill>
        <patternFill patternType="solid">
          <bgColor theme="8"/>
        </patternFill>
      </fill>
    </dxf>
    <dxf>
      <font>
        <color theme="7"/>
      </font>
      <fill>
        <patternFill patternType="solid">
          <bgColor rgb="FF7030A0"/>
        </patternFill>
      </fill>
    </dxf>
    <dxf>
      <fill>
        <patternFill patternType="lightGray">
          <fgColor rgb="FF7030A0"/>
        </patternFill>
      </fill>
    </dxf>
    <dxf>
      <fill>
        <patternFill patternType="lightGray">
          <fgColor rgb="FF7030A0"/>
        </patternFill>
      </fill>
    </dxf>
    <dxf>
      <fill>
        <patternFill patternType="darkGrid">
          <fgColor rgb="FFFF0000"/>
        </patternFill>
      </fill>
    </dxf>
    <dxf>
      <fill>
        <patternFill patternType="lightVertical">
          <fgColor rgb="FF7030A0"/>
        </patternFill>
      </fill>
    </dxf>
    <dxf>
      <fill>
        <patternFill patternType="mediumGray">
          <fgColor theme="7" tint="-0.24994659260841701"/>
        </patternFill>
      </fill>
    </dxf>
    <dxf>
      <fill>
        <patternFill patternType="lightGrid">
          <fgColor theme="7" tint="-0.499984740745262"/>
        </patternFill>
      </fill>
    </dxf>
    <dxf>
      <fill>
        <patternFill patternType="darkGrid">
          <fgColor rgb="FFFF0000"/>
        </patternFill>
      </fill>
    </dxf>
    <dxf>
      <fill>
        <patternFill patternType="lightGrid">
          <fgColor rgb="FFFF0000"/>
        </patternFill>
      </fill>
    </dxf>
    <dxf>
      <font>
        <color theme="9" tint="-0.24994659260841701"/>
      </font>
      <fill>
        <patternFill>
          <bgColor theme="9" tint="-0.24994659260841701"/>
        </patternFill>
      </fill>
    </dxf>
    <dxf>
      <font>
        <color theme="0"/>
      </font>
      <fill>
        <patternFill>
          <bgColor theme="8" tint="-0.24994659260841701"/>
        </patternFill>
      </fill>
    </dxf>
    <dxf>
      <font>
        <color theme="0"/>
      </font>
      <fill>
        <patternFill>
          <bgColor rgb="FF7030A0"/>
        </patternFill>
      </fill>
    </dxf>
    <dxf>
      <fill>
        <patternFill patternType="lightGray">
          <fgColor rgb="FF7030A0"/>
        </patternFill>
      </fill>
    </dxf>
    <dxf>
      <fill>
        <patternFill patternType="lightGray">
          <fgColor rgb="FF7030A0"/>
        </patternFill>
      </fill>
    </dxf>
    <dxf>
      <fill>
        <patternFill patternType="darkGrid">
          <fgColor rgb="FFFF0000"/>
        </patternFill>
      </fill>
    </dxf>
    <dxf>
      <fill>
        <patternFill patternType="lightVertical">
          <fgColor rgb="FF7030A0"/>
        </patternFill>
      </fill>
    </dxf>
    <dxf>
      <fill>
        <patternFill patternType="mediumGray">
          <fgColor theme="7" tint="-0.24994659260841701"/>
        </patternFill>
      </fill>
    </dxf>
    <dxf>
      <fill>
        <patternFill patternType="lightGrid">
          <fgColor theme="7" tint="-0.499984740745262"/>
        </patternFill>
      </fill>
    </dxf>
    <dxf>
      <fill>
        <patternFill patternType="darkGrid">
          <fgColor rgb="FFFF0000"/>
        </patternFill>
      </fill>
    </dxf>
    <dxf>
      <fill>
        <patternFill patternType="lightGrid">
          <fgColor rgb="FFFF0000"/>
        </patternFill>
      </fill>
    </dxf>
    <dxf>
      <font>
        <color theme="9" tint="-0.24994659260841701"/>
      </font>
      <fill>
        <patternFill>
          <bgColor theme="9" tint="-0.24994659260841701"/>
        </patternFill>
      </fill>
    </dxf>
    <dxf>
      <font>
        <color theme="0"/>
      </font>
      <fill>
        <patternFill>
          <bgColor theme="8" tint="-0.24994659260841701"/>
        </patternFill>
      </fill>
    </dxf>
    <dxf>
      <font>
        <color theme="0"/>
      </font>
      <fill>
        <patternFill>
          <bgColor rgb="FF7030A0"/>
        </patternFill>
      </fill>
    </dxf>
    <dxf>
      <fill>
        <patternFill patternType="lightGrid">
          <fgColor rgb="FFFF0000"/>
        </patternFill>
      </fill>
    </dxf>
    <dxf>
      <fill>
        <patternFill patternType="lightGray">
          <fgColor rgb="FF7030A0"/>
        </patternFill>
      </fill>
    </dxf>
    <dxf>
      <fill>
        <patternFill patternType="lightGray">
          <fgColor rgb="FF7030A0"/>
        </patternFill>
      </fill>
    </dxf>
    <dxf>
      <fill>
        <patternFill patternType="darkGrid">
          <fgColor rgb="FFFF0000"/>
        </patternFill>
      </fill>
    </dxf>
    <dxf>
      <fill>
        <patternFill patternType="lightVertical">
          <fgColor rgb="FF7030A0"/>
        </patternFill>
      </fill>
    </dxf>
    <dxf>
      <fill>
        <patternFill patternType="mediumGray">
          <fgColor theme="7" tint="-0.24994659260841701"/>
        </patternFill>
      </fill>
    </dxf>
    <dxf>
      <fill>
        <patternFill patternType="lightGrid">
          <fgColor theme="7" tint="-0.499984740745262"/>
        </patternFill>
      </fill>
    </dxf>
    <dxf>
      <fill>
        <patternFill patternType="darkGrid">
          <fgColor rgb="FFFF0000"/>
        </patternFill>
      </fill>
    </dxf>
    <dxf>
      <fill>
        <patternFill patternType="lightGrid">
          <fgColor rgb="FFFF0000"/>
        </patternFill>
      </fill>
    </dxf>
    <dxf>
      <font>
        <color theme="9" tint="-0.24994659260841701"/>
      </font>
      <fill>
        <patternFill>
          <bgColor theme="9" tint="-0.24994659260841701"/>
        </patternFill>
      </fill>
    </dxf>
    <dxf>
      <font>
        <color theme="0"/>
      </font>
      <fill>
        <patternFill>
          <bgColor theme="8" tint="-0.24994659260841701"/>
        </patternFill>
      </fill>
    </dxf>
    <dxf>
      <font>
        <color theme="0"/>
      </font>
      <fill>
        <patternFill>
          <bgColor rgb="FF7030A0"/>
        </patternFill>
      </fill>
    </dxf>
    <dxf>
      <font>
        <b/>
        <i val="0"/>
        <color theme="7"/>
      </font>
      <fill>
        <patternFill patternType="solid">
          <bgColor theme="9" tint="-0.249977111117893"/>
        </patternFill>
      </fill>
    </dxf>
    <dxf>
      <font>
        <color theme="7"/>
      </font>
      <fill>
        <patternFill patternType="solid">
          <bgColor rgb="FF7030A0"/>
        </patternFill>
      </fill>
    </dxf>
    <dxf>
      <font>
        <color theme="0"/>
      </font>
      <fill>
        <patternFill patternType="solid">
          <bgColor theme="8"/>
        </patternFill>
      </fill>
    </dxf>
    <dxf>
      <font>
        <b/>
        <i val="0"/>
        <color theme="7"/>
      </font>
      <fill>
        <patternFill patternType="solid">
          <bgColor theme="9" tint="-0.249977111117893"/>
        </patternFill>
      </fill>
    </dxf>
    <dxf>
      <font>
        <color theme="7"/>
      </font>
      <fill>
        <patternFill patternType="solid">
          <bgColor rgb="FF7030A0"/>
        </patternFill>
      </fill>
    </dxf>
    <dxf>
      <font>
        <color theme="0"/>
      </font>
      <fill>
        <patternFill patternType="solid">
          <bgColor theme="8"/>
        </patternFill>
      </fill>
    </dxf>
    <dxf>
      <font>
        <b/>
        <i val="0"/>
        <color theme="7"/>
      </font>
      <fill>
        <patternFill patternType="solid">
          <bgColor theme="9" tint="-0.249977111117893"/>
        </patternFill>
      </fill>
    </dxf>
    <dxf>
      <font>
        <b/>
        <i val="0"/>
        <color theme="7"/>
      </font>
      <fill>
        <patternFill patternType="solid">
          <bgColor theme="9" tint="-0.249977111117893"/>
        </patternFill>
      </fill>
    </dxf>
    <dxf>
      <font>
        <color theme="7"/>
      </font>
      <fill>
        <patternFill patternType="solid">
          <bgColor rgb="FF7030A0"/>
        </patternFill>
      </fill>
    </dxf>
    <dxf>
      <font>
        <color theme="0"/>
      </font>
      <fill>
        <patternFill patternType="solid">
          <bgColor theme="8"/>
        </patternFill>
      </fill>
    </dxf>
    <dxf>
      <font>
        <b/>
        <i val="0"/>
        <color theme="7"/>
      </font>
      <fill>
        <patternFill patternType="solid">
          <bgColor theme="9" tint="-0.249977111117893"/>
        </patternFill>
      </fill>
    </dxf>
    <dxf>
      <font>
        <color theme="7"/>
      </font>
      <fill>
        <patternFill patternType="solid">
          <bgColor rgb="FF7030A0"/>
        </patternFill>
      </fill>
    </dxf>
    <dxf>
      <font>
        <color theme="0"/>
      </font>
      <fill>
        <patternFill patternType="solid">
          <bgColor theme="8"/>
        </patternFill>
      </fill>
    </dxf>
    <dxf>
      <font>
        <color theme="0"/>
      </font>
      <fill>
        <patternFill>
          <bgColor theme="8"/>
        </patternFill>
      </fill>
    </dxf>
    <dxf>
      <font>
        <color theme="7"/>
      </font>
      <fill>
        <patternFill>
          <bgColor rgb="FF7030A0"/>
        </patternFill>
      </fill>
    </dxf>
    <dxf>
      <font>
        <color theme="7"/>
      </font>
      <fill>
        <patternFill>
          <bgColor theme="9" tint="-0.24994659260841701"/>
        </patternFill>
      </fill>
    </dxf>
    <dxf>
      <font>
        <b/>
        <i val="0"/>
        <color theme="9" tint="-0.24994659260841701"/>
      </font>
    </dxf>
    <dxf>
      <font>
        <b/>
        <i val="0"/>
        <color theme="7"/>
      </font>
      <fill>
        <patternFill patternType="solid">
          <bgColor theme="9" tint="-0.249977111117893"/>
        </patternFill>
      </fill>
    </dxf>
    <dxf>
      <font>
        <b/>
        <i val="0"/>
        <color theme="7"/>
      </font>
      <fill>
        <patternFill patternType="solid">
          <bgColor theme="9" tint="-0.249977111117893"/>
        </patternFill>
      </fill>
    </dxf>
    <dxf>
      <font>
        <b/>
        <i val="0"/>
        <color theme="7"/>
      </font>
      <fill>
        <patternFill patternType="solid">
          <bgColor theme="9" tint="-0.249977111117893"/>
        </patternFill>
      </fill>
    </dxf>
    <dxf>
      <font>
        <color theme="7"/>
      </font>
      <fill>
        <patternFill patternType="solid">
          <bgColor rgb="FF7030A0"/>
        </patternFill>
      </fill>
    </dxf>
    <dxf>
      <font>
        <color theme="0"/>
      </font>
      <fill>
        <patternFill patternType="solid">
          <bgColor theme="8"/>
        </patternFill>
      </fill>
    </dxf>
    <dxf>
      <font>
        <color theme="7"/>
      </font>
      <fill>
        <patternFill patternType="solid">
          <bgColor rgb="FF7030A0"/>
        </patternFill>
      </fill>
    </dxf>
    <dxf>
      <font>
        <color theme="0"/>
      </font>
      <fill>
        <patternFill patternType="solid">
          <bgColor theme="8"/>
        </patternFill>
      </fill>
    </dxf>
    <dxf>
      <numFmt numFmtId="19" formatCode="m/d/yyyy"/>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colors>
    <mruColors>
      <color rgb="FFF2F2F2"/>
      <color rgb="FF9B5FC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openxmlformats.org/officeDocument/2006/relationships/customXml" Target="../customXml/item1.xml"/><Relationship Id="rId30" Type="http://schemas.microsoft.com/office/2006/relationships/vbaProject" Target="vbaProject.bin"/></Relationships>
</file>

<file path=xl/charts/_rels/chart5.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6.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Attendant Variance vs Standard</a:t>
            </a:r>
          </a:p>
        </c:rich>
      </c:tx>
      <c:overlay val="0"/>
    </c:title>
    <c:autoTitleDeleted val="0"/>
    <c:plotArea>
      <c:layout/>
      <c:lineChart>
        <c:grouping val="standard"/>
        <c:varyColors val="0"/>
        <c:ser>
          <c:idx val="0"/>
          <c:order val="0"/>
          <c:tx>
            <c:v>Jo</c:v>
          </c:tx>
          <c:marker>
            <c:symbol val="none"/>
          </c:marker>
          <c:cat>
            <c:numRef>
              <c:f>Attendant_Data!$S$1:$AW$1</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Attendant_Data!$S$2:$AW$2</c:f>
              <c:numCache>
                <c:formatCode>General</c:formatCode>
                <c:ptCount val="31"/>
                <c:pt idx="0">
                  <c:v>0</c:v>
                </c:pt>
                <c:pt idx="1">
                  <c:v>0</c:v>
                </c:pt>
                <c:pt idx="2">
                  <c:v>-4</c:v>
                </c:pt>
                <c:pt idx="3">
                  <c:v>0</c:v>
                </c:pt>
                <c:pt idx="4">
                  <c:v>0</c:v>
                </c:pt>
                <c:pt idx="5">
                  <c:v>25</c:v>
                </c:pt>
                <c:pt idx="6">
                  <c:v>-0.99999999999994316</c:v>
                </c:pt>
                <c:pt idx="7">
                  <c:v>0</c:v>
                </c:pt>
                <c:pt idx="8">
                  <c:v>61.000000000000057</c:v>
                </c:pt>
                <c:pt idx="9">
                  <c:v>0</c:v>
                </c:pt>
                <c:pt idx="10">
                  <c:v>21.000000000000057</c:v>
                </c:pt>
                <c:pt idx="11">
                  <c:v>25.000000000000028</c:v>
                </c:pt>
                <c:pt idx="12">
                  <c:v>29.000000000000028</c:v>
                </c:pt>
                <c:pt idx="13">
                  <c:v>39.999999999999943</c:v>
                </c:pt>
                <c:pt idx="14">
                  <c:v>0</c:v>
                </c:pt>
                <c:pt idx="15">
                  <c:v>28</c:v>
                </c:pt>
                <c:pt idx="16">
                  <c:v>0</c:v>
                </c:pt>
                <c:pt idx="17">
                  <c:v>-20</c:v>
                </c:pt>
                <c:pt idx="18">
                  <c:v>49.000000000000085</c:v>
                </c:pt>
                <c:pt idx="19">
                  <c:v>25.999999999999972</c:v>
                </c:pt>
                <c:pt idx="20">
                  <c:v>60.999999999999915</c:v>
                </c:pt>
                <c:pt idx="21">
                  <c:v>0</c:v>
                </c:pt>
                <c:pt idx="22">
                  <c:v>0</c:v>
                </c:pt>
                <c:pt idx="23">
                  <c:v>0</c:v>
                </c:pt>
                <c:pt idx="24">
                  <c:v>63.000000000000057</c:v>
                </c:pt>
                <c:pt idx="25">
                  <c:v>23.999999999999972</c:v>
                </c:pt>
                <c:pt idx="26">
                  <c:v>24</c:v>
                </c:pt>
                <c:pt idx="27">
                  <c:v>23.999999999999972</c:v>
                </c:pt>
                <c:pt idx="28">
                  <c:v>0</c:v>
                </c:pt>
                <c:pt idx="29">
                  <c:v>0</c:v>
                </c:pt>
                <c:pt idx="30">
                  <c:v>6</c:v>
                </c:pt>
              </c:numCache>
            </c:numRef>
          </c:val>
          <c:smooth val="0"/>
          <c:extLst>
            <c:ext xmlns:c16="http://schemas.microsoft.com/office/drawing/2014/chart" uri="{C3380CC4-5D6E-409C-BE32-E72D297353CC}">
              <c16:uniqueId val="{00000001-1C5E-4641-96D8-15B32EB26FEC}"/>
            </c:ext>
          </c:extLst>
        </c:ser>
        <c:ser>
          <c:idx val="1"/>
          <c:order val="1"/>
          <c:tx>
            <c:v>Kelsey</c:v>
          </c:tx>
          <c:marker>
            <c:symbol val="none"/>
          </c:marker>
          <c:cat>
            <c:numRef>
              <c:f>Attendant_Data!$S$1:$AW$1</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Attendant_Data!$S$3:$AW$3</c:f>
              <c:numCache>
                <c:formatCode>General</c:formatCode>
                <c:ptCount val="31"/>
                <c:pt idx="0">
                  <c:v>0</c:v>
                </c:pt>
                <c:pt idx="1">
                  <c:v>0</c:v>
                </c:pt>
                <c:pt idx="2">
                  <c:v>0</c:v>
                </c:pt>
                <c:pt idx="3">
                  <c:v>-16</c:v>
                </c:pt>
                <c:pt idx="4">
                  <c:v>0</c:v>
                </c:pt>
                <c:pt idx="5">
                  <c:v>-31</c:v>
                </c:pt>
                <c:pt idx="6">
                  <c:v>-42.000000000000085</c:v>
                </c:pt>
                <c:pt idx="7">
                  <c:v>-242.00000000000006</c:v>
                </c:pt>
                <c:pt idx="8">
                  <c:v>46.000000000000028</c:v>
                </c:pt>
                <c:pt idx="9">
                  <c:v>0</c:v>
                </c:pt>
                <c:pt idx="10">
                  <c:v>0</c:v>
                </c:pt>
                <c:pt idx="11">
                  <c:v>0</c:v>
                </c:pt>
                <c:pt idx="12">
                  <c:v>-16.000000000000028</c:v>
                </c:pt>
                <c:pt idx="13">
                  <c:v>75.000000000000085</c:v>
                </c:pt>
                <c:pt idx="14">
                  <c:v>-5.0000000000000568</c:v>
                </c:pt>
                <c:pt idx="15">
                  <c:v>-9</c:v>
                </c:pt>
                <c:pt idx="16">
                  <c:v>0</c:v>
                </c:pt>
                <c:pt idx="17">
                  <c:v>-62.999999999999943</c:v>
                </c:pt>
                <c:pt idx="18">
                  <c:v>0</c:v>
                </c:pt>
                <c:pt idx="19">
                  <c:v>-1.9999999999999716</c:v>
                </c:pt>
                <c:pt idx="20">
                  <c:v>20.000000000000028</c:v>
                </c:pt>
                <c:pt idx="21">
                  <c:v>-5.0000000000000284</c:v>
                </c:pt>
                <c:pt idx="22">
                  <c:v>21.000000000000057</c:v>
                </c:pt>
                <c:pt idx="23">
                  <c:v>0</c:v>
                </c:pt>
                <c:pt idx="24">
                  <c:v>0</c:v>
                </c:pt>
                <c:pt idx="25">
                  <c:v>0</c:v>
                </c:pt>
                <c:pt idx="26">
                  <c:v>-4.0000000000000284</c:v>
                </c:pt>
                <c:pt idx="27">
                  <c:v>0</c:v>
                </c:pt>
                <c:pt idx="28">
                  <c:v>-5.0000000000000284</c:v>
                </c:pt>
                <c:pt idx="29">
                  <c:v>-41.999999999999943</c:v>
                </c:pt>
                <c:pt idx="30">
                  <c:v>-43</c:v>
                </c:pt>
              </c:numCache>
            </c:numRef>
          </c:val>
          <c:smooth val="0"/>
          <c:extLst>
            <c:ext xmlns:c16="http://schemas.microsoft.com/office/drawing/2014/chart" uri="{C3380CC4-5D6E-409C-BE32-E72D297353CC}">
              <c16:uniqueId val="{00000002-1C5E-4641-96D8-15B32EB26FEC}"/>
            </c:ext>
          </c:extLst>
        </c:ser>
        <c:ser>
          <c:idx val="2"/>
          <c:order val="2"/>
          <c:tx>
            <c:v>Weston</c:v>
          </c:tx>
          <c:marker>
            <c:symbol val="none"/>
          </c:marker>
          <c:cat>
            <c:numRef>
              <c:f>Attendant_Data!$S$1:$AW$1</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Attendant_Data!$S$4:$AW$4</c:f>
              <c:numCache>
                <c:formatCode>General</c:formatCode>
                <c:ptCount val="31"/>
                <c:pt idx="0">
                  <c:v>0</c:v>
                </c:pt>
                <c:pt idx="1">
                  <c:v>0</c:v>
                </c:pt>
                <c:pt idx="2">
                  <c:v>0</c:v>
                </c:pt>
                <c:pt idx="3">
                  <c:v>0</c:v>
                </c:pt>
                <c:pt idx="4">
                  <c:v>0</c:v>
                </c:pt>
                <c:pt idx="5">
                  <c:v>0</c:v>
                </c:pt>
                <c:pt idx="6">
                  <c:v>39</c:v>
                </c:pt>
                <c:pt idx="7">
                  <c:v>-203.00000000000003</c:v>
                </c:pt>
                <c:pt idx="8">
                  <c:v>10.000000000000057</c:v>
                </c:pt>
                <c:pt idx="9">
                  <c:v>-39.999999999999943</c:v>
                </c:pt>
                <c:pt idx="10">
                  <c:v>0</c:v>
                </c:pt>
                <c:pt idx="11">
                  <c:v>45.999999999999972</c:v>
                </c:pt>
                <c:pt idx="12">
                  <c:v>0</c:v>
                </c:pt>
                <c:pt idx="13">
                  <c:v>-52</c:v>
                </c:pt>
                <c:pt idx="14">
                  <c:v>-39.000000000000057</c:v>
                </c:pt>
                <c:pt idx="15">
                  <c:v>-9.0000000000000568</c:v>
                </c:pt>
                <c:pt idx="16">
                  <c:v>35.000000000000057</c:v>
                </c:pt>
                <c:pt idx="17">
                  <c:v>-18.999999999999915</c:v>
                </c:pt>
                <c:pt idx="18">
                  <c:v>-34.000000000000028</c:v>
                </c:pt>
                <c:pt idx="19">
                  <c:v>0</c:v>
                </c:pt>
                <c:pt idx="20">
                  <c:v>0</c:v>
                </c:pt>
                <c:pt idx="21">
                  <c:v>-7</c:v>
                </c:pt>
                <c:pt idx="22">
                  <c:v>21.000000000000057</c:v>
                </c:pt>
                <c:pt idx="23">
                  <c:v>0</c:v>
                </c:pt>
                <c:pt idx="24">
                  <c:v>-39.999999999999972</c:v>
                </c:pt>
                <c:pt idx="25">
                  <c:v>-10.000000000000057</c:v>
                </c:pt>
                <c:pt idx="26">
                  <c:v>0</c:v>
                </c:pt>
                <c:pt idx="27">
                  <c:v>0</c:v>
                </c:pt>
                <c:pt idx="28">
                  <c:v>-56</c:v>
                </c:pt>
                <c:pt idx="29">
                  <c:v>-62.000000000000057</c:v>
                </c:pt>
                <c:pt idx="30">
                  <c:v>-12</c:v>
                </c:pt>
              </c:numCache>
            </c:numRef>
          </c:val>
          <c:smooth val="0"/>
          <c:extLst>
            <c:ext xmlns:c16="http://schemas.microsoft.com/office/drawing/2014/chart" uri="{C3380CC4-5D6E-409C-BE32-E72D297353CC}">
              <c16:uniqueId val="{00000003-1C5E-4641-96D8-15B32EB26FEC}"/>
            </c:ext>
          </c:extLst>
        </c:ser>
        <c:dLbls>
          <c:showLegendKey val="0"/>
          <c:showVal val="0"/>
          <c:showCatName val="0"/>
          <c:showSerName val="0"/>
          <c:showPercent val="0"/>
          <c:showBubbleSize val="0"/>
        </c:dLbls>
        <c:smooth val="0"/>
        <c:axId val="109350063"/>
        <c:axId val="109360623"/>
      </c:lineChart>
      <c:catAx>
        <c:axId val="109350063"/>
        <c:scaling>
          <c:orientation val="minMax"/>
        </c:scaling>
        <c:delete val="0"/>
        <c:axPos val="b"/>
        <c:numFmt formatCode="General" sourceLinked="1"/>
        <c:majorTickMark val="out"/>
        <c:minorTickMark val="none"/>
        <c:tickLblPos val="nextTo"/>
        <c:crossAx val="109360623"/>
        <c:crosses val="autoZero"/>
        <c:auto val="1"/>
        <c:lblAlgn val="ctr"/>
        <c:lblOffset val="100"/>
        <c:noMultiLvlLbl val="0"/>
      </c:catAx>
      <c:valAx>
        <c:axId val="109360623"/>
        <c:scaling>
          <c:orientation val="minMax"/>
        </c:scaling>
        <c:delete val="0"/>
        <c:axPos val="l"/>
        <c:majorGridlines/>
        <c:numFmt formatCode="General" sourceLinked="1"/>
        <c:majorTickMark val="out"/>
        <c:minorTickMark val="none"/>
        <c:tickLblPos val="nextTo"/>
        <c:crossAx val="109350063"/>
        <c:crosses val="autoZero"/>
        <c:crossBetween val="between"/>
      </c:valAx>
    </c:plotArea>
    <c:legend>
      <c:legendPos val="b"/>
      <c:overlay val="0"/>
      <c:txPr>
        <a:bodyPr/>
        <a:lstStyle/>
        <a:p>
          <a:pPr>
            <a:defRPr sz="16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Corrections Percentages</a:t>
            </a:r>
          </a:p>
        </c:rich>
      </c:tx>
      <c:overlay val="0"/>
    </c:title>
    <c:autoTitleDeleted val="0"/>
    <c:plotArea>
      <c:layout/>
      <c:barChart>
        <c:barDir val="bar"/>
        <c:grouping val="percentStacked"/>
        <c:varyColors val="0"/>
        <c:ser>
          <c:idx val="0"/>
          <c:order val="0"/>
          <c:tx>
            <c:v>Toilet</c:v>
          </c:tx>
          <c:invertIfNegative val="0"/>
          <c:dLbls>
            <c:numFmt formatCode="0%" sourceLinked="0"/>
            <c:spPr>
              <a:noFill/>
              <a:ln>
                <a:noFill/>
              </a:ln>
              <a:effectLst/>
            </c:spPr>
            <c:txPr>
              <a:bodyPr wrap="square" lIns="38100" tIns="19050" rIns="38100" bIns="19050" anchor="ctr">
                <a:spAutoFit/>
              </a:bodyPr>
              <a:lstStyle/>
              <a:p>
                <a:pPr>
                  <a:defRPr sz="900"/>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Attendant_Data!$R$16:$R$18</c:f>
              <c:strCache>
                <c:ptCount val="3"/>
                <c:pt idx="0">
                  <c:v>Jo</c:v>
                </c:pt>
                <c:pt idx="1">
                  <c:v>Kelsey</c:v>
                </c:pt>
                <c:pt idx="2">
                  <c:v>Weston</c:v>
                </c:pt>
              </c:strCache>
            </c:strRef>
          </c:cat>
          <c:val>
            <c:numRef>
              <c:f>Attendant_Data!$S$16:$S$18</c:f>
              <c:numCache>
                <c:formatCode>0%</c:formatCode>
                <c:ptCount val="3"/>
                <c:pt idx="0">
                  <c:v>0.18604651162790697</c:v>
                </c:pt>
                <c:pt idx="1">
                  <c:v>0.1206896551724138</c:v>
                </c:pt>
                <c:pt idx="2">
                  <c:v>8.771929824561403E-2</c:v>
                </c:pt>
              </c:numCache>
            </c:numRef>
          </c:val>
          <c:extLst>
            <c:ext xmlns:c16="http://schemas.microsoft.com/office/drawing/2014/chart" uri="{C3380CC4-5D6E-409C-BE32-E72D297353CC}">
              <c16:uniqueId val="{00000001-3EC2-4B1B-88B3-E0BBD92B7D0E}"/>
            </c:ext>
          </c:extLst>
        </c:ser>
        <c:ser>
          <c:idx val="1"/>
          <c:order val="1"/>
          <c:tx>
            <c:v>Floor</c:v>
          </c:tx>
          <c:invertIfNegative val="0"/>
          <c:dLbls>
            <c:numFmt formatCode="0%" sourceLinked="0"/>
            <c:spPr>
              <a:noFill/>
              <a:ln>
                <a:noFill/>
              </a:ln>
              <a:effectLst/>
            </c:spPr>
            <c:txPr>
              <a:bodyPr wrap="square" lIns="38100" tIns="19050" rIns="38100" bIns="19050" anchor="ctr">
                <a:spAutoFit/>
              </a:bodyPr>
              <a:lstStyle/>
              <a:p>
                <a:pPr>
                  <a:defRPr sz="900"/>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Attendant_Data!$R$16:$R$18</c:f>
              <c:strCache>
                <c:ptCount val="3"/>
                <c:pt idx="0">
                  <c:v>Jo</c:v>
                </c:pt>
                <c:pt idx="1">
                  <c:v>Kelsey</c:v>
                </c:pt>
                <c:pt idx="2">
                  <c:v>Weston</c:v>
                </c:pt>
              </c:strCache>
            </c:strRef>
          </c:cat>
          <c:val>
            <c:numRef>
              <c:f>Attendant_Data!$T$16:$T$18</c:f>
              <c:numCache>
                <c:formatCode>0%</c:formatCode>
                <c:ptCount val="3"/>
                <c:pt idx="0">
                  <c:v>0.18604651162790697</c:v>
                </c:pt>
                <c:pt idx="1">
                  <c:v>0.17241379310344829</c:v>
                </c:pt>
                <c:pt idx="2">
                  <c:v>0.24561403508771928</c:v>
                </c:pt>
              </c:numCache>
            </c:numRef>
          </c:val>
          <c:extLst>
            <c:ext xmlns:c16="http://schemas.microsoft.com/office/drawing/2014/chart" uri="{C3380CC4-5D6E-409C-BE32-E72D297353CC}">
              <c16:uniqueId val="{00000002-3EC2-4B1B-88B3-E0BBD92B7D0E}"/>
            </c:ext>
          </c:extLst>
        </c:ser>
        <c:ser>
          <c:idx val="2"/>
          <c:order val="2"/>
          <c:tx>
            <c:v>Tub</c:v>
          </c:tx>
          <c:invertIfNegative val="0"/>
          <c:dLbls>
            <c:numFmt formatCode="0%" sourceLinked="0"/>
            <c:spPr>
              <a:noFill/>
              <a:ln>
                <a:noFill/>
              </a:ln>
              <a:effectLst/>
            </c:spPr>
            <c:txPr>
              <a:bodyPr wrap="square" lIns="38100" tIns="19050" rIns="38100" bIns="19050" anchor="ctr">
                <a:spAutoFit/>
              </a:bodyPr>
              <a:lstStyle/>
              <a:p>
                <a:pPr>
                  <a:defRPr sz="900"/>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Attendant_Data!$R$16:$R$18</c:f>
              <c:strCache>
                <c:ptCount val="3"/>
                <c:pt idx="0">
                  <c:v>Jo</c:v>
                </c:pt>
                <c:pt idx="1">
                  <c:v>Kelsey</c:v>
                </c:pt>
                <c:pt idx="2">
                  <c:v>Weston</c:v>
                </c:pt>
              </c:strCache>
            </c:strRef>
          </c:cat>
          <c:val>
            <c:numRef>
              <c:f>Attendant_Data!$U$16:$U$18</c:f>
              <c:numCache>
                <c:formatCode>0%</c:formatCode>
                <c:ptCount val="3"/>
                <c:pt idx="0">
                  <c:v>2.3255813953488372E-2</c:v>
                </c:pt>
                <c:pt idx="1">
                  <c:v>5.1724137931034482E-2</c:v>
                </c:pt>
                <c:pt idx="2">
                  <c:v>7.0175438596491224E-2</c:v>
                </c:pt>
              </c:numCache>
            </c:numRef>
          </c:val>
          <c:extLst>
            <c:ext xmlns:c16="http://schemas.microsoft.com/office/drawing/2014/chart" uri="{C3380CC4-5D6E-409C-BE32-E72D297353CC}">
              <c16:uniqueId val="{00000003-3EC2-4B1B-88B3-E0BBD92B7D0E}"/>
            </c:ext>
          </c:extLst>
        </c:ser>
        <c:ser>
          <c:idx val="3"/>
          <c:order val="3"/>
          <c:tx>
            <c:v>Stocking</c:v>
          </c:tx>
          <c:invertIfNegative val="0"/>
          <c:dLbls>
            <c:numFmt formatCode="0%" sourceLinked="0"/>
            <c:spPr>
              <a:noFill/>
              <a:ln>
                <a:noFill/>
              </a:ln>
              <a:effectLst/>
            </c:spPr>
            <c:txPr>
              <a:bodyPr wrap="square" lIns="38100" tIns="19050" rIns="38100" bIns="19050" anchor="ctr">
                <a:spAutoFit/>
              </a:bodyPr>
              <a:lstStyle/>
              <a:p>
                <a:pPr>
                  <a:defRPr sz="900"/>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Attendant_Data!$R$16:$R$18</c:f>
              <c:strCache>
                <c:ptCount val="3"/>
                <c:pt idx="0">
                  <c:v>Jo</c:v>
                </c:pt>
                <c:pt idx="1">
                  <c:v>Kelsey</c:v>
                </c:pt>
                <c:pt idx="2">
                  <c:v>Weston</c:v>
                </c:pt>
              </c:strCache>
            </c:strRef>
          </c:cat>
          <c:val>
            <c:numRef>
              <c:f>Attendant_Data!$V$16:$V$18</c:f>
              <c:numCache>
                <c:formatCode>0%</c:formatCode>
                <c:ptCount val="3"/>
                <c:pt idx="0">
                  <c:v>9.3023255813953487E-2</c:v>
                </c:pt>
                <c:pt idx="1">
                  <c:v>0.13793103448275862</c:v>
                </c:pt>
                <c:pt idx="2">
                  <c:v>5.2631578947368418E-2</c:v>
                </c:pt>
              </c:numCache>
            </c:numRef>
          </c:val>
          <c:extLst>
            <c:ext xmlns:c16="http://schemas.microsoft.com/office/drawing/2014/chart" uri="{C3380CC4-5D6E-409C-BE32-E72D297353CC}">
              <c16:uniqueId val="{00000004-3EC2-4B1B-88B3-E0BBD92B7D0E}"/>
            </c:ext>
          </c:extLst>
        </c:ser>
        <c:ser>
          <c:idx val="4"/>
          <c:order val="4"/>
          <c:tx>
            <c:v>Fridge/Micro</c:v>
          </c:tx>
          <c:invertIfNegative val="0"/>
          <c:dLbls>
            <c:numFmt formatCode="0%" sourceLinked="0"/>
            <c:spPr>
              <a:noFill/>
              <a:ln>
                <a:noFill/>
              </a:ln>
              <a:effectLst/>
            </c:spPr>
            <c:txPr>
              <a:bodyPr wrap="square" lIns="38100" tIns="19050" rIns="38100" bIns="19050" anchor="ctr">
                <a:spAutoFit/>
              </a:bodyPr>
              <a:lstStyle/>
              <a:p>
                <a:pPr>
                  <a:defRPr sz="900"/>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Attendant_Data!$R$16:$R$18</c:f>
              <c:strCache>
                <c:ptCount val="3"/>
                <c:pt idx="0">
                  <c:v>Jo</c:v>
                </c:pt>
                <c:pt idx="1">
                  <c:v>Kelsey</c:v>
                </c:pt>
                <c:pt idx="2">
                  <c:v>Weston</c:v>
                </c:pt>
              </c:strCache>
            </c:strRef>
          </c:cat>
          <c:val>
            <c:numRef>
              <c:f>Attendant_Data!$W$16:$W$18</c:f>
              <c:numCache>
                <c:formatCode>0%</c:formatCode>
                <c:ptCount val="3"/>
                <c:pt idx="0">
                  <c:v>4.6511627906976744E-2</c:v>
                </c:pt>
                <c:pt idx="1">
                  <c:v>3.4482758620689655E-2</c:v>
                </c:pt>
                <c:pt idx="2">
                  <c:v>8.771929824561403E-2</c:v>
                </c:pt>
              </c:numCache>
            </c:numRef>
          </c:val>
          <c:extLst>
            <c:ext xmlns:c16="http://schemas.microsoft.com/office/drawing/2014/chart" uri="{C3380CC4-5D6E-409C-BE32-E72D297353CC}">
              <c16:uniqueId val="{00000005-3EC2-4B1B-88B3-E0BBD92B7D0E}"/>
            </c:ext>
          </c:extLst>
        </c:ser>
        <c:ser>
          <c:idx val="5"/>
          <c:order val="5"/>
          <c:tx>
            <c:v>Mirrors/Glass</c:v>
          </c:tx>
          <c:invertIfNegative val="0"/>
          <c:dLbls>
            <c:numFmt formatCode="0%" sourceLinked="0"/>
            <c:spPr>
              <a:noFill/>
              <a:ln>
                <a:noFill/>
              </a:ln>
              <a:effectLst/>
            </c:spPr>
            <c:txPr>
              <a:bodyPr wrap="square" lIns="38100" tIns="19050" rIns="38100" bIns="19050" anchor="ctr">
                <a:spAutoFit/>
              </a:bodyPr>
              <a:lstStyle/>
              <a:p>
                <a:pPr>
                  <a:defRPr sz="900"/>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Attendant_Data!$R$16:$R$18</c:f>
              <c:strCache>
                <c:ptCount val="3"/>
                <c:pt idx="0">
                  <c:v>Jo</c:v>
                </c:pt>
                <c:pt idx="1">
                  <c:v>Kelsey</c:v>
                </c:pt>
                <c:pt idx="2">
                  <c:v>Weston</c:v>
                </c:pt>
              </c:strCache>
            </c:strRef>
          </c:cat>
          <c:val>
            <c:numRef>
              <c:f>Attendant_Data!$X$16:$X$18</c:f>
              <c:numCache>
                <c:formatCode>0%</c:formatCode>
                <c:ptCount val="3"/>
                <c:pt idx="0">
                  <c:v>0.11627906976744186</c:v>
                </c:pt>
                <c:pt idx="1">
                  <c:v>6.8965517241379309E-2</c:v>
                </c:pt>
                <c:pt idx="2">
                  <c:v>7.0175438596491224E-2</c:v>
                </c:pt>
              </c:numCache>
            </c:numRef>
          </c:val>
          <c:extLst>
            <c:ext xmlns:c16="http://schemas.microsoft.com/office/drawing/2014/chart" uri="{C3380CC4-5D6E-409C-BE32-E72D297353CC}">
              <c16:uniqueId val="{00000006-3EC2-4B1B-88B3-E0BBD92B7D0E}"/>
            </c:ext>
          </c:extLst>
        </c:ser>
        <c:ser>
          <c:idx val="6"/>
          <c:order val="6"/>
          <c:tx>
            <c:v>Other</c:v>
          </c:tx>
          <c:invertIfNegative val="0"/>
          <c:dLbls>
            <c:numFmt formatCode="0%" sourceLinked="0"/>
            <c:spPr>
              <a:noFill/>
              <a:ln>
                <a:noFill/>
              </a:ln>
              <a:effectLst/>
            </c:spPr>
            <c:txPr>
              <a:bodyPr wrap="square" lIns="38100" tIns="19050" rIns="38100" bIns="19050" anchor="ctr">
                <a:spAutoFit/>
              </a:bodyPr>
              <a:lstStyle/>
              <a:p>
                <a:pPr>
                  <a:defRPr sz="900"/>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Attendant_Data!$R$16:$R$18</c:f>
              <c:strCache>
                <c:ptCount val="3"/>
                <c:pt idx="0">
                  <c:v>Jo</c:v>
                </c:pt>
                <c:pt idx="1">
                  <c:v>Kelsey</c:v>
                </c:pt>
                <c:pt idx="2">
                  <c:v>Weston</c:v>
                </c:pt>
              </c:strCache>
            </c:strRef>
          </c:cat>
          <c:val>
            <c:numRef>
              <c:f>Attendant_Data!$Y$16:$Y$18</c:f>
              <c:numCache>
                <c:formatCode>0%</c:formatCode>
                <c:ptCount val="3"/>
                <c:pt idx="0">
                  <c:v>0.18604651162790697</c:v>
                </c:pt>
                <c:pt idx="1">
                  <c:v>0.25862068965517243</c:v>
                </c:pt>
                <c:pt idx="2">
                  <c:v>0.14035087719298245</c:v>
                </c:pt>
              </c:numCache>
            </c:numRef>
          </c:val>
          <c:extLst>
            <c:ext xmlns:c16="http://schemas.microsoft.com/office/drawing/2014/chart" uri="{C3380CC4-5D6E-409C-BE32-E72D297353CC}">
              <c16:uniqueId val="{00000007-3EC2-4B1B-88B3-E0BBD92B7D0E}"/>
            </c:ext>
          </c:extLst>
        </c:ser>
        <c:ser>
          <c:idx val="7"/>
          <c:order val="7"/>
          <c:tx>
            <c:v>Dusting</c:v>
          </c:tx>
          <c:invertIfNegative val="0"/>
          <c:dLbls>
            <c:numFmt formatCode="0%" sourceLinked="0"/>
            <c:spPr>
              <a:noFill/>
              <a:ln>
                <a:noFill/>
              </a:ln>
              <a:effectLst/>
            </c:spPr>
            <c:txPr>
              <a:bodyPr wrap="square" lIns="38100" tIns="19050" rIns="38100" bIns="19050" anchor="ctr">
                <a:spAutoFit/>
              </a:bodyPr>
              <a:lstStyle/>
              <a:p>
                <a:pPr>
                  <a:defRPr sz="900"/>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Attendant_Data!$R$16:$R$18</c:f>
              <c:strCache>
                <c:ptCount val="3"/>
                <c:pt idx="0">
                  <c:v>Jo</c:v>
                </c:pt>
                <c:pt idx="1">
                  <c:v>Kelsey</c:v>
                </c:pt>
                <c:pt idx="2">
                  <c:v>Weston</c:v>
                </c:pt>
              </c:strCache>
            </c:strRef>
          </c:cat>
          <c:val>
            <c:numRef>
              <c:f>Attendant_Data!$Z$16:$Z$18</c:f>
              <c:numCache>
                <c:formatCode>0%</c:formatCode>
                <c:ptCount val="3"/>
                <c:pt idx="0">
                  <c:v>0.13953488372093023</c:v>
                </c:pt>
                <c:pt idx="1">
                  <c:v>5.1724137931034482E-2</c:v>
                </c:pt>
                <c:pt idx="2">
                  <c:v>5.2631578947368418E-2</c:v>
                </c:pt>
              </c:numCache>
            </c:numRef>
          </c:val>
          <c:extLst>
            <c:ext xmlns:c16="http://schemas.microsoft.com/office/drawing/2014/chart" uri="{C3380CC4-5D6E-409C-BE32-E72D297353CC}">
              <c16:uniqueId val="{00000008-3EC2-4B1B-88B3-E0BBD92B7D0E}"/>
            </c:ext>
          </c:extLst>
        </c:ser>
        <c:ser>
          <c:idx val="8"/>
          <c:order val="8"/>
          <c:tx>
            <c:v>Bed/Pillows</c:v>
          </c:tx>
          <c:invertIfNegative val="0"/>
          <c:dLbls>
            <c:numFmt formatCode="0%" sourceLinked="0"/>
            <c:spPr>
              <a:noFill/>
              <a:ln>
                <a:noFill/>
              </a:ln>
              <a:effectLst/>
            </c:spPr>
            <c:txPr>
              <a:bodyPr wrap="square" lIns="38100" tIns="19050" rIns="38100" bIns="19050" anchor="ctr">
                <a:spAutoFit/>
              </a:bodyPr>
              <a:lstStyle/>
              <a:p>
                <a:pPr>
                  <a:defRPr sz="900"/>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Attendant_Data!$R$16:$R$18</c:f>
              <c:strCache>
                <c:ptCount val="3"/>
                <c:pt idx="0">
                  <c:v>Jo</c:v>
                </c:pt>
                <c:pt idx="1">
                  <c:v>Kelsey</c:v>
                </c:pt>
                <c:pt idx="2">
                  <c:v>Weston</c:v>
                </c:pt>
              </c:strCache>
            </c:strRef>
          </c:cat>
          <c:val>
            <c:numRef>
              <c:f>Attendant_Data!$AA$16:$AA$18</c:f>
              <c:numCache>
                <c:formatCode>0%</c:formatCode>
                <c:ptCount val="3"/>
                <c:pt idx="0">
                  <c:v>2.3255813953488372E-2</c:v>
                </c:pt>
                <c:pt idx="1">
                  <c:v>5.1724137931034482E-2</c:v>
                </c:pt>
                <c:pt idx="2">
                  <c:v>5.2631578947368418E-2</c:v>
                </c:pt>
              </c:numCache>
            </c:numRef>
          </c:val>
          <c:extLst>
            <c:ext xmlns:c16="http://schemas.microsoft.com/office/drawing/2014/chart" uri="{C3380CC4-5D6E-409C-BE32-E72D297353CC}">
              <c16:uniqueId val="{00000009-3EC2-4B1B-88B3-E0BBD92B7D0E}"/>
            </c:ext>
          </c:extLst>
        </c:ser>
        <c:ser>
          <c:idx val="9"/>
          <c:order val="9"/>
          <c:tx>
            <c:v>Vanity</c:v>
          </c:tx>
          <c:invertIfNegative val="0"/>
          <c:dLbls>
            <c:dLbl>
              <c:idx val="0"/>
              <c:delete val="1"/>
              <c:extLst>
                <c:ext xmlns:c15="http://schemas.microsoft.com/office/drawing/2012/chart" uri="{CE6537A1-D6FC-4f65-9D91-7224C49458BB}"/>
                <c:ext xmlns:c16="http://schemas.microsoft.com/office/drawing/2014/chart" uri="{C3380CC4-5D6E-409C-BE32-E72D297353CC}">
                  <c16:uniqueId val="{0000000B-3EC2-4B1B-88B3-E0BBD92B7D0E}"/>
                </c:ext>
              </c:extLst>
            </c:dLbl>
            <c:numFmt formatCode="0%" sourceLinked="0"/>
            <c:spPr>
              <a:noFill/>
              <a:ln>
                <a:noFill/>
              </a:ln>
              <a:effectLst/>
            </c:spPr>
            <c:txPr>
              <a:bodyPr wrap="square" lIns="38100" tIns="19050" rIns="38100" bIns="19050" anchor="ctr">
                <a:spAutoFit/>
              </a:bodyPr>
              <a:lstStyle/>
              <a:p>
                <a:pPr>
                  <a:defRPr sz="900"/>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Attendant_Data!$R$16:$R$18</c:f>
              <c:strCache>
                <c:ptCount val="3"/>
                <c:pt idx="0">
                  <c:v>Jo</c:v>
                </c:pt>
                <c:pt idx="1">
                  <c:v>Kelsey</c:v>
                </c:pt>
                <c:pt idx="2">
                  <c:v>Weston</c:v>
                </c:pt>
              </c:strCache>
            </c:strRef>
          </c:cat>
          <c:val>
            <c:numRef>
              <c:f>Attendant_Data!$AB$16:$AB$18</c:f>
              <c:numCache>
                <c:formatCode>0%</c:formatCode>
                <c:ptCount val="3"/>
                <c:pt idx="0">
                  <c:v>0</c:v>
                </c:pt>
                <c:pt idx="1">
                  <c:v>5.1724137931034482E-2</c:v>
                </c:pt>
                <c:pt idx="2">
                  <c:v>0.14035087719298245</c:v>
                </c:pt>
              </c:numCache>
            </c:numRef>
          </c:val>
          <c:extLst>
            <c:ext xmlns:c16="http://schemas.microsoft.com/office/drawing/2014/chart" uri="{C3380CC4-5D6E-409C-BE32-E72D297353CC}">
              <c16:uniqueId val="{0000000A-3EC2-4B1B-88B3-E0BBD92B7D0E}"/>
            </c:ext>
          </c:extLst>
        </c:ser>
        <c:dLbls>
          <c:showLegendKey val="0"/>
          <c:showVal val="0"/>
          <c:showCatName val="0"/>
          <c:showSerName val="0"/>
          <c:showPercent val="0"/>
          <c:showBubbleSize val="0"/>
        </c:dLbls>
        <c:gapWidth val="150"/>
        <c:overlap val="100"/>
        <c:axId val="109355343"/>
        <c:axId val="109356783"/>
      </c:barChart>
      <c:catAx>
        <c:axId val="109355343"/>
        <c:scaling>
          <c:orientation val="minMax"/>
        </c:scaling>
        <c:delete val="0"/>
        <c:axPos val="l"/>
        <c:numFmt formatCode="General" sourceLinked="1"/>
        <c:majorTickMark val="out"/>
        <c:minorTickMark val="none"/>
        <c:tickLblPos val="nextTo"/>
        <c:txPr>
          <a:bodyPr/>
          <a:lstStyle/>
          <a:p>
            <a:pPr>
              <a:defRPr sz="1600"/>
            </a:pPr>
            <a:endParaRPr lang="en-US"/>
          </a:p>
        </c:txPr>
        <c:crossAx val="109356783"/>
        <c:crosses val="autoZero"/>
        <c:auto val="1"/>
        <c:lblAlgn val="ctr"/>
        <c:lblOffset val="100"/>
        <c:noMultiLvlLbl val="0"/>
      </c:catAx>
      <c:valAx>
        <c:axId val="109356783"/>
        <c:scaling>
          <c:orientation val="minMax"/>
        </c:scaling>
        <c:delete val="0"/>
        <c:axPos val="b"/>
        <c:majorGridlines/>
        <c:numFmt formatCode="0%" sourceLinked="1"/>
        <c:majorTickMark val="out"/>
        <c:minorTickMark val="none"/>
        <c:tickLblPos val="nextTo"/>
        <c:crossAx val="109355343"/>
        <c:crosses val="autoZero"/>
        <c:crossBetween val="between"/>
      </c:valAx>
    </c:plotArea>
    <c:legend>
      <c:legendPos val="b"/>
      <c:overlay val="0"/>
      <c:txPr>
        <a:bodyPr/>
        <a:lstStyle/>
        <a:p>
          <a:pPr>
            <a:defRPr sz="14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Inspector Daily Variance vs Standard</a:t>
            </a:r>
          </a:p>
        </c:rich>
      </c:tx>
      <c:overlay val="0"/>
    </c:title>
    <c:autoTitleDeleted val="0"/>
    <c:plotArea>
      <c:layout/>
      <c:lineChart>
        <c:grouping val="standard"/>
        <c:varyColors val="0"/>
        <c:ser>
          <c:idx val="0"/>
          <c:order val="0"/>
          <c:tx>
            <c:v>Amie</c:v>
          </c:tx>
          <c:marker>
            <c:symbol val="circle"/>
            <c:size val="5"/>
          </c:marker>
          <c:cat>
            <c:numRef>
              <c:f>Inspector_Data!$S$1:$AW$1</c:f>
              <c:numCache>
                <c:formatCode>General</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Inspector_Data!$S$2:$AW$2</c:f>
              <c:numCache>
                <c:formatCode>General</c:formatCode>
                <c:ptCount val="31"/>
                <c:pt idx="0">
                  <c:v>-330</c:v>
                </c:pt>
                <c:pt idx="1">
                  <c:v>0</c:v>
                </c:pt>
                <c:pt idx="2">
                  <c:v>0</c:v>
                </c:pt>
                <c:pt idx="3">
                  <c:v>-37.000000000000057</c:v>
                </c:pt>
                <c:pt idx="4">
                  <c:v>0</c:v>
                </c:pt>
                <c:pt idx="5">
                  <c:v>0</c:v>
                </c:pt>
                <c:pt idx="6">
                  <c:v>0</c:v>
                </c:pt>
                <c:pt idx="7">
                  <c:v>0</c:v>
                </c:pt>
                <c:pt idx="8">
                  <c:v>0</c:v>
                </c:pt>
                <c:pt idx="9">
                  <c:v>0</c:v>
                </c:pt>
                <c:pt idx="10">
                  <c:v>0</c:v>
                </c:pt>
                <c:pt idx="11">
                  <c:v>0</c:v>
                </c:pt>
                <c:pt idx="12">
                  <c:v>0</c:v>
                </c:pt>
                <c:pt idx="13">
                  <c:v>-76</c:v>
                </c:pt>
                <c:pt idx="14">
                  <c:v>0</c:v>
                </c:pt>
                <c:pt idx="15">
                  <c:v>0</c:v>
                </c:pt>
                <c:pt idx="16">
                  <c:v>0</c:v>
                </c:pt>
                <c:pt idx="17">
                  <c:v>0</c:v>
                </c:pt>
                <c:pt idx="18">
                  <c:v>0</c:v>
                </c:pt>
                <c:pt idx="19">
                  <c:v>0</c:v>
                </c:pt>
                <c:pt idx="20">
                  <c:v>0</c:v>
                </c:pt>
                <c:pt idx="21">
                  <c:v>0</c:v>
                </c:pt>
                <c:pt idx="22">
                  <c:v>0</c:v>
                </c:pt>
                <c:pt idx="23">
                  <c:v>0</c:v>
                </c:pt>
                <c:pt idx="24">
                  <c:v>0</c:v>
                </c:pt>
                <c:pt idx="25">
                  <c:v>0</c:v>
                </c:pt>
                <c:pt idx="26">
                  <c:v>75</c:v>
                </c:pt>
                <c:pt idx="27">
                  <c:v>0</c:v>
                </c:pt>
                <c:pt idx="28">
                  <c:v>0</c:v>
                </c:pt>
                <c:pt idx="29">
                  <c:v>0</c:v>
                </c:pt>
                <c:pt idx="30">
                  <c:v>0</c:v>
                </c:pt>
              </c:numCache>
            </c:numRef>
          </c:val>
          <c:smooth val="0"/>
          <c:extLst>
            <c:ext xmlns:c16="http://schemas.microsoft.com/office/drawing/2014/chart" uri="{C3380CC4-5D6E-409C-BE32-E72D297353CC}">
              <c16:uniqueId val="{00000001-541A-4A20-8D6E-3531F95D73D9}"/>
            </c:ext>
          </c:extLst>
        </c:ser>
        <c:dLbls>
          <c:showLegendKey val="0"/>
          <c:showVal val="0"/>
          <c:showCatName val="0"/>
          <c:showSerName val="0"/>
          <c:showPercent val="0"/>
          <c:showBubbleSize val="0"/>
        </c:dLbls>
        <c:marker val="1"/>
        <c:smooth val="0"/>
        <c:axId val="913550592"/>
        <c:axId val="913556352"/>
      </c:lineChart>
      <c:catAx>
        <c:axId val="913550592"/>
        <c:scaling>
          <c:orientation val="minMax"/>
        </c:scaling>
        <c:delete val="0"/>
        <c:axPos val="b"/>
        <c:title>
          <c:tx>
            <c:rich>
              <a:bodyPr/>
              <a:lstStyle/>
              <a:p>
                <a:pPr>
                  <a:defRPr sz="1800"/>
                </a:pPr>
                <a:r>
                  <a:rPr lang="en-US" sz="1800"/>
                  <a:t>Day</a:t>
                </a:r>
              </a:p>
            </c:rich>
          </c:tx>
          <c:overlay val="0"/>
        </c:title>
        <c:numFmt formatCode="General" sourceLinked="1"/>
        <c:majorTickMark val="out"/>
        <c:minorTickMark val="none"/>
        <c:tickLblPos val="nextTo"/>
        <c:txPr>
          <a:bodyPr/>
          <a:lstStyle/>
          <a:p>
            <a:pPr>
              <a:defRPr sz="1200"/>
            </a:pPr>
            <a:endParaRPr lang="en-US"/>
          </a:p>
        </c:txPr>
        <c:crossAx val="913556352"/>
        <c:crossesAt val="0"/>
        <c:auto val="1"/>
        <c:lblAlgn val="ctr"/>
        <c:lblOffset val="100"/>
        <c:noMultiLvlLbl val="0"/>
      </c:catAx>
      <c:valAx>
        <c:axId val="913556352"/>
        <c:scaling>
          <c:orientation val="minMax"/>
        </c:scaling>
        <c:delete val="0"/>
        <c:axPos val="l"/>
        <c:majorGridlines/>
        <c:title>
          <c:tx>
            <c:rich>
              <a:bodyPr/>
              <a:lstStyle/>
              <a:p>
                <a:pPr>
                  <a:defRPr sz="1800"/>
                </a:pPr>
                <a:r>
                  <a:rPr lang="en-US" sz="1800"/>
                  <a:t>Minutes</a:t>
                </a:r>
              </a:p>
            </c:rich>
          </c:tx>
          <c:overlay val="0"/>
        </c:title>
        <c:numFmt formatCode="General" sourceLinked="1"/>
        <c:majorTickMark val="out"/>
        <c:minorTickMark val="none"/>
        <c:tickLblPos val="nextTo"/>
        <c:txPr>
          <a:bodyPr/>
          <a:lstStyle/>
          <a:p>
            <a:pPr>
              <a:defRPr sz="1200"/>
            </a:pPr>
            <a:endParaRPr lang="en-US"/>
          </a:p>
        </c:txPr>
        <c:crossAx val="913550592"/>
        <c:crosses val="autoZero"/>
        <c:crossBetween val="between"/>
      </c:valAx>
    </c:plotArea>
    <c:legend>
      <c:legendPos val="b"/>
      <c:overlay val="0"/>
      <c:txPr>
        <a:bodyPr/>
        <a:lstStyle/>
        <a:p>
          <a:pPr>
            <a:defRPr sz="16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400"/>
            </a:pPr>
            <a:r>
              <a:rPr lang="en-US" sz="2400"/>
              <a:t>Daily Minutes Worked</a:t>
            </a:r>
          </a:p>
        </c:rich>
      </c:tx>
      <c:overlay val="0"/>
    </c:title>
    <c:autoTitleDeleted val="0"/>
    <c:plotArea>
      <c:layout/>
      <c:barChart>
        <c:barDir val="col"/>
        <c:grouping val="stacked"/>
        <c:varyColors val="0"/>
        <c:ser>
          <c:idx val="0"/>
          <c:order val="0"/>
          <c:tx>
            <c:v>Regular Minutes</c:v>
          </c:tx>
          <c:invertIfNegative val="0"/>
          <c:cat>
            <c:strRef>
              <c:f>Inspector_Data!$S$21:$S$51</c:f>
              <c:strCache>
                <c:ptCount val="31"/>
                <c:pt idx="0">
                  <c:v>(Amie) 1</c:v>
                </c:pt>
                <c:pt idx="1">
                  <c:v>2</c:v>
                </c:pt>
                <c:pt idx="2">
                  <c:v>3</c:v>
                </c:pt>
                <c:pt idx="3">
                  <c:v>(Amie) 4</c:v>
                </c:pt>
                <c:pt idx="4">
                  <c:v>5</c:v>
                </c:pt>
                <c:pt idx="5">
                  <c:v>6</c:v>
                </c:pt>
                <c:pt idx="6">
                  <c:v>7</c:v>
                </c:pt>
                <c:pt idx="7">
                  <c:v>8</c:v>
                </c:pt>
                <c:pt idx="8">
                  <c:v>9</c:v>
                </c:pt>
                <c:pt idx="9">
                  <c:v>10</c:v>
                </c:pt>
                <c:pt idx="10">
                  <c:v>11</c:v>
                </c:pt>
                <c:pt idx="11">
                  <c:v>12</c:v>
                </c:pt>
                <c:pt idx="12">
                  <c:v>13</c:v>
                </c:pt>
                <c:pt idx="13">
                  <c:v>(Amie) 14</c:v>
                </c:pt>
                <c:pt idx="14">
                  <c:v>15</c:v>
                </c:pt>
                <c:pt idx="15">
                  <c:v>16</c:v>
                </c:pt>
                <c:pt idx="16">
                  <c:v>17</c:v>
                </c:pt>
                <c:pt idx="17">
                  <c:v>18</c:v>
                </c:pt>
                <c:pt idx="18">
                  <c:v>19</c:v>
                </c:pt>
                <c:pt idx="19">
                  <c:v>20</c:v>
                </c:pt>
                <c:pt idx="20">
                  <c:v>21</c:v>
                </c:pt>
                <c:pt idx="21">
                  <c:v>22</c:v>
                </c:pt>
                <c:pt idx="22">
                  <c:v>23</c:v>
                </c:pt>
                <c:pt idx="23">
                  <c:v>24</c:v>
                </c:pt>
                <c:pt idx="24">
                  <c:v>25</c:v>
                </c:pt>
                <c:pt idx="25">
                  <c:v>26</c:v>
                </c:pt>
                <c:pt idx="26">
                  <c:v>(Amie) 27</c:v>
                </c:pt>
                <c:pt idx="27">
                  <c:v>28</c:v>
                </c:pt>
                <c:pt idx="28">
                  <c:v>29</c:v>
                </c:pt>
                <c:pt idx="29">
                  <c:v>30</c:v>
                </c:pt>
                <c:pt idx="30">
                  <c:v>31</c:v>
                </c:pt>
              </c:strCache>
            </c:strRef>
          </c:cat>
          <c:val>
            <c:numRef>
              <c:f>Inspector_Data!$T$21:$T$51</c:f>
              <c:numCache>
                <c:formatCode>General</c:formatCode>
                <c:ptCount val="31"/>
                <c:pt idx="0">
                  <c:v>405</c:v>
                </c:pt>
                <c:pt idx="1">
                  <c:v>0</c:v>
                </c:pt>
                <c:pt idx="2">
                  <c:v>0</c:v>
                </c:pt>
                <c:pt idx="3">
                  <c:v>112.00000000000006</c:v>
                </c:pt>
                <c:pt idx="4">
                  <c:v>0</c:v>
                </c:pt>
                <c:pt idx="5">
                  <c:v>0</c:v>
                </c:pt>
                <c:pt idx="6">
                  <c:v>0</c:v>
                </c:pt>
                <c:pt idx="7">
                  <c:v>0</c:v>
                </c:pt>
                <c:pt idx="8">
                  <c:v>0</c:v>
                </c:pt>
                <c:pt idx="9">
                  <c:v>0</c:v>
                </c:pt>
                <c:pt idx="10">
                  <c:v>0</c:v>
                </c:pt>
                <c:pt idx="11">
                  <c:v>0</c:v>
                </c:pt>
                <c:pt idx="12">
                  <c:v>0</c:v>
                </c:pt>
                <c:pt idx="13">
                  <c:v>171</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1-92EF-4437-A371-A897A72BDD52}"/>
            </c:ext>
          </c:extLst>
        </c:ser>
        <c:ser>
          <c:idx val="1"/>
          <c:order val="1"/>
          <c:tx>
            <c:v>Special Minutes</c:v>
          </c:tx>
          <c:invertIfNegative val="0"/>
          <c:cat>
            <c:strRef>
              <c:f>Inspector_Data!$S$21:$S$51</c:f>
              <c:strCache>
                <c:ptCount val="31"/>
                <c:pt idx="0">
                  <c:v>(Amie) 1</c:v>
                </c:pt>
                <c:pt idx="1">
                  <c:v>2</c:v>
                </c:pt>
                <c:pt idx="2">
                  <c:v>3</c:v>
                </c:pt>
                <c:pt idx="3">
                  <c:v>(Amie) 4</c:v>
                </c:pt>
                <c:pt idx="4">
                  <c:v>5</c:v>
                </c:pt>
                <c:pt idx="5">
                  <c:v>6</c:v>
                </c:pt>
                <c:pt idx="6">
                  <c:v>7</c:v>
                </c:pt>
                <c:pt idx="7">
                  <c:v>8</c:v>
                </c:pt>
                <c:pt idx="8">
                  <c:v>9</c:v>
                </c:pt>
                <c:pt idx="9">
                  <c:v>10</c:v>
                </c:pt>
                <c:pt idx="10">
                  <c:v>11</c:v>
                </c:pt>
                <c:pt idx="11">
                  <c:v>12</c:v>
                </c:pt>
                <c:pt idx="12">
                  <c:v>13</c:v>
                </c:pt>
                <c:pt idx="13">
                  <c:v>(Amie) 14</c:v>
                </c:pt>
                <c:pt idx="14">
                  <c:v>15</c:v>
                </c:pt>
                <c:pt idx="15">
                  <c:v>16</c:v>
                </c:pt>
                <c:pt idx="16">
                  <c:v>17</c:v>
                </c:pt>
                <c:pt idx="17">
                  <c:v>18</c:v>
                </c:pt>
                <c:pt idx="18">
                  <c:v>19</c:v>
                </c:pt>
                <c:pt idx="19">
                  <c:v>20</c:v>
                </c:pt>
                <c:pt idx="20">
                  <c:v>21</c:v>
                </c:pt>
                <c:pt idx="21">
                  <c:v>22</c:v>
                </c:pt>
                <c:pt idx="22">
                  <c:v>23</c:v>
                </c:pt>
                <c:pt idx="23">
                  <c:v>24</c:v>
                </c:pt>
                <c:pt idx="24">
                  <c:v>25</c:v>
                </c:pt>
                <c:pt idx="25">
                  <c:v>26</c:v>
                </c:pt>
                <c:pt idx="26">
                  <c:v>(Amie) 27</c:v>
                </c:pt>
                <c:pt idx="27">
                  <c:v>28</c:v>
                </c:pt>
                <c:pt idx="28">
                  <c:v>29</c:v>
                </c:pt>
                <c:pt idx="29">
                  <c:v>30</c:v>
                </c:pt>
                <c:pt idx="30">
                  <c:v>31</c:v>
                </c:pt>
              </c:strCache>
            </c:strRef>
          </c:cat>
          <c:val>
            <c:numRef>
              <c:f>Inspector_Data!$U$21:$U$51</c:f>
              <c:numCache>
                <c:formatCode>General</c:formatCode>
                <c:ptCount val="31"/>
                <c:pt idx="0">
                  <c:v>0</c:v>
                </c:pt>
                <c:pt idx="1">
                  <c:v>0</c:v>
                </c:pt>
                <c:pt idx="2">
                  <c:v>0</c:v>
                </c:pt>
                <c:pt idx="3">
                  <c:v>180</c:v>
                </c:pt>
                <c:pt idx="4">
                  <c:v>0</c:v>
                </c:pt>
                <c:pt idx="5">
                  <c:v>0</c:v>
                </c:pt>
                <c:pt idx="6">
                  <c:v>0</c:v>
                </c:pt>
                <c:pt idx="7">
                  <c:v>0</c:v>
                </c:pt>
                <c:pt idx="8">
                  <c:v>0</c:v>
                </c:pt>
                <c:pt idx="9">
                  <c:v>0</c:v>
                </c:pt>
                <c:pt idx="10">
                  <c:v>0</c:v>
                </c:pt>
                <c:pt idx="11">
                  <c:v>0</c:v>
                </c:pt>
                <c:pt idx="12">
                  <c:v>0</c:v>
                </c:pt>
                <c:pt idx="13">
                  <c:v>120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extLst>
            <c:ext xmlns:c16="http://schemas.microsoft.com/office/drawing/2014/chart" uri="{C3380CC4-5D6E-409C-BE32-E72D297353CC}">
              <c16:uniqueId val="{00000002-92EF-4437-A371-A897A72BDD52}"/>
            </c:ext>
          </c:extLst>
        </c:ser>
        <c:dLbls>
          <c:showLegendKey val="0"/>
          <c:showVal val="0"/>
          <c:showCatName val="0"/>
          <c:showSerName val="0"/>
          <c:showPercent val="0"/>
          <c:showBubbleSize val="0"/>
        </c:dLbls>
        <c:gapWidth val="150"/>
        <c:overlap val="100"/>
        <c:axId val="913559712"/>
        <c:axId val="913560192"/>
      </c:barChart>
      <c:catAx>
        <c:axId val="913559712"/>
        <c:scaling>
          <c:orientation val="minMax"/>
        </c:scaling>
        <c:delete val="0"/>
        <c:axPos val="b"/>
        <c:title>
          <c:tx>
            <c:rich>
              <a:bodyPr/>
              <a:lstStyle/>
              <a:p>
                <a:pPr>
                  <a:defRPr sz="1800"/>
                </a:pPr>
                <a:r>
                  <a:rPr lang="en-US" sz="1800"/>
                  <a:t>Day</a:t>
                </a:r>
              </a:p>
            </c:rich>
          </c:tx>
          <c:overlay val="0"/>
        </c:title>
        <c:numFmt formatCode="General" sourceLinked="1"/>
        <c:majorTickMark val="out"/>
        <c:minorTickMark val="none"/>
        <c:tickLblPos val="nextTo"/>
        <c:txPr>
          <a:bodyPr rot="-2700000" vert="horz"/>
          <a:lstStyle/>
          <a:p>
            <a:pPr>
              <a:defRPr sz="1100"/>
            </a:pPr>
            <a:endParaRPr lang="en-US"/>
          </a:p>
        </c:txPr>
        <c:crossAx val="913560192"/>
        <c:crosses val="autoZero"/>
        <c:auto val="1"/>
        <c:lblAlgn val="ctr"/>
        <c:lblOffset val="100"/>
        <c:noMultiLvlLbl val="0"/>
      </c:catAx>
      <c:valAx>
        <c:axId val="913560192"/>
        <c:scaling>
          <c:orientation val="minMax"/>
        </c:scaling>
        <c:delete val="0"/>
        <c:axPos val="l"/>
        <c:majorGridlines/>
        <c:title>
          <c:tx>
            <c:rich>
              <a:bodyPr/>
              <a:lstStyle/>
              <a:p>
                <a:pPr>
                  <a:defRPr sz="1800"/>
                </a:pPr>
                <a:r>
                  <a:rPr lang="en-US" sz="1800"/>
                  <a:t>Minutes</a:t>
                </a:r>
              </a:p>
            </c:rich>
          </c:tx>
          <c:overlay val="0"/>
        </c:title>
        <c:numFmt formatCode="General" sourceLinked="1"/>
        <c:majorTickMark val="out"/>
        <c:minorTickMark val="none"/>
        <c:tickLblPos val="nextTo"/>
        <c:txPr>
          <a:bodyPr/>
          <a:lstStyle/>
          <a:p>
            <a:pPr>
              <a:defRPr sz="1200"/>
            </a:pPr>
            <a:endParaRPr lang="en-US"/>
          </a:p>
        </c:txPr>
        <c:crossAx val="913559712"/>
        <c:crosses val="autoZero"/>
        <c:crossBetween val="between"/>
      </c:valAx>
    </c:plotArea>
    <c:legend>
      <c:legendPos val="b"/>
      <c:overlay val="0"/>
      <c:txPr>
        <a:bodyPr/>
        <a:lstStyle/>
        <a:p>
          <a:pPr>
            <a:defRPr sz="1600"/>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lineChart>
        <c:grouping val="standard"/>
        <c:varyColors val="0"/>
        <c:ser>
          <c:idx val="1"/>
          <c:order val="1"/>
          <c:tx>
            <c:strRef>
              <c:f>WeeklyPerformanceReport!$AF$8:$AG$8</c:f>
              <c:strCache>
                <c:ptCount val="2"/>
                <c:pt idx="0">
                  <c:v>0</c:v>
                </c:pt>
              </c:strCache>
              <c:extLst xmlns:c15="http://schemas.microsoft.com/office/drawing/2012/chart"/>
            </c:strRef>
          </c:tx>
          <c:spPr>
            <a:ln w="57150" cap="rnd">
              <a:solidFill>
                <a:schemeClr val="accent1">
                  <a:shade val="51000"/>
                </a:schemeClr>
              </a:solidFill>
              <a:round/>
            </a:ln>
            <a:effectLst/>
          </c:spPr>
          <c:marker>
            <c:symbol val="circle"/>
            <c:size val="8"/>
            <c:spPr>
              <a:solidFill>
                <a:schemeClr val="accent1">
                  <a:shade val="51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f>WeeklyPerformanceReport!$AH$6:$AS$6</c:f>
              <c:strCache>
                <c:ptCount val="12"/>
                <c:pt idx="0">
                  <c:v>Wk 1</c:v>
                </c:pt>
                <c:pt idx="1">
                  <c:v>Wk 2</c:v>
                </c:pt>
                <c:pt idx="2">
                  <c:v>Wk 3</c:v>
                </c:pt>
                <c:pt idx="3">
                  <c:v>Wk 4</c:v>
                </c:pt>
                <c:pt idx="4">
                  <c:v>Wk 5</c:v>
                </c:pt>
                <c:pt idx="5">
                  <c:v>Wk 6</c:v>
                </c:pt>
                <c:pt idx="6">
                  <c:v>Wk 7</c:v>
                </c:pt>
                <c:pt idx="7">
                  <c:v>Wk8</c:v>
                </c:pt>
                <c:pt idx="8">
                  <c:v>Wk9</c:v>
                </c:pt>
                <c:pt idx="9">
                  <c:v>Wk10</c:v>
                </c:pt>
                <c:pt idx="10">
                  <c:v>Wk11</c:v>
                </c:pt>
                <c:pt idx="11">
                  <c:v>Wk 12</c:v>
                </c:pt>
              </c:strCache>
              <c:extLst xmlns:c15="http://schemas.microsoft.com/office/drawing/2012/chart"/>
            </c:strRef>
          </c:cat>
          <c:val>
            <c:numRef>
              <c:f>WeeklyPerformanceReport!$AH$8:$AS$8</c:f>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A8CA-4AE3-9F9A-689460B414C9}"/>
            </c:ext>
          </c:extLst>
        </c:ser>
        <c:dLbls>
          <c:dLblPos val="ctr"/>
          <c:showLegendKey val="0"/>
          <c:showVal val="1"/>
          <c:showCatName val="0"/>
          <c:showSerName val="0"/>
          <c:showPercent val="0"/>
          <c:showBubbleSize val="0"/>
        </c:dLbls>
        <c:marker val="1"/>
        <c:smooth val="0"/>
        <c:axId val="973845039"/>
        <c:axId val="973847439"/>
        <c:extLst>
          <c:ext xmlns:c15="http://schemas.microsoft.com/office/drawing/2012/chart" uri="{02D57815-91ED-43cb-92C2-25804820EDAC}">
            <c15:filteredLineSeries>
              <c15:ser>
                <c:idx val="0"/>
                <c:order val="0"/>
                <c:tx>
                  <c:strRef>
                    <c:extLst>
                      <c:ext uri="{02D57815-91ED-43cb-92C2-25804820EDAC}">
                        <c15:formulaRef>
                          <c15:sqref>WeeklyPerformanceReport!$AF$7:$AG$7</c15:sqref>
                        </c15:formulaRef>
                      </c:ext>
                    </c:extLst>
                    <c:strCache>
                      <c:ptCount val="2"/>
                      <c:pt idx="0">
                        <c:v>0</c:v>
                      </c:pt>
                    </c:strCache>
                  </c:strRef>
                </c:tx>
                <c:spPr>
                  <a:ln w="38100" cap="rnd">
                    <a:solidFill>
                      <a:schemeClr val="accent1">
                        <a:shade val="40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uri="{CE6537A1-D6FC-4f65-9D91-7224C49458BB}">
                      <c15:showLeaderLines val="1"/>
                      <c15:leaderLines>
                        <c:spPr>
                          <a:ln w="9525">
                            <a:solidFill>
                              <a:schemeClr val="tx1">
                                <a:lumMod val="35000"/>
                                <a:lumOff val="65000"/>
                              </a:schemeClr>
                            </a:solidFill>
                          </a:ln>
                          <a:effectLst/>
                        </c:spPr>
                      </c15:leaderLines>
                    </c:ext>
                  </c:extLst>
                </c:dLbls>
                <c:cat>
                  <c:strRef>
                    <c:extLst>
                      <c:ext uri="{02D57815-91ED-43cb-92C2-25804820EDAC}">
                        <c15:formulaRef>
                          <c15:sqref>WeeklyPerformanceReport!$AH$6:$AS$6</c15:sqref>
                        </c15:formulaRef>
                      </c:ext>
                    </c:extLst>
                    <c:strCache>
                      <c:ptCount val="12"/>
                      <c:pt idx="0">
                        <c:v>Wk 1</c:v>
                      </c:pt>
                      <c:pt idx="1">
                        <c:v>Wk 2</c:v>
                      </c:pt>
                      <c:pt idx="2">
                        <c:v>Wk 3</c:v>
                      </c:pt>
                      <c:pt idx="3">
                        <c:v>Wk 4</c:v>
                      </c:pt>
                      <c:pt idx="4">
                        <c:v>Wk 5</c:v>
                      </c:pt>
                      <c:pt idx="5">
                        <c:v>Wk 6</c:v>
                      </c:pt>
                      <c:pt idx="6">
                        <c:v>Wk 7</c:v>
                      </c:pt>
                      <c:pt idx="7">
                        <c:v>Wk8</c:v>
                      </c:pt>
                      <c:pt idx="8">
                        <c:v>Wk9</c:v>
                      </c:pt>
                      <c:pt idx="9">
                        <c:v>Wk10</c:v>
                      </c:pt>
                      <c:pt idx="10">
                        <c:v>Wk11</c:v>
                      </c:pt>
                      <c:pt idx="11">
                        <c:v>Wk 12</c:v>
                      </c:pt>
                    </c:strCache>
                  </c:strRef>
                </c:cat>
                <c:val>
                  <c:numRef>
                    <c:extLst>
                      <c:ext uri="{02D57815-91ED-43cb-92C2-25804820EDAC}">
                        <c15:formulaRef>
                          <c15:sqref>WeeklyPerformanceReport!$AH$7:$AS$7</c15:sqref>
                        </c15:formulaRef>
                      </c:ext>
                    </c:extLst>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c:ext xmlns:c16="http://schemas.microsoft.com/office/drawing/2014/chart" uri="{C3380CC4-5D6E-409C-BE32-E72D297353CC}">
                    <c16:uniqueId val="{0000000B-A8CA-4AE3-9F9A-689460B414C9}"/>
                  </c:ext>
                </c:extLst>
              </c15:ser>
            </c15:filteredLineSeries>
            <c15:filteredLineSeries>
              <c15:ser>
                <c:idx val="2"/>
                <c:order val="2"/>
                <c:tx>
                  <c:strRef>
                    <c:extLst xmlns:c15="http://schemas.microsoft.com/office/drawing/2012/chart">
                      <c:ext xmlns:c15="http://schemas.microsoft.com/office/drawing/2012/chart" uri="{02D57815-91ED-43cb-92C2-25804820EDAC}">
                        <c15:formulaRef>
                          <c15:sqref>WeeklyPerformanceReport!$AF$9:$AG$9</c15:sqref>
                        </c15:formulaRef>
                      </c:ext>
                    </c:extLst>
                    <c:strCache>
                      <c:ptCount val="2"/>
                      <c:pt idx="0">
                        <c:v>0</c:v>
                      </c:pt>
                    </c:strCache>
                  </c:strRef>
                </c:tx>
                <c:spPr>
                  <a:ln w="38100" cap="rnd">
                    <a:solidFill>
                      <a:schemeClr val="accent1">
                        <a:shade val="62000"/>
                      </a:schemeClr>
                    </a:solidFill>
                    <a:round/>
                  </a:ln>
                  <a:effectLst/>
                </c:spPr>
                <c:marker>
                  <c:symbol val="circle"/>
                  <c:size val="8"/>
                  <c:spPr>
                    <a:solidFill>
                      <a:schemeClr val="accent1">
                        <a:shade val="62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WeeklyPerformanceReport!$AH$6:$AS$6</c15:sqref>
                        </c15:formulaRef>
                      </c:ext>
                    </c:extLst>
                    <c:strCache>
                      <c:ptCount val="12"/>
                      <c:pt idx="0">
                        <c:v>Wk 1</c:v>
                      </c:pt>
                      <c:pt idx="1">
                        <c:v>Wk 2</c:v>
                      </c:pt>
                      <c:pt idx="2">
                        <c:v>Wk 3</c:v>
                      </c:pt>
                      <c:pt idx="3">
                        <c:v>Wk 4</c:v>
                      </c:pt>
                      <c:pt idx="4">
                        <c:v>Wk 5</c:v>
                      </c:pt>
                      <c:pt idx="5">
                        <c:v>Wk 6</c:v>
                      </c:pt>
                      <c:pt idx="6">
                        <c:v>Wk 7</c:v>
                      </c:pt>
                      <c:pt idx="7">
                        <c:v>Wk8</c:v>
                      </c:pt>
                      <c:pt idx="8">
                        <c:v>Wk9</c:v>
                      </c:pt>
                      <c:pt idx="9">
                        <c:v>Wk10</c:v>
                      </c:pt>
                      <c:pt idx="10">
                        <c:v>Wk11</c:v>
                      </c:pt>
                      <c:pt idx="11">
                        <c:v>Wk 12</c:v>
                      </c:pt>
                    </c:strCache>
                  </c:strRef>
                </c:cat>
                <c:val>
                  <c:numRef>
                    <c:extLst xmlns:c15="http://schemas.microsoft.com/office/drawing/2012/chart">
                      <c:ext xmlns:c15="http://schemas.microsoft.com/office/drawing/2012/chart" uri="{02D57815-91ED-43cb-92C2-25804820EDAC}">
                        <c15:formulaRef>
                          <c15:sqref>WeeklyPerformanceReport!$AH$9:$AS$9</c15:sqref>
                        </c15:formulaRef>
                      </c:ext>
                    </c:extLst>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1-A8CA-4AE3-9F9A-689460B414C9}"/>
                  </c:ext>
                </c:extLst>
              </c15:ser>
            </c15:filteredLineSeries>
            <c15:filteredLineSeries>
              <c15:ser>
                <c:idx val="3"/>
                <c:order val="3"/>
                <c:tx>
                  <c:strRef>
                    <c:extLst xmlns:c15="http://schemas.microsoft.com/office/drawing/2012/chart">
                      <c:ext xmlns:c15="http://schemas.microsoft.com/office/drawing/2012/chart" uri="{02D57815-91ED-43cb-92C2-25804820EDAC}">
                        <c15:formulaRef>
                          <c15:sqref>WeeklyPerformanceReport!$AF$10:$AG$10</c15:sqref>
                        </c15:formulaRef>
                      </c:ext>
                    </c:extLst>
                    <c:strCache>
                      <c:ptCount val="2"/>
                      <c:pt idx="0">
                        <c:v>0</c:v>
                      </c:pt>
                    </c:strCache>
                  </c:strRef>
                </c:tx>
                <c:spPr>
                  <a:ln w="38100" cap="rnd">
                    <a:solidFill>
                      <a:schemeClr val="accent1">
                        <a:shade val="73000"/>
                      </a:schemeClr>
                    </a:solidFill>
                    <a:round/>
                  </a:ln>
                  <a:effectLst/>
                </c:spPr>
                <c:marker>
                  <c:symbol val="circle"/>
                  <c:size val="8"/>
                  <c:spPr>
                    <a:solidFill>
                      <a:schemeClr val="accent1">
                        <a:shade val="73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WeeklyPerformanceReport!$AH$6:$AS$6</c15:sqref>
                        </c15:formulaRef>
                      </c:ext>
                    </c:extLst>
                    <c:strCache>
                      <c:ptCount val="12"/>
                      <c:pt idx="0">
                        <c:v>Wk 1</c:v>
                      </c:pt>
                      <c:pt idx="1">
                        <c:v>Wk 2</c:v>
                      </c:pt>
                      <c:pt idx="2">
                        <c:v>Wk 3</c:v>
                      </c:pt>
                      <c:pt idx="3">
                        <c:v>Wk 4</c:v>
                      </c:pt>
                      <c:pt idx="4">
                        <c:v>Wk 5</c:v>
                      </c:pt>
                      <c:pt idx="5">
                        <c:v>Wk 6</c:v>
                      </c:pt>
                      <c:pt idx="6">
                        <c:v>Wk 7</c:v>
                      </c:pt>
                      <c:pt idx="7">
                        <c:v>Wk8</c:v>
                      </c:pt>
                      <c:pt idx="8">
                        <c:v>Wk9</c:v>
                      </c:pt>
                      <c:pt idx="9">
                        <c:v>Wk10</c:v>
                      </c:pt>
                      <c:pt idx="10">
                        <c:v>Wk11</c:v>
                      </c:pt>
                      <c:pt idx="11">
                        <c:v>Wk 12</c:v>
                      </c:pt>
                    </c:strCache>
                  </c:strRef>
                </c:cat>
                <c:val>
                  <c:numRef>
                    <c:extLst xmlns:c15="http://schemas.microsoft.com/office/drawing/2012/chart">
                      <c:ext xmlns:c15="http://schemas.microsoft.com/office/drawing/2012/chart" uri="{02D57815-91ED-43cb-92C2-25804820EDAC}">
                        <c15:formulaRef>
                          <c15:sqref>WeeklyPerformanceReport!$AH$10:$AS$10</c15:sqref>
                        </c15:formulaRef>
                      </c:ext>
                    </c:extLst>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2-A8CA-4AE3-9F9A-689460B414C9}"/>
                  </c:ext>
                </c:extLst>
              </c15:ser>
            </c15:filteredLineSeries>
            <c15:filteredLineSeries>
              <c15:ser>
                <c:idx val="4"/>
                <c:order val="4"/>
                <c:tx>
                  <c:strRef>
                    <c:extLst xmlns:c15="http://schemas.microsoft.com/office/drawing/2012/chart">
                      <c:ext xmlns:c15="http://schemas.microsoft.com/office/drawing/2012/chart" uri="{02D57815-91ED-43cb-92C2-25804820EDAC}">
                        <c15:formulaRef>
                          <c15:sqref>WeeklyPerformanceReport!$AF$11:$AG$11</c15:sqref>
                        </c15:formulaRef>
                      </c:ext>
                    </c:extLst>
                    <c:strCache>
                      <c:ptCount val="2"/>
                      <c:pt idx="0">
                        <c:v>0</c:v>
                      </c:pt>
                    </c:strCache>
                  </c:strRef>
                </c:tx>
                <c:spPr>
                  <a:ln w="38100" cap="rnd">
                    <a:solidFill>
                      <a:schemeClr val="accent1">
                        <a:shade val="83000"/>
                      </a:schemeClr>
                    </a:solidFill>
                    <a:round/>
                  </a:ln>
                  <a:effectLst/>
                </c:spPr>
                <c:marker>
                  <c:symbol val="circle"/>
                  <c:size val="8"/>
                  <c:spPr>
                    <a:solidFill>
                      <a:schemeClr val="accent1">
                        <a:shade val="83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WeeklyPerformanceReport!$AH$6:$AS$6</c15:sqref>
                        </c15:formulaRef>
                      </c:ext>
                    </c:extLst>
                    <c:strCache>
                      <c:ptCount val="12"/>
                      <c:pt idx="0">
                        <c:v>Wk 1</c:v>
                      </c:pt>
                      <c:pt idx="1">
                        <c:v>Wk 2</c:v>
                      </c:pt>
                      <c:pt idx="2">
                        <c:v>Wk 3</c:v>
                      </c:pt>
                      <c:pt idx="3">
                        <c:v>Wk 4</c:v>
                      </c:pt>
                      <c:pt idx="4">
                        <c:v>Wk 5</c:v>
                      </c:pt>
                      <c:pt idx="5">
                        <c:v>Wk 6</c:v>
                      </c:pt>
                      <c:pt idx="6">
                        <c:v>Wk 7</c:v>
                      </c:pt>
                      <c:pt idx="7">
                        <c:v>Wk8</c:v>
                      </c:pt>
                      <c:pt idx="8">
                        <c:v>Wk9</c:v>
                      </c:pt>
                      <c:pt idx="9">
                        <c:v>Wk10</c:v>
                      </c:pt>
                      <c:pt idx="10">
                        <c:v>Wk11</c:v>
                      </c:pt>
                      <c:pt idx="11">
                        <c:v>Wk 12</c:v>
                      </c:pt>
                    </c:strCache>
                  </c:strRef>
                </c:cat>
                <c:val>
                  <c:numRef>
                    <c:extLst xmlns:c15="http://schemas.microsoft.com/office/drawing/2012/chart">
                      <c:ext xmlns:c15="http://schemas.microsoft.com/office/drawing/2012/chart" uri="{02D57815-91ED-43cb-92C2-25804820EDAC}">
                        <c15:formulaRef>
                          <c15:sqref>WeeklyPerformanceReport!$AH$11:$AS$11</c15:sqref>
                        </c15:formulaRef>
                      </c:ext>
                    </c:extLst>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3-A8CA-4AE3-9F9A-689460B414C9}"/>
                  </c:ext>
                </c:extLst>
              </c15:ser>
            </c15:filteredLineSeries>
            <c15:filteredLineSeries>
              <c15:ser>
                <c:idx val="5"/>
                <c:order val="5"/>
                <c:tx>
                  <c:strRef>
                    <c:extLst xmlns:c15="http://schemas.microsoft.com/office/drawing/2012/chart">
                      <c:ext xmlns:c15="http://schemas.microsoft.com/office/drawing/2012/chart" uri="{02D57815-91ED-43cb-92C2-25804820EDAC}">
                        <c15:formulaRef>
                          <c15:sqref>WeeklyPerformanceReport!$AF$12:$AG$12</c15:sqref>
                        </c15:formulaRef>
                      </c:ext>
                    </c:extLst>
                    <c:strCache>
                      <c:ptCount val="2"/>
                      <c:pt idx="0">
                        <c:v>0</c:v>
                      </c:pt>
                    </c:strCache>
                  </c:strRef>
                </c:tx>
                <c:spPr>
                  <a:ln w="38100" cap="rnd">
                    <a:solidFill>
                      <a:schemeClr val="accent1">
                        <a:shade val="94000"/>
                      </a:schemeClr>
                    </a:solidFill>
                    <a:round/>
                  </a:ln>
                  <a:effectLst/>
                </c:spPr>
                <c:marker>
                  <c:symbol val="circle"/>
                  <c:size val="8"/>
                  <c:spPr>
                    <a:solidFill>
                      <a:schemeClr val="accent1">
                        <a:shade val="94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WeeklyPerformanceReport!$AH$6:$AS$6</c15:sqref>
                        </c15:formulaRef>
                      </c:ext>
                    </c:extLst>
                    <c:strCache>
                      <c:ptCount val="12"/>
                      <c:pt idx="0">
                        <c:v>Wk 1</c:v>
                      </c:pt>
                      <c:pt idx="1">
                        <c:v>Wk 2</c:v>
                      </c:pt>
                      <c:pt idx="2">
                        <c:v>Wk 3</c:v>
                      </c:pt>
                      <c:pt idx="3">
                        <c:v>Wk 4</c:v>
                      </c:pt>
                      <c:pt idx="4">
                        <c:v>Wk 5</c:v>
                      </c:pt>
                      <c:pt idx="5">
                        <c:v>Wk 6</c:v>
                      </c:pt>
                      <c:pt idx="6">
                        <c:v>Wk 7</c:v>
                      </c:pt>
                      <c:pt idx="7">
                        <c:v>Wk8</c:v>
                      </c:pt>
                      <c:pt idx="8">
                        <c:v>Wk9</c:v>
                      </c:pt>
                      <c:pt idx="9">
                        <c:v>Wk10</c:v>
                      </c:pt>
                      <c:pt idx="10">
                        <c:v>Wk11</c:v>
                      </c:pt>
                      <c:pt idx="11">
                        <c:v>Wk 12</c:v>
                      </c:pt>
                    </c:strCache>
                  </c:strRef>
                </c:cat>
                <c:val>
                  <c:numRef>
                    <c:extLst xmlns:c15="http://schemas.microsoft.com/office/drawing/2012/chart">
                      <c:ext xmlns:c15="http://schemas.microsoft.com/office/drawing/2012/chart" uri="{02D57815-91ED-43cb-92C2-25804820EDAC}">
                        <c15:formulaRef>
                          <c15:sqref>WeeklyPerformanceReport!$AH$12:$AS$12</c15:sqref>
                        </c15:formulaRef>
                      </c:ext>
                    </c:extLst>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4-A8CA-4AE3-9F9A-689460B414C9}"/>
                  </c:ext>
                </c:extLst>
              </c15:ser>
            </c15:filteredLineSeries>
            <c15:filteredLineSeries>
              <c15:ser>
                <c:idx val="6"/>
                <c:order val="6"/>
                <c:tx>
                  <c:strRef>
                    <c:extLst xmlns:c15="http://schemas.microsoft.com/office/drawing/2012/chart">
                      <c:ext xmlns:c15="http://schemas.microsoft.com/office/drawing/2012/chart" uri="{02D57815-91ED-43cb-92C2-25804820EDAC}">
                        <c15:formulaRef>
                          <c15:sqref>WeeklyPerformanceReport!$AF$13:$AG$13</c15:sqref>
                        </c15:formulaRef>
                      </c:ext>
                    </c:extLst>
                    <c:strCache>
                      <c:ptCount val="2"/>
                      <c:pt idx="0">
                        <c:v>0</c:v>
                      </c:pt>
                    </c:strCache>
                  </c:strRef>
                </c:tx>
                <c:spPr>
                  <a:ln w="38100" cap="rnd">
                    <a:solidFill>
                      <a:schemeClr val="accent1">
                        <a:tint val="95000"/>
                      </a:schemeClr>
                    </a:solidFill>
                    <a:round/>
                  </a:ln>
                  <a:effectLst/>
                </c:spPr>
                <c:marker>
                  <c:symbol val="circle"/>
                  <c:size val="8"/>
                  <c:spPr>
                    <a:solidFill>
                      <a:schemeClr val="accent1">
                        <a:tint val="95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WeeklyPerformanceReport!$AH$6:$AS$6</c15:sqref>
                        </c15:formulaRef>
                      </c:ext>
                    </c:extLst>
                    <c:strCache>
                      <c:ptCount val="12"/>
                      <c:pt idx="0">
                        <c:v>Wk 1</c:v>
                      </c:pt>
                      <c:pt idx="1">
                        <c:v>Wk 2</c:v>
                      </c:pt>
                      <c:pt idx="2">
                        <c:v>Wk 3</c:v>
                      </c:pt>
                      <c:pt idx="3">
                        <c:v>Wk 4</c:v>
                      </c:pt>
                      <c:pt idx="4">
                        <c:v>Wk 5</c:v>
                      </c:pt>
                      <c:pt idx="5">
                        <c:v>Wk 6</c:v>
                      </c:pt>
                      <c:pt idx="6">
                        <c:v>Wk 7</c:v>
                      </c:pt>
                      <c:pt idx="7">
                        <c:v>Wk8</c:v>
                      </c:pt>
                      <c:pt idx="8">
                        <c:v>Wk9</c:v>
                      </c:pt>
                      <c:pt idx="9">
                        <c:v>Wk10</c:v>
                      </c:pt>
                      <c:pt idx="10">
                        <c:v>Wk11</c:v>
                      </c:pt>
                      <c:pt idx="11">
                        <c:v>Wk 12</c:v>
                      </c:pt>
                    </c:strCache>
                  </c:strRef>
                </c:cat>
                <c:val>
                  <c:numRef>
                    <c:extLst xmlns:c15="http://schemas.microsoft.com/office/drawing/2012/chart">
                      <c:ext xmlns:c15="http://schemas.microsoft.com/office/drawing/2012/chart" uri="{02D57815-91ED-43cb-92C2-25804820EDAC}">
                        <c15:formulaRef>
                          <c15:sqref>WeeklyPerformanceReport!$AH$13:$AS$13</c15:sqref>
                        </c15:formulaRef>
                      </c:ext>
                    </c:extLst>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5-A8CA-4AE3-9F9A-689460B414C9}"/>
                  </c:ext>
                </c:extLst>
              </c15:ser>
            </c15:filteredLineSeries>
            <c15:filteredLineSeries>
              <c15:ser>
                <c:idx val="7"/>
                <c:order val="7"/>
                <c:tx>
                  <c:strRef>
                    <c:extLst xmlns:c15="http://schemas.microsoft.com/office/drawing/2012/chart">
                      <c:ext xmlns:c15="http://schemas.microsoft.com/office/drawing/2012/chart" uri="{02D57815-91ED-43cb-92C2-25804820EDAC}">
                        <c15:formulaRef>
                          <c15:sqref>WeeklyPerformanceReport!$AF$14:$AG$14</c15:sqref>
                        </c15:formulaRef>
                      </c:ext>
                    </c:extLst>
                    <c:strCache>
                      <c:ptCount val="2"/>
                      <c:pt idx="0">
                        <c:v>0</c:v>
                      </c:pt>
                    </c:strCache>
                  </c:strRef>
                </c:tx>
                <c:spPr>
                  <a:ln w="38100" cap="rnd">
                    <a:solidFill>
                      <a:schemeClr val="accent1">
                        <a:tint val="84000"/>
                      </a:schemeClr>
                    </a:solidFill>
                    <a:round/>
                  </a:ln>
                  <a:effectLst/>
                </c:spPr>
                <c:marker>
                  <c:symbol val="circle"/>
                  <c:size val="8"/>
                  <c:spPr>
                    <a:solidFill>
                      <a:schemeClr val="accent1">
                        <a:tint val="84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WeeklyPerformanceReport!$AH$6:$AS$6</c15:sqref>
                        </c15:formulaRef>
                      </c:ext>
                    </c:extLst>
                    <c:strCache>
                      <c:ptCount val="12"/>
                      <c:pt idx="0">
                        <c:v>Wk 1</c:v>
                      </c:pt>
                      <c:pt idx="1">
                        <c:v>Wk 2</c:v>
                      </c:pt>
                      <c:pt idx="2">
                        <c:v>Wk 3</c:v>
                      </c:pt>
                      <c:pt idx="3">
                        <c:v>Wk 4</c:v>
                      </c:pt>
                      <c:pt idx="4">
                        <c:v>Wk 5</c:v>
                      </c:pt>
                      <c:pt idx="5">
                        <c:v>Wk 6</c:v>
                      </c:pt>
                      <c:pt idx="6">
                        <c:v>Wk 7</c:v>
                      </c:pt>
                      <c:pt idx="7">
                        <c:v>Wk8</c:v>
                      </c:pt>
                      <c:pt idx="8">
                        <c:v>Wk9</c:v>
                      </c:pt>
                      <c:pt idx="9">
                        <c:v>Wk10</c:v>
                      </c:pt>
                      <c:pt idx="10">
                        <c:v>Wk11</c:v>
                      </c:pt>
                      <c:pt idx="11">
                        <c:v>Wk 12</c:v>
                      </c:pt>
                    </c:strCache>
                  </c:strRef>
                </c:cat>
                <c:val>
                  <c:numRef>
                    <c:extLst xmlns:c15="http://schemas.microsoft.com/office/drawing/2012/chart">
                      <c:ext xmlns:c15="http://schemas.microsoft.com/office/drawing/2012/chart" uri="{02D57815-91ED-43cb-92C2-25804820EDAC}">
                        <c15:formulaRef>
                          <c15:sqref>WeeklyPerformanceReport!$AH$14:$AS$14</c15:sqref>
                        </c15:formulaRef>
                      </c:ext>
                    </c:extLst>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6-A8CA-4AE3-9F9A-689460B414C9}"/>
                  </c:ext>
                </c:extLst>
              </c15:ser>
            </c15:filteredLineSeries>
            <c15:filteredLineSeries>
              <c15:ser>
                <c:idx val="8"/>
                <c:order val="8"/>
                <c:tx>
                  <c:strRef>
                    <c:extLst xmlns:c15="http://schemas.microsoft.com/office/drawing/2012/chart">
                      <c:ext xmlns:c15="http://schemas.microsoft.com/office/drawing/2012/chart" uri="{02D57815-91ED-43cb-92C2-25804820EDAC}">
                        <c15:formulaRef>
                          <c15:sqref>WeeklyPerformanceReport!$AF$15:$AG$15</c15:sqref>
                        </c15:formulaRef>
                      </c:ext>
                    </c:extLst>
                    <c:strCache>
                      <c:ptCount val="2"/>
                      <c:pt idx="0">
                        <c:v>0</c:v>
                      </c:pt>
                    </c:strCache>
                  </c:strRef>
                </c:tx>
                <c:spPr>
                  <a:ln w="38100" cap="rnd">
                    <a:solidFill>
                      <a:schemeClr val="accent1">
                        <a:tint val="74000"/>
                      </a:schemeClr>
                    </a:solidFill>
                    <a:round/>
                  </a:ln>
                  <a:effectLst/>
                </c:spPr>
                <c:marker>
                  <c:symbol val="circle"/>
                  <c:size val="8"/>
                  <c:spPr>
                    <a:solidFill>
                      <a:schemeClr val="accent1">
                        <a:tint val="74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WeeklyPerformanceReport!$AH$6:$AS$6</c15:sqref>
                        </c15:formulaRef>
                      </c:ext>
                    </c:extLst>
                    <c:strCache>
                      <c:ptCount val="12"/>
                      <c:pt idx="0">
                        <c:v>Wk 1</c:v>
                      </c:pt>
                      <c:pt idx="1">
                        <c:v>Wk 2</c:v>
                      </c:pt>
                      <c:pt idx="2">
                        <c:v>Wk 3</c:v>
                      </c:pt>
                      <c:pt idx="3">
                        <c:v>Wk 4</c:v>
                      </c:pt>
                      <c:pt idx="4">
                        <c:v>Wk 5</c:v>
                      </c:pt>
                      <c:pt idx="5">
                        <c:v>Wk 6</c:v>
                      </c:pt>
                      <c:pt idx="6">
                        <c:v>Wk 7</c:v>
                      </c:pt>
                      <c:pt idx="7">
                        <c:v>Wk8</c:v>
                      </c:pt>
                      <c:pt idx="8">
                        <c:v>Wk9</c:v>
                      </c:pt>
                      <c:pt idx="9">
                        <c:v>Wk10</c:v>
                      </c:pt>
                      <c:pt idx="10">
                        <c:v>Wk11</c:v>
                      </c:pt>
                      <c:pt idx="11">
                        <c:v>Wk 12</c:v>
                      </c:pt>
                    </c:strCache>
                  </c:strRef>
                </c:cat>
                <c:val>
                  <c:numRef>
                    <c:extLst xmlns:c15="http://schemas.microsoft.com/office/drawing/2012/chart">
                      <c:ext xmlns:c15="http://schemas.microsoft.com/office/drawing/2012/chart" uri="{02D57815-91ED-43cb-92C2-25804820EDAC}">
                        <c15:formulaRef>
                          <c15:sqref>WeeklyPerformanceReport!$AH$15:$AS$15</c15:sqref>
                        </c15:formulaRef>
                      </c:ext>
                    </c:extLst>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7-A8CA-4AE3-9F9A-689460B414C9}"/>
                  </c:ext>
                </c:extLst>
              </c15:ser>
            </c15:filteredLineSeries>
            <c15:filteredLineSeries>
              <c15:ser>
                <c:idx val="9"/>
                <c:order val="9"/>
                <c:tx>
                  <c:strRef>
                    <c:extLst xmlns:c15="http://schemas.microsoft.com/office/drawing/2012/chart">
                      <c:ext xmlns:c15="http://schemas.microsoft.com/office/drawing/2012/chart" uri="{02D57815-91ED-43cb-92C2-25804820EDAC}">
                        <c15:formulaRef>
                          <c15:sqref>WeeklyPerformanceReport!$AF$16:$AG$16</c15:sqref>
                        </c15:formulaRef>
                      </c:ext>
                    </c:extLst>
                    <c:strCache>
                      <c:ptCount val="2"/>
                      <c:pt idx="0">
                        <c:v>0</c:v>
                      </c:pt>
                    </c:strCache>
                  </c:strRef>
                </c:tx>
                <c:spPr>
                  <a:ln w="38100" cap="rnd">
                    <a:solidFill>
                      <a:schemeClr val="accent1">
                        <a:tint val="63000"/>
                      </a:schemeClr>
                    </a:solidFill>
                    <a:round/>
                  </a:ln>
                  <a:effectLst/>
                </c:spPr>
                <c:marker>
                  <c:symbol val="circle"/>
                  <c:size val="8"/>
                  <c:spPr>
                    <a:solidFill>
                      <a:schemeClr val="accent1">
                        <a:tint val="63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WeeklyPerformanceReport!$AH$6:$AS$6</c15:sqref>
                        </c15:formulaRef>
                      </c:ext>
                    </c:extLst>
                    <c:strCache>
                      <c:ptCount val="12"/>
                      <c:pt idx="0">
                        <c:v>Wk 1</c:v>
                      </c:pt>
                      <c:pt idx="1">
                        <c:v>Wk 2</c:v>
                      </c:pt>
                      <c:pt idx="2">
                        <c:v>Wk 3</c:v>
                      </c:pt>
                      <c:pt idx="3">
                        <c:v>Wk 4</c:v>
                      </c:pt>
                      <c:pt idx="4">
                        <c:v>Wk 5</c:v>
                      </c:pt>
                      <c:pt idx="5">
                        <c:v>Wk 6</c:v>
                      </c:pt>
                      <c:pt idx="6">
                        <c:v>Wk 7</c:v>
                      </c:pt>
                      <c:pt idx="7">
                        <c:v>Wk8</c:v>
                      </c:pt>
                      <c:pt idx="8">
                        <c:v>Wk9</c:v>
                      </c:pt>
                      <c:pt idx="9">
                        <c:v>Wk10</c:v>
                      </c:pt>
                      <c:pt idx="10">
                        <c:v>Wk11</c:v>
                      </c:pt>
                      <c:pt idx="11">
                        <c:v>Wk 12</c:v>
                      </c:pt>
                    </c:strCache>
                  </c:strRef>
                </c:cat>
                <c:val>
                  <c:numRef>
                    <c:extLst xmlns:c15="http://schemas.microsoft.com/office/drawing/2012/chart">
                      <c:ext xmlns:c15="http://schemas.microsoft.com/office/drawing/2012/chart" uri="{02D57815-91ED-43cb-92C2-25804820EDAC}">
                        <c15:formulaRef>
                          <c15:sqref>WeeklyPerformanceReport!$AH$16:$AS$16</c15:sqref>
                        </c15:formulaRef>
                      </c:ext>
                    </c:extLst>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8-A8CA-4AE3-9F9A-689460B414C9}"/>
                  </c:ext>
                </c:extLst>
              </c15:ser>
            </c15:filteredLineSeries>
            <c15:filteredLineSeries>
              <c15:ser>
                <c:idx val="10"/>
                <c:order val="10"/>
                <c:tx>
                  <c:strRef>
                    <c:extLst xmlns:c15="http://schemas.microsoft.com/office/drawing/2012/chart">
                      <c:ext xmlns:c15="http://schemas.microsoft.com/office/drawing/2012/chart" uri="{02D57815-91ED-43cb-92C2-25804820EDAC}">
                        <c15:formulaRef>
                          <c15:sqref>WeeklyPerformanceReport!$AF$17:$AG$17</c15:sqref>
                        </c15:formulaRef>
                      </c:ext>
                    </c:extLst>
                    <c:strCache>
                      <c:ptCount val="2"/>
                      <c:pt idx="0">
                        <c:v>0</c:v>
                      </c:pt>
                    </c:strCache>
                  </c:strRef>
                </c:tx>
                <c:spPr>
                  <a:ln w="38100" cap="rnd">
                    <a:solidFill>
                      <a:schemeClr val="accent1">
                        <a:tint val="52000"/>
                      </a:schemeClr>
                    </a:solidFill>
                    <a:round/>
                  </a:ln>
                  <a:effectLst/>
                </c:spPr>
                <c:marker>
                  <c:symbol val="circle"/>
                  <c:size val="8"/>
                  <c:spPr>
                    <a:solidFill>
                      <a:schemeClr val="accent1">
                        <a:tint val="52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WeeklyPerformanceReport!$AH$6:$AS$6</c15:sqref>
                        </c15:formulaRef>
                      </c:ext>
                    </c:extLst>
                    <c:strCache>
                      <c:ptCount val="12"/>
                      <c:pt idx="0">
                        <c:v>Wk 1</c:v>
                      </c:pt>
                      <c:pt idx="1">
                        <c:v>Wk 2</c:v>
                      </c:pt>
                      <c:pt idx="2">
                        <c:v>Wk 3</c:v>
                      </c:pt>
                      <c:pt idx="3">
                        <c:v>Wk 4</c:v>
                      </c:pt>
                      <c:pt idx="4">
                        <c:v>Wk 5</c:v>
                      </c:pt>
                      <c:pt idx="5">
                        <c:v>Wk 6</c:v>
                      </c:pt>
                      <c:pt idx="6">
                        <c:v>Wk 7</c:v>
                      </c:pt>
                      <c:pt idx="7">
                        <c:v>Wk8</c:v>
                      </c:pt>
                      <c:pt idx="8">
                        <c:v>Wk9</c:v>
                      </c:pt>
                      <c:pt idx="9">
                        <c:v>Wk10</c:v>
                      </c:pt>
                      <c:pt idx="10">
                        <c:v>Wk11</c:v>
                      </c:pt>
                      <c:pt idx="11">
                        <c:v>Wk 12</c:v>
                      </c:pt>
                    </c:strCache>
                  </c:strRef>
                </c:cat>
                <c:val>
                  <c:numRef>
                    <c:extLst xmlns:c15="http://schemas.microsoft.com/office/drawing/2012/chart">
                      <c:ext xmlns:c15="http://schemas.microsoft.com/office/drawing/2012/chart" uri="{02D57815-91ED-43cb-92C2-25804820EDAC}">
                        <c15:formulaRef>
                          <c15:sqref>WeeklyPerformanceReport!$AH$17:$AS$17</c15:sqref>
                        </c15:formulaRef>
                      </c:ext>
                    </c:extLst>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9-A8CA-4AE3-9F9A-689460B414C9}"/>
                  </c:ext>
                </c:extLst>
              </c15:ser>
            </c15:filteredLineSeries>
            <c15:filteredLineSeries>
              <c15:ser>
                <c:idx val="11"/>
                <c:order val="11"/>
                <c:tx>
                  <c:strRef>
                    <c:extLst xmlns:c15="http://schemas.microsoft.com/office/drawing/2012/chart">
                      <c:ext xmlns:c15="http://schemas.microsoft.com/office/drawing/2012/chart" uri="{02D57815-91ED-43cb-92C2-25804820EDAC}">
                        <c15:formulaRef>
                          <c15:sqref>WeeklyPerformanceReport!$AF$18:$AG$18</c15:sqref>
                        </c15:formulaRef>
                      </c:ext>
                    </c:extLst>
                    <c:strCache>
                      <c:ptCount val="2"/>
                      <c:pt idx="0">
                        <c:v>0</c:v>
                      </c:pt>
                    </c:strCache>
                  </c:strRef>
                </c:tx>
                <c:spPr>
                  <a:ln w="38100" cap="rnd">
                    <a:solidFill>
                      <a:schemeClr val="accent1">
                        <a:tint val="41000"/>
                      </a:schemeClr>
                    </a:solidFill>
                    <a:round/>
                  </a:ln>
                  <a:effectLst/>
                </c:spPr>
                <c:marker>
                  <c:symbol val="circle"/>
                  <c:size val="8"/>
                  <c:spPr>
                    <a:solidFill>
                      <a:schemeClr val="accent1">
                        <a:tint val="41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strRef>
                    <c:extLst xmlns:c15="http://schemas.microsoft.com/office/drawing/2012/chart">
                      <c:ext xmlns:c15="http://schemas.microsoft.com/office/drawing/2012/chart" uri="{02D57815-91ED-43cb-92C2-25804820EDAC}">
                        <c15:formulaRef>
                          <c15:sqref>WeeklyPerformanceReport!$AH$6:$AS$6</c15:sqref>
                        </c15:formulaRef>
                      </c:ext>
                    </c:extLst>
                    <c:strCache>
                      <c:ptCount val="12"/>
                      <c:pt idx="0">
                        <c:v>Wk 1</c:v>
                      </c:pt>
                      <c:pt idx="1">
                        <c:v>Wk 2</c:v>
                      </c:pt>
                      <c:pt idx="2">
                        <c:v>Wk 3</c:v>
                      </c:pt>
                      <c:pt idx="3">
                        <c:v>Wk 4</c:v>
                      </c:pt>
                      <c:pt idx="4">
                        <c:v>Wk 5</c:v>
                      </c:pt>
                      <c:pt idx="5">
                        <c:v>Wk 6</c:v>
                      </c:pt>
                      <c:pt idx="6">
                        <c:v>Wk 7</c:v>
                      </c:pt>
                      <c:pt idx="7">
                        <c:v>Wk8</c:v>
                      </c:pt>
                      <c:pt idx="8">
                        <c:v>Wk9</c:v>
                      </c:pt>
                      <c:pt idx="9">
                        <c:v>Wk10</c:v>
                      </c:pt>
                      <c:pt idx="10">
                        <c:v>Wk11</c:v>
                      </c:pt>
                      <c:pt idx="11">
                        <c:v>Wk 12</c:v>
                      </c:pt>
                    </c:strCache>
                  </c:strRef>
                </c:cat>
                <c:val>
                  <c:numRef>
                    <c:extLst xmlns:c15="http://schemas.microsoft.com/office/drawing/2012/chart">
                      <c:ext xmlns:c15="http://schemas.microsoft.com/office/drawing/2012/chart" uri="{02D57815-91ED-43cb-92C2-25804820EDAC}">
                        <c15:formulaRef>
                          <c15:sqref>WeeklyPerformanceReport!$AH$18:$AS$18</c15:sqref>
                        </c15:formulaRef>
                      </c:ext>
                    </c:extLst>
                    <c:numCache>
                      <c:formatCode>0</c:formatCode>
                      <c:ptCount val="12"/>
                      <c:pt idx="0">
                        <c:v>0</c:v>
                      </c:pt>
                      <c:pt idx="1">
                        <c:v>0</c:v>
                      </c:pt>
                      <c:pt idx="2">
                        <c:v>0</c:v>
                      </c:pt>
                      <c:pt idx="3">
                        <c:v>0</c:v>
                      </c:pt>
                      <c:pt idx="4">
                        <c:v>0</c:v>
                      </c:pt>
                      <c:pt idx="5">
                        <c:v>0</c:v>
                      </c:pt>
                      <c:pt idx="6">
                        <c:v>0</c:v>
                      </c:pt>
                      <c:pt idx="7">
                        <c:v>0</c:v>
                      </c:pt>
                      <c:pt idx="8">
                        <c:v>0</c:v>
                      </c:pt>
                      <c:pt idx="9">
                        <c:v>0</c:v>
                      </c:pt>
                      <c:pt idx="10">
                        <c:v>0</c:v>
                      </c:pt>
                      <c:pt idx="11">
                        <c:v>0</c:v>
                      </c:pt>
                    </c:numCache>
                  </c:numRef>
                </c:val>
                <c:smooth val="0"/>
                <c:extLst xmlns:c15="http://schemas.microsoft.com/office/drawing/2012/chart">
                  <c:ext xmlns:c16="http://schemas.microsoft.com/office/drawing/2014/chart" uri="{C3380CC4-5D6E-409C-BE32-E72D297353CC}">
                    <c16:uniqueId val="{0000000A-A8CA-4AE3-9F9A-689460B414C9}"/>
                  </c:ext>
                </c:extLst>
              </c15:ser>
            </c15:filteredLineSeries>
          </c:ext>
        </c:extLst>
      </c:lineChart>
      <c:catAx>
        <c:axId val="97384503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973847439"/>
        <c:crosses val="autoZero"/>
        <c:auto val="1"/>
        <c:lblAlgn val="ctr"/>
        <c:lblOffset val="100"/>
        <c:noMultiLvlLbl val="0"/>
      </c:catAx>
      <c:valAx>
        <c:axId val="97384743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845039"/>
        <c:crosses val="autoZero"/>
        <c:crossBetween val="between"/>
      </c:valAx>
      <c:spPr>
        <a:noFill/>
        <a:ln>
          <a:noFill/>
        </a:ln>
        <a:effectLst/>
      </c:spPr>
    </c:plotArea>
    <c:legend>
      <c:legendPos val="t"/>
      <c:legendEntry>
        <c:idx val="0"/>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61016509655043116"/>
          <c:y val="6.9186418962203719E-2"/>
          <c:w val="0.14722921353580803"/>
          <c:h val="0.12011561335102168"/>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autoTitleDeleted val="1"/>
    <c:plotArea>
      <c:layout/>
      <c:lineChart>
        <c:grouping val="standard"/>
        <c:varyColors val="0"/>
        <c:ser>
          <c:idx val="0"/>
          <c:order val="0"/>
          <c:tx>
            <c:strRef>
              <c:f>WeeklyPerformanceReport!$AF$27:$AL$27</c:f>
              <c:strCache>
                <c:ptCount val="7"/>
                <c:pt idx="0">
                  <c:v>0</c:v>
                </c:pt>
                <c:pt idx="2">
                  <c:v>#REF!</c:v>
                </c:pt>
                <c:pt idx="3">
                  <c:v>#REF!</c:v>
                </c:pt>
                <c:pt idx="4">
                  <c:v>#REF!</c:v>
                </c:pt>
                <c:pt idx="5">
                  <c:v>#REF!</c:v>
                </c:pt>
                <c:pt idx="6">
                  <c:v>0</c:v>
                </c:pt>
              </c:strCache>
            </c:strRef>
          </c:tx>
          <c:spPr>
            <a:ln w="38100" cap="rnd">
              <a:solidFill>
                <a:schemeClr val="accent1">
                  <a:shade val="38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WeeklyPerformanceReport!$AM$27:$AS$27</c:f>
              <c:numCache>
                <c:formatCode>0</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1-58FE-44C4-B229-99EDF7AC6E32}"/>
            </c:ext>
          </c:extLst>
        </c:ser>
        <c:ser>
          <c:idx val="1"/>
          <c:order val="1"/>
          <c:tx>
            <c:strRef>
              <c:f>WeeklyPerformanceReport!$AF$28:$AL$28</c:f>
              <c:strCache>
                <c:ptCount val="7"/>
                <c:pt idx="0">
                  <c:v>0</c:v>
                </c:pt>
                <c:pt idx="2">
                  <c:v>0</c:v>
                </c:pt>
                <c:pt idx="3">
                  <c:v>0</c:v>
                </c:pt>
                <c:pt idx="4">
                  <c:v>0</c:v>
                </c:pt>
                <c:pt idx="5">
                  <c:v>0</c:v>
                </c:pt>
                <c:pt idx="6">
                  <c:v>0</c:v>
                </c:pt>
              </c:strCache>
            </c:strRef>
          </c:tx>
          <c:spPr>
            <a:ln w="38100" cap="rnd">
              <a:solidFill>
                <a:schemeClr val="accent1">
                  <a:shade val="47000"/>
                </a:schemeClr>
              </a:solidFill>
              <a:round/>
            </a:ln>
            <a:effectLst/>
          </c:spPr>
          <c:marker>
            <c:symbol val="circle"/>
            <c:size val="8"/>
            <c:spPr>
              <a:solidFill>
                <a:schemeClr val="accent1">
                  <a:shade val="51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WeeklyPerformanceReport!$AM$28:$AS$28</c:f>
              <c:numCache>
                <c:formatCode>0</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2-58FE-44C4-B229-99EDF7AC6E32}"/>
            </c:ext>
          </c:extLst>
        </c:ser>
        <c:ser>
          <c:idx val="2"/>
          <c:order val="2"/>
          <c:tx>
            <c:strRef>
              <c:f>WeeklyPerformanceReport!$AF$29:$AL$29</c:f>
              <c:strCache>
                <c:ptCount val="7"/>
                <c:pt idx="0">
                  <c:v>#REF!</c:v>
                </c:pt>
                <c:pt idx="2">
                  <c:v>#REF!</c:v>
                </c:pt>
                <c:pt idx="3">
                  <c:v>#REF!</c:v>
                </c:pt>
                <c:pt idx="4">
                  <c:v>#REF!</c:v>
                </c:pt>
                <c:pt idx="5">
                  <c:v>#REF!</c:v>
                </c:pt>
                <c:pt idx="6">
                  <c:v>0</c:v>
                </c:pt>
              </c:strCache>
            </c:strRef>
          </c:tx>
          <c:spPr>
            <a:ln w="38100" cap="rnd">
              <a:solidFill>
                <a:schemeClr val="accent1">
                  <a:shade val="56000"/>
                </a:schemeClr>
              </a:solidFill>
              <a:round/>
            </a:ln>
            <a:effectLst/>
          </c:spPr>
          <c:marker>
            <c:symbol val="circle"/>
            <c:size val="8"/>
            <c:spPr>
              <a:solidFill>
                <a:schemeClr val="accent1">
                  <a:shade val="62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WeeklyPerformanceReport!$AM$29:$AS$29</c:f>
              <c:numCache>
                <c:formatCode>0</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3-58FE-44C4-B229-99EDF7AC6E32}"/>
            </c:ext>
          </c:extLst>
        </c:ser>
        <c:ser>
          <c:idx val="3"/>
          <c:order val="3"/>
          <c:tx>
            <c:strRef>
              <c:f>WeeklyPerformanceReport!$AF$30:$AL$30</c:f>
              <c:strCache>
                <c:ptCount val="7"/>
                <c:pt idx="0">
                  <c:v>0</c:v>
                </c:pt>
                <c:pt idx="2">
                  <c:v>0</c:v>
                </c:pt>
                <c:pt idx="3">
                  <c:v>0</c:v>
                </c:pt>
                <c:pt idx="4">
                  <c:v>0</c:v>
                </c:pt>
                <c:pt idx="5">
                  <c:v>0</c:v>
                </c:pt>
                <c:pt idx="6">
                  <c:v>0</c:v>
                </c:pt>
              </c:strCache>
            </c:strRef>
          </c:tx>
          <c:spPr>
            <a:ln w="38100" cap="rnd">
              <a:solidFill>
                <a:schemeClr val="accent1">
                  <a:shade val="65000"/>
                </a:schemeClr>
              </a:solidFill>
              <a:round/>
            </a:ln>
            <a:effectLst/>
          </c:spPr>
          <c:marker>
            <c:symbol val="circle"/>
            <c:size val="8"/>
            <c:spPr>
              <a:solidFill>
                <a:schemeClr val="accent1">
                  <a:shade val="73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WeeklyPerformanceReport!$AM$30:$AS$30</c:f>
              <c:numCache>
                <c:formatCode>0</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4-58FE-44C4-B229-99EDF7AC6E32}"/>
            </c:ext>
          </c:extLst>
        </c:ser>
        <c:ser>
          <c:idx val="4"/>
          <c:order val="4"/>
          <c:tx>
            <c:strRef>
              <c:f>WeeklyPerformanceReport!$AF$31:$AL$31</c:f>
              <c:strCache>
                <c:ptCount val="7"/>
                <c:pt idx="0">
                  <c:v>0</c:v>
                </c:pt>
                <c:pt idx="2">
                  <c:v>0</c:v>
                </c:pt>
                <c:pt idx="3">
                  <c:v>0</c:v>
                </c:pt>
                <c:pt idx="4">
                  <c:v>0</c:v>
                </c:pt>
                <c:pt idx="5">
                  <c:v>0</c:v>
                </c:pt>
                <c:pt idx="6">
                  <c:v>0</c:v>
                </c:pt>
              </c:strCache>
            </c:strRef>
          </c:tx>
          <c:spPr>
            <a:ln w="38100" cap="rnd">
              <a:solidFill>
                <a:schemeClr val="accent1">
                  <a:shade val="73000"/>
                </a:schemeClr>
              </a:solidFill>
              <a:round/>
            </a:ln>
            <a:effectLst/>
          </c:spPr>
          <c:marker>
            <c:symbol val="circle"/>
            <c:size val="8"/>
            <c:spPr>
              <a:solidFill>
                <a:schemeClr val="accent1">
                  <a:shade val="83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WeeklyPerformanceReport!$AM$31:$AS$31</c:f>
              <c:numCache>
                <c:formatCode>0</c:formatCode>
                <c:ptCount val="7"/>
                <c:pt idx="0">
                  <c:v>0</c:v>
                </c:pt>
                <c:pt idx="1">
                  <c:v>0</c:v>
                </c:pt>
                <c:pt idx="2">
                  <c:v>0</c:v>
                </c:pt>
                <c:pt idx="3">
                  <c:v>0</c:v>
                </c:pt>
                <c:pt idx="4">
                  <c:v>0</c:v>
                </c:pt>
                <c:pt idx="5">
                  <c:v>0</c:v>
                </c:pt>
                <c:pt idx="6">
                  <c:v>0</c:v>
                </c:pt>
              </c:numCache>
            </c:numRef>
          </c:val>
          <c:smooth val="0"/>
          <c:extLst>
            <c:ext xmlns:c16="http://schemas.microsoft.com/office/drawing/2014/chart" uri="{C3380CC4-5D6E-409C-BE32-E72D297353CC}">
              <c16:uniqueId val="{00000000-58FE-44C4-B229-99EDF7AC6E32}"/>
            </c:ext>
          </c:extLst>
        </c:ser>
        <c:ser>
          <c:idx val="5"/>
          <c:order val="5"/>
          <c:tx>
            <c:strRef>
              <c:f>WeeklyPerformanceReport!$AF$32:$AL$32</c:f>
              <c:strCache>
                <c:ptCount val="7"/>
                <c:pt idx="0">
                  <c:v>#REF!</c:v>
                </c:pt>
                <c:pt idx="2">
                  <c:v>#REF!</c:v>
                </c:pt>
                <c:pt idx="3">
                  <c:v>#REF!</c:v>
                </c:pt>
                <c:pt idx="4">
                  <c:v>#REF!</c:v>
                </c:pt>
                <c:pt idx="5">
                  <c:v>#REF!</c:v>
                </c:pt>
                <c:pt idx="6">
                  <c:v>0</c:v>
                </c:pt>
              </c:strCache>
            </c:strRef>
          </c:tx>
          <c:spPr>
            <a:ln w="38100" cap="rnd">
              <a:solidFill>
                <a:schemeClr val="accent1">
                  <a:shade val="82000"/>
                </a:schemeClr>
              </a:solidFill>
              <a:round/>
            </a:ln>
            <a:effectLst/>
          </c:spPr>
          <c:marker>
            <c:symbol val="circle"/>
            <c:size val="8"/>
            <c:spPr>
              <a:solidFill>
                <a:schemeClr val="accent1">
                  <a:shade val="94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WeeklyPerformanceReport!$AM$32:$AS$32</c:f>
              <c:numCache>
                <c:formatCode>0</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5-58FE-44C4-B229-99EDF7AC6E32}"/>
            </c:ext>
          </c:extLst>
        </c:ser>
        <c:ser>
          <c:idx val="6"/>
          <c:order val="6"/>
          <c:tx>
            <c:strRef>
              <c:f>WeeklyPerformanceReport!$AF$33:$AL$33</c:f>
              <c:strCache>
                <c:ptCount val="7"/>
                <c:pt idx="0">
                  <c:v>May</c:v>
                </c:pt>
                <c:pt idx="2">
                  <c:v>0</c:v>
                </c:pt>
                <c:pt idx="3">
                  <c:v>0</c:v>
                </c:pt>
                <c:pt idx="4">
                  <c:v>0</c:v>
                </c:pt>
                <c:pt idx="5">
                  <c:v>0</c:v>
                </c:pt>
                <c:pt idx="6">
                  <c:v>0</c:v>
                </c:pt>
              </c:strCache>
            </c:strRef>
          </c:tx>
          <c:spPr>
            <a:ln w="38100" cap="rnd">
              <a:solidFill>
                <a:schemeClr val="accent1">
                  <a:shade val="91000"/>
                </a:schemeClr>
              </a:solidFill>
              <a:round/>
            </a:ln>
            <a:effectLst/>
          </c:spPr>
          <c:marker>
            <c:symbol val="circle"/>
            <c:size val="8"/>
            <c:spPr>
              <a:solidFill>
                <a:schemeClr val="accent1">
                  <a:tint val="95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WeeklyPerformanceReport!$AM$33:$AS$33</c:f>
              <c:numCache>
                <c:formatCode>0</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6-58FE-44C4-B229-99EDF7AC6E32}"/>
            </c:ext>
          </c:extLst>
        </c:ser>
        <c:ser>
          <c:idx val="7"/>
          <c:order val="7"/>
          <c:tx>
            <c:strRef>
              <c:f>WeeklyPerformanceReport!$AF$34:$AL$34</c:f>
              <c:strCache>
                <c:ptCount val="7"/>
                <c:pt idx="0">
                  <c:v>0</c:v>
                </c:pt>
                <c:pt idx="2">
                  <c:v>Week 1 Ave</c:v>
                </c:pt>
                <c:pt idx="3">
                  <c:v>Week 2 Ave</c:v>
                </c:pt>
                <c:pt idx="4">
                  <c:v>Week 3 Ave</c:v>
                </c:pt>
                <c:pt idx="5">
                  <c:v>Week 4 Ave</c:v>
                </c:pt>
                <c:pt idx="6">
                  <c:v>0</c:v>
                </c:pt>
              </c:strCache>
            </c:strRef>
          </c:tx>
          <c:spPr>
            <a:ln w="38100" cap="rnd">
              <a:solidFill>
                <a:schemeClr val="accent1"/>
              </a:solidFill>
              <a:round/>
            </a:ln>
            <a:effectLst/>
          </c:spPr>
          <c:marker>
            <c:symbol val="circle"/>
            <c:size val="8"/>
            <c:spPr>
              <a:solidFill>
                <a:schemeClr val="accent1">
                  <a:tint val="84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WeeklyPerformanceReport!$AM$34:$AS$34</c:f>
              <c:numCache>
                <c:formatCode>0</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7-58FE-44C4-B229-99EDF7AC6E32}"/>
            </c:ext>
          </c:extLst>
        </c:ser>
        <c:ser>
          <c:idx val="8"/>
          <c:order val="8"/>
          <c:tx>
            <c:strRef>
              <c:f>WeeklyPerformanceReport!$AF$35:$AL$35</c:f>
              <c:strCache>
                <c:ptCount val="7"/>
                <c:pt idx="0">
                  <c:v>0</c:v>
                </c:pt>
                <c:pt idx="2">
                  <c:v>Min Var</c:v>
                </c:pt>
                <c:pt idx="3">
                  <c:v>Min</c:v>
                </c:pt>
                <c:pt idx="4">
                  <c:v>Min</c:v>
                </c:pt>
                <c:pt idx="5">
                  <c:v>Min</c:v>
                </c:pt>
                <c:pt idx="6">
                  <c:v>0</c:v>
                </c:pt>
              </c:strCache>
            </c:strRef>
          </c:tx>
          <c:spPr>
            <a:ln w="38100" cap="rnd">
              <a:solidFill>
                <a:schemeClr val="accent1">
                  <a:tint val="92000"/>
                </a:schemeClr>
              </a:solidFill>
              <a:round/>
            </a:ln>
            <a:effectLst/>
          </c:spPr>
          <c:marker>
            <c:symbol val="circle"/>
            <c:size val="8"/>
            <c:spPr>
              <a:solidFill>
                <a:schemeClr val="accent1">
                  <a:tint val="74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WeeklyPerformanceReport!$AM$35:$AS$35</c:f>
              <c:numCache>
                <c:formatCode>0</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8-58FE-44C4-B229-99EDF7AC6E32}"/>
            </c:ext>
          </c:extLst>
        </c:ser>
        <c:ser>
          <c:idx val="9"/>
          <c:order val="9"/>
          <c:tx>
            <c:strRef>
              <c:f>WeeklyPerformanceReport!$AF$36:$AL$36</c:f>
              <c:strCache>
                <c:ptCount val="7"/>
                <c:pt idx="0">
                  <c:v>0</c:v>
                </c:pt>
                <c:pt idx="2">
                  <c:v>#REF!</c:v>
                </c:pt>
                <c:pt idx="3">
                  <c:v>#REF!</c:v>
                </c:pt>
                <c:pt idx="4">
                  <c:v>#REF!</c:v>
                </c:pt>
                <c:pt idx="5">
                  <c:v>#REF!</c:v>
                </c:pt>
                <c:pt idx="6">
                  <c:v>Week 1 Ave</c:v>
                </c:pt>
              </c:strCache>
            </c:strRef>
          </c:tx>
          <c:spPr>
            <a:ln w="38100" cap="rnd">
              <a:solidFill>
                <a:schemeClr val="accent1">
                  <a:tint val="83000"/>
                </a:schemeClr>
              </a:solidFill>
              <a:round/>
            </a:ln>
            <a:effectLst/>
          </c:spPr>
          <c:marker>
            <c:symbol val="circle"/>
            <c:size val="8"/>
            <c:spPr>
              <a:solidFill>
                <a:schemeClr val="accent1">
                  <a:tint val="63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WeeklyPerformanceReport!$AM$36:$AS$36</c:f>
              <c:numCache>
                <c:formatCode>0</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9-58FE-44C4-B229-99EDF7AC6E32}"/>
            </c:ext>
          </c:extLst>
        </c:ser>
        <c:ser>
          <c:idx val="10"/>
          <c:order val="10"/>
          <c:tx>
            <c:strRef>
              <c:f>WeeklyPerformanceReport!$AF$37:$AL$37</c:f>
              <c:strCache>
                <c:ptCount val="7"/>
                <c:pt idx="0">
                  <c:v>0</c:v>
                </c:pt>
                <c:pt idx="2">
                  <c:v>#REF!</c:v>
                </c:pt>
                <c:pt idx="3">
                  <c:v>#REF!</c:v>
                </c:pt>
                <c:pt idx="4">
                  <c:v>0</c:v>
                </c:pt>
                <c:pt idx="5">
                  <c:v>#REF!</c:v>
                </c:pt>
                <c:pt idx="6">
                  <c:v>Min Var</c:v>
                </c:pt>
              </c:strCache>
            </c:strRef>
          </c:tx>
          <c:spPr>
            <a:ln w="38100" cap="rnd">
              <a:solidFill>
                <a:schemeClr val="accent1">
                  <a:tint val="74000"/>
                </a:schemeClr>
              </a:solidFill>
              <a:round/>
            </a:ln>
            <a:effectLst/>
          </c:spPr>
          <c:marker>
            <c:symbol val="circle"/>
            <c:size val="8"/>
            <c:spPr>
              <a:solidFill>
                <a:schemeClr val="accent1">
                  <a:tint val="52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WeeklyPerformanceReport!$AM$37:$AS$37</c:f>
              <c:numCache>
                <c:formatCode>0</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A-58FE-44C4-B229-99EDF7AC6E32}"/>
            </c:ext>
          </c:extLst>
        </c:ser>
        <c:ser>
          <c:idx val="11"/>
          <c:order val="11"/>
          <c:tx>
            <c:strRef>
              <c:f>WeeklyPerformanceReport!$AF$38:$AL$38</c:f>
              <c:strCache>
                <c:ptCount val="7"/>
                <c:pt idx="0">
                  <c:v>0</c:v>
                </c:pt>
                <c:pt idx="2">
                  <c:v>#REF!</c:v>
                </c:pt>
                <c:pt idx="3">
                  <c:v>#REF!</c:v>
                </c:pt>
                <c:pt idx="4">
                  <c:v>0</c:v>
                </c:pt>
                <c:pt idx="5">
                  <c:v>#REF!</c:v>
                </c:pt>
                <c:pt idx="6">
                  <c:v>0</c:v>
                </c:pt>
              </c:strCache>
            </c:strRef>
          </c:tx>
          <c:spPr>
            <a:ln w="38100" cap="rnd">
              <a:solidFill>
                <a:schemeClr val="accent1">
                  <a:tint val="65000"/>
                </a:schemeClr>
              </a:solidFill>
              <a:round/>
            </a:ln>
            <a:effectLst/>
          </c:spPr>
          <c:marker>
            <c:symbol val="circle"/>
            <c:size val="8"/>
            <c:spPr>
              <a:solidFill>
                <a:schemeClr val="accent1">
                  <a:tint val="41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xmlns:c15="http://schemas.microsoft.com/office/drawing/2012/char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WeeklyPerformanceReport!$AM$38:$AS$38</c:f>
              <c:numCache>
                <c:formatCode>0</c:formatCode>
                <c:ptCount val="7"/>
                <c:pt idx="0">
                  <c:v>0</c:v>
                </c:pt>
                <c:pt idx="1">
                  <c:v>0</c:v>
                </c:pt>
                <c:pt idx="2">
                  <c:v>0</c:v>
                </c:pt>
                <c:pt idx="3">
                  <c:v>0</c:v>
                </c:pt>
                <c:pt idx="4">
                  <c:v>0</c:v>
                </c:pt>
                <c:pt idx="5">
                  <c:v>0</c:v>
                </c:pt>
                <c:pt idx="6">
                  <c:v>0</c:v>
                </c:pt>
              </c:numCache>
            </c:numRef>
          </c:val>
          <c:smooth val="0"/>
          <c:extLst xmlns:c15="http://schemas.microsoft.com/office/drawing/2012/chart">
            <c:ext xmlns:c16="http://schemas.microsoft.com/office/drawing/2014/chart" uri="{C3380CC4-5D6E-409C-BE32-E72D297353CC}">
              <c16:uniqueId val="{0000000B-58FE-44C4-B229-99EDF7AC6E32}"/>
            </c:ext>
          </c:extLst>
        </c:ser>
        <c:ser>
          <c:idx val="12"/>
          <c:order val="12"/>
          <c:tx>
            <c:strRef>
              <c:f>WeeklyPerformanceReport!$AF$39:$AL$39</c:f>
              <c:strCache>
                <c:ptCount val="7"/>
                <c:pt idx="0">
                  <c:v>0</c:v>
                </c:pt>
                <c:pt idx="2">
                  <c:v>#REF!</c:v>
                </c:pt>
                <c:pt idx="3">
                  <c:v>#REF!</c:v>
                </c:pt>
                <c:pt idx="4">
                  <c:v>0</c:v>
                </c:pt>
                <c:pt idx="5">
                  <c:v>#REF!</c:v>
                </c:pt>
                <c:pt idx="6">
                  <c:v>0</c:v>
                </c:pt>
              </c:strCache>
            </c:strRef>
          </c:tx>
          <c:spPr>
            <a:ln w="38100" cap="rnd">
              <a:solidFill>
                <a:schemeClr val="accent1">
                  <a:tint val="57000"/>
                </a:schemeClr>
              </a:solidFill>
              <a:round/>
            </a:ln>
            <a:effectLst/>
          </c:spPr>
          <c:marker>
            <c:symbol val="circle"/>
            <c:size val="8"/>
            <c:spPr>
              <a:solidFill>
                <a:schemeClr val="accent1">
                  <a:tint val="57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WeeklyPerformanceReport!$AM$39:$AS$39</c:f>
              <c:numCache>
                <c:formatCode>General</c:formatCode>
                <c:ptCount val="7"/>
              </c:numCache>
            </c:numRef>
          </c:val>
          <c:smooth val="0"/>
          <c:extLst>
            <c:ext xmlns:c16="http://schemas.microsoft.com/office/drawing/2014/chart" uri="{C3380CC4-5D6E-409C-BE32-E72D297353CC}">
              <c16:uniqueId val="{00000000-E962-42B7-86D6-1A2273EDE6EC}"/>
            </c:ext>
          </c:extLst>
        </c:ser>
        <c:ser>
          <c:idx val="13"/>
          <c:order val="13"/>
          <c:tx>
            <c:strRef>
              <c:f>WeeklyPerformanceReport!$AF$40:$AL$40</c:f>
              <c:strCache>
                <c:ptCount val="7"/>
                <c:pt idx="0">
                  <c:v>0</c:v>
                </c:pt>
                <c:pt idx="2">
                  <c:v>#REF!</c:v>
                </c:pt>
                <c:pt idx="3">
                  <c:v>#REF!</c:v>
                </c:pt>
                <c:pt idx="4">
                  <c:v>0</c:v>
                </c:pt>
                <c:pt idx="5">
                  <c:v>#REF!</c:v>
                </c:pt>
                <c:pt idx="6">
                  <c:v>0</c:v>
                </c:pt>
              </c:strCache>
            </c:strRef>
          </c:tx>
          <c:spPr>
            <a:ln w="38100" cap="rnd">
              <a:solidFill>
                <a:schemeClr val="accent1">
                  <a:tint val="48000"/>
                </a:schemeClr>
              </a:solidFill>
              <a:round/>
            </a:ln>
            <a:effectLst/>
          </c:spPr>
          <c:marker>
            <c:symbol val="circle"/>
            <c:size val="8"/>
            <c:spPr>
              <a:solidFill>
                <a:schemeClr val="accent1">
                  <a:tint val="48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WeeklyPerformanceReport!$AM$40:$AS$40</c:f>
              <c:numCache>
                <c:formatCode>General</c:formatCode>
                <c:ptCount val="7"/>
              </c:numCache>
            </c:numRef>
          </c:val>
          <c:smooth val="0"/>
          <c:extLst>
            <c:ext xmlns:c16="http://schemas.microsoft.com/office/drawing/2014/chart" uri="{C3380CC4-5D6E-409C-BE32-E72D297353CC}">
              <c16:uniqueId val="{00000001-E962-42B7-86D6-1A2273EDE6EC}"/>
            </c:ext>
          </c:extLst>
        </c:ser>
        <c:ser>
          <c:idx val="14"/>
          <c:order val="14"/>
          <c:tx>
            <c:strRef>
              <c:f>WeeklyPerformanceReport!$AF$41:$AL$41</c:f>
              <c:strCache>
                <c:ptCount val="7"/>
                <c:pt idx="0">
                  <c:v>0</c:v>
                </c:pt>
                <c:pt idx="2">
                  <c:v>#REF!</c:v>
                </c:pt>
                <c:pt idx="3">
                  <c:v>#REF!</c:v>
                </c:pt>
                <c:pt idx="4">
                  <c:v>0</c:v>
                </c:pt>
                <c:pt idx="5">
                  <c:v>#REF!</c:v>
                </c:pt>
                <c:pt idx="6">
                  <c:v> </c:v>
                </c:pt>
              </c:strCache>
            </c:strRef>
          </c:tx>
          <c:spPr>
            <a:ln w="38100" cap="rnd">
              <a:solidFill>
                <a:schemeClr val="accent1">
                  <a:tint val="39000"/>
                </a:schemeClr>
              </a:solidFill>
              <a:round/>
            </a:ln>
            <a:effectLst/>
          </c:spPr>
          <c:marker>
            <c:symbol val="circle"/>
            <c:size val="8"/>
            <c:spPr>
              <a:solidFill>
                <a:schemeClr val="accent1">
                  <a:tint val="39000"/>
                </a:schemeClr>
              </a:solidFill>
              <a:ln>
                <a:noFill/>
              </a:ln>
              <a:effectLst/>
            </c:spPr>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val>
            <c:numRef>
              <c:f>WeeklyPerformanceReport!$AM$41:$AS$41</c:f>
              <c:numCache>
                <c:formatCode>General</c:formatCode>
                <c:ptCount val="7"/>
              </c:numCache>
            </c:numRef>
          </c:val>
          <c:smooth val="0"/>
          <c:extLst>
            <c:ext xmlns:c16="http://schemas.microsoft.com/office/drawing/2014/chart" uri="{C3380CC4-5D6E-409C-BE32-E72D297353CC}">
              <c16:uniqueId val="{00000002-E962-42B7-86D6-1A2273EDE6EC}"/>
            </c:ext>
          </c:extLst>
        </c:ser>
        <c:dLbls>
          <c:dLblPos val="ctr"/>
          <c:showLegendKey val="0"/>
          <c:showVal val="1"/>
          <c:showCatName val="0"/>
          <c:showSerName val="0"/>
          <c:showPercent val="0"/>
          <c:showBubbleSize val="0"/>
        </c:dLbls>
        <c:smooth val="0"/>
        <c:axId val="973845039"/>
        <c:axId val="973847439"/>
        <c:extLst/>
      </c:lineChart>
      <c:catAx>
        <c:axId val="973845039"/>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tx1">
                    <a:lumMod val="65000"/>
                    <a:lumOff val="35000"/>
                  </a:schemeClr>
                </a:solidFill>
                <a:latin typeface="+mn-lt"/>
                <a:ea typeface="+mn-ea"/>
                <a:cs typeface="+mn-cs"/>
              </a:defRPr>
            </a:pPr>
            <a:endParaRPr lang="en-US"/>
          </a:p>
        </c:txPr>
        <c:crossAx val="973847439"/>
        <c:crosses val="autoZero"/>
        <c:auto val="1"/>
        <c:lblAlgn val="ctr"/>
        <c:lblOffset val="100"/>
        <c:noMultiLvlLbl val="0"/>
      </c:catAx>
      <c:valAx>
        <c:axId val="973847439"/>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73845039"/>
        <c:crosses val="autoZero"/>
        <c:crossBetween val="between"/>
      </c:valAx>
      <c:spPr>
        <a:noFill/>
        <a:ln>
          <a:noFill/>
        </a:ln>
        <a:effectLst/>
      </c:spPr>
    </c:plotArea>
    <c:legend>
      <c:legendPos val="t"/>
      <c:legendEntry>
        <c:idx val="4"/>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Entry>
      <c:layout>
        <c:manualLayout>
          <c:xMode val="edge"/>
          <c:yMode val="edge"/>
          <c:x val="0.7232603346456693"/>
          <c:y val="5.1249199231262012E-2"/>
          <c:w val="0.11002683258342708"/>
          <c:h val="7.911625396601210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orientation="landscape"/>
  </c:printSettings>
</c:chartSpace>
</file>

<file path=xl/charts/colors1.xml><?xml version="1.0" encoding="utf-8"?>
<cs:colorStyle xmlns:cs="http://schemas.microsoft.com/office/drawing/2012/chartStyle" xmlns:a="http://schemas.openxmlformats.org/drawingml/2006/main" meth="withinLinear" id="14">
  <a:schemeClr val="accent1"/>
</cs:colorStyle>
</file>

<file path=xl/charts/colors2.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3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b="0" kern="1200" cap="none" spc="0" normalizeH="0" baseline="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75000"/>
        <a:lumOff val="25000"/>
      </a:schemeClr>
    </cs:fontRef>
    <cs:spPr>
      <a:solidFill>
        <a:schemeClr val="dk1">
          <a:lumMod val="15000"/>
          <a:lumOff val="85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38100" cap="rnd">
        <a:solidFill>
          <a:schemeClr val="phClr"/>
        </a:solidFill>
        <a:round/>
      </a:ln>
    </cs:spPr>
  </cs:dataPointLine>
  <cs:dataPointMarker>
    <cs:lnRef idx="0"/>
    <cs:fillRef idx="0">
      <cs:styleClr val="auto"/>
    </cs:fillRef>
    <cs:effectRef idx="0"/>
    <cs:fontRef idx="minor">
      <a:schemeClr val="dk1"/>
    </cs:fontRef>
    <cs:spPr>
      <a:solidFill>
        <a:schemeClr val="phClr"/>
      </a:solidFill>
    </cs:spPr>
  </cs:dataPointMarker>
  <cs:dataPointMarkerLayout symbol="circle" size="8"/>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50000"/>
            <a:lumOff val="50000"/>
          </a:schemeClr>
        </a:solidFill>
        <a:prstDash val="dash"/>
      </a:ln>
    </cs:spPr>
  </cs:dropLine>
  <cs:errorBar>
    <cs:lnRef idx="0"/>
    <cs:fillRef idx="0"/>
    <cs:effectRef idx="0"/>
    <cs:fontRef idx="minor">
      <a:schemeClr val="dk1"/>
    </cs:fontRef>
    <cs:spPr>
      <a:ln w="9525">
        <a:solidFill>
          <a:schemeClr val="tx1">
            <a:lumMod val="50000"/>
            <a:lumOff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2000" b="0" kern="1200" cap="none" spc="0" normalizeH="0" baseline="0"/>
  </cs:title>
  <cs:trendline>
    <cs:lnRef idx="0">
      <cs:styleClr val="auto"/>
    </cs:lnRef>
    <cs:fillRef idx="0"/>
    <cs:effectRef idx="0"/>
    <cs:fontRef idx="minor">
      <a:schemeClr val="dk1"/>
    </cs:fontRef>
    <cs:spPr>
      <a:ln w="19050" cap="rnd">
        <a:solidFill>
          <a:schemeClr val="phClr"/>
        </a:solidFill>
        <a:round/>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chart" Target="../charts/chart2.xml"/></Relationships>
</file>

<file path=xl/drawings/_rels/drawing3.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chart" Target="../charts/chart5.xml"/><Relationship Id="rId5" Type="http://schemas.openxmlformats.org/officeDocument/2006/relationships/chart" Target="../charts/chart6.xml"/><Relationship Id="rId4" Type="http://schemas.openxmlformats.org/officeDocument/2006/relationships/image" Target="../media/image6.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0</xdr:rowOff>
    </xdr:from>
    <xdr:to>
      <xdr:col>5</xdr:col>
      <xdr:colOff>639032</xdr:colOff>
      <xdr:row>5</xdr:row>
      <xdr:rowOff>161925</xdr:rowOff>
    </xdr:to>
    <xdr:pic>
      <xdr:nvPicPr>
        <xdr:cNvPr id="2" name="Picture 1">
          <a:extLst>
            <a:ext uri="{FF2B5EF4-FFF2-40B4-BE49-F238E27FC236}">
              <a16:creationId xmlns:a16="http://schemas.microsoft.com/office/drawing/2014/main" id="{F9864C7A-F6F5-4FA3-BC63-B202FF05BC2E}"/>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5" y="0"/>
          <a:ext cx="2867882" cy="1190625"/>
        </a:xfrm>
        <a:prstGeom prst="rect">
          <a:avLst/>
        </a:prstGeom>
      </xdr:spPr>
    </xdr:pic>
    <xdr:clientData/>
  </xdr:twoCellAnchor>
  <xdr:twoCellAnchor>
    <xdr:from>
      <xdr:col>17</xdr:col>
      <xdr:colOff>87923</xdr:colOff>
      <xdr:row>19</xdr:row>
      <xdr:rowOff>117231</xdr:rowOff>
    </xdr:from>
    <xdr:to>
      <xdr:col>22</xdr:col>
      <xdr:colOff>344365</xdr:colOff>
      <xdr:row>29</xdr:row>
      <xdr:rowOff>212481</xdr:rowOff>
    </xdr:to>
    <xdr:sp macro="" textlink="">
      <xdr:nvSpPr>
        <xdr:cNvPr id="3" name="TextBox 2">
          <a:extLst>
            <a:ext uri="{FF2B5EF4-FFF2-40B4-BE49-F238E27FC236}">
              <a16:creationId xmlns:a16="http://schemas.microsoft.com/office/drawing/2014/main" id="{E32C5066-3E3A-0F3C-54CF-6F140F7FE36A}"/>
            </a:ext>
            <a:ext uri="{147F2762-F138-4A5C-976F-8EAC2B608ADB}">
              <a16:predDERef xmlns:a16="http://schemas.microsoft.com/office/drawing/2014/main" pred="{F9864C7A-F6F5-4FA3-BC63-B202FF05BC2E}"/>
            </a:ext>
          </a:extLst>
        </xdr:cNvPr>
        <xdr:cNvSpPr txBox="1"/>
      </xdr:nvSpPr>
      <xdr:spPr>
        <a:xfrm>
          <a:off x="10755923" y="4615962"/>
          <a:ext cx="3810000" cy="208817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indent="0" algn="ctr"/>
          <a:r>
            <a:rPr lang="en-US" sz="11500">
              <a:solidFill>
                <a:schemeClr val="bg1">
                  <a:lumMod val="85000"/>
                </a:schemeClr>
              </a:solidFill>
              <a:latin typeface="+mn-lt"/>
              <a:ea typeface="+mn-lt"/>
              <a:cs typeface="+mn-lt"/>
            </a:rPr>
            <a:t>Draft</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8</xdr:col>
      <xdr:colOff>68580</xdr:colOff>
      <xdr:row>0</xdr:row>
      <xdr:rowOff>60960</xdr:rowOff>
    </xdr:from>
    <xdr:to>
      <xdr:col>10</xdr:col>
      <xdr:colOff>701040</xdr:colOff>
      <xdr:row>2</xdr:row>
      <xdr:rowOff>53832</xdr:rowOff>
    </xdr:to>
    <xdr:pic>
      <xdr:nvPicPr>
        <xdr:cNvPr id="29" name="Picture 28">
          <a:extLst>
            <a:ext uri="{FF2B5EF4-FFF2-40B4-BE49-F238E27FC236}">
              <a16:creationId xmlns:a16="http://schemas.microsoft.com/office/drawing/2014/main" id="{79D3C664-210E-45A8-AEB0-0AC21029184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078980" y="60960"/>
          <a:ext cx="2385060" cy="1120632"/>
        </a:xfrm>
        <a:prstGeom prst="rect">
          <a:avLst/>
        </a:prstGeom>
      </xdr:spPr>
    </xdr:pic>
    <xdr:clientData/>
  </xdr:twoCellAnchor>
  <xdr:twoCellAnchor editAs="oneCell">
    <xdr:from>
      <xdr:col>2</xdr:col>
      <xdr:colOff>632460</xdr:colOff>
      <xdr:row>1</xdr:row>
      <xdr:rowOff>7620</xdr:rowOff>
    </xdr:from>
    <xdr:to>
      <xdr:col>4</xdr:col>
      <xdr:colOff>30480</xdr:colOff>
      <xdr:row>4</xdr:row>
      <xdr:rowOff>121920</xdr:rowOff>
    </xdr:to>
    <xdr:pic>
      <xdr:nvPicPr>
        <xdr:cNvPr id="45" name="Picture 44">
          <a:extLst>
            <a:ext uri="{FF2B5EF4-FFF2-40B4-BE49-F238E27FC236}">
              <a16:creationId xmlns:a16="http://schemas.microsoft.com/office/drawing/2014/main" id="{647A7A10-51DB-8E02-D515-CB094D87B7D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385060" y="754380"/>
          <a:ext cx="1150620" cy="10591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0</xdr:colOff>
      <xdr:row>16</xdr:row>
      <xdr:rowOff>0</xdr:rowOff>
    </xdr:from>
    <xdr:to>
      <xdr:col>11</xdr:col>
      <xdr:colOff>12700</xdr:colOff>
      <xdr:row>29</xdr:row>
      <xdr:rowOff>127000</xdr:rowOff>
    </xdr:to>
    <xdr:graphicFrame macro="">
      <xdr:nvGraphicFramePr>
        <xdr:cNvPr id="8" name="chAttendantVariance">
          <a:extLst>
            <a:ext uri="{FF2B5EF4-FFF2-40B4-BE49-F238E27FC236}">
              <a16:creationId xmlns:a16="http://schemas.microsoft.com/office/drawing/2014/main" id="{49A630C9-BC14-467E-C47D-BE35D32BB4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30</xdr:row>
      <xdr:rowOff>0</xdr:rowOff>
    </xdr:from>
    <xdr:to>
      <xdr:col>11</xdr:col>
      <xdr:colOff>12700</xdr:colOff>
      <xdr:row>43</xdr:row>
      <xdr:rowOff>127000</xdr:rowOff>
    </xdr:to>
    <xdr:graphicFrame macro="">
      <xdr:nvGraphicFramePr>
        <xdr:cNvPr id="9" name="chCorrectionsPct">
          <a:extLst>
            <a:ext uri="{FF2B5EF4-FFF2-40B4-BE49-F238E27FC236}">
              <a16:creationId xmlns:a16="http://schemas.microsoft.com/office/drawing/2014/main" id="{A9B2D7EB-9FF7-D0BE-3B3A-0D568CD9B2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3</xdr:row>
      <xdr:rowOff>0</xdr:rowOff>
    </xdr:from>
    <xdr:to>
      <xdr:col>8</xdr:col>
      <xdr:colOff>555625</xdr:colOff>
      <xdr:row>16</xdr:row>
      <xdr:rowOff>127000</xdr:rowOff>
    </xdr:to>
    <xdr:graphicFrame macro="">
      <xdr:nvGraphicFramePr>
        <xdr:cNvPr id="6" name="chSupervisorVariance">
          <a:extLst>
            <a:ext uri="{FF2B5EF4-FFF2-40B4-BE49-F238E27FC236}">
              <a16:creationId xmlns:a16="http://schemas.microsoft.com/office/drawing/2014/main" id="{7D05BB10-2C86-B6A4-5269-1999B1D674B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17</xdr:row>
      <xdr:rowOff>0</xdr:rowOff>
    </xdr:from>
    <xdr:to>
      <xdr:col>8</xdr:col>
      <xdr:colOff>555625</xdr:colOff>
      <xdr:row>30</xdr:row>
      <xdr:rowOff>127000</xdr:rowOff>
    </xdr:to>
    <xdr:graphicFrame macro="">
      <xdr:nvGraphicFramePr>
        <xdr:cNvPr id="7" name="chSupervisorMinutes">
          <a:extLst>
            <a:ext uri="{FF2B5EF4-FFF2-40B4-BE49-F238E27FC236}">
              <a16:creationId xmlns:a16="http://schemas.microsoft.com/office/drawing/2014/main" id="{FEBBD2DA-0EC7-EA8E-2880-0164BBC1B5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15</xdr:col>
      <xdr:colOff>232742</xdr:colOff>
      <xdr:row>0</xdr:row>
      <xdr:rowOff>0</xdr:rowOff>
    </xdr:from>
    <xdr:to>
      <xdr:col>17</xdr:col>
      <xdr:colOff>728042</xdr:colOff>
      <xdr:row>4</xdr:row>
      <xdr:rowOff>161925</xdr:rowOff>
    </xdr:to>
    <xdr:pic>
      <xdr:nvPicPr>
        <xdr:cNvPr id="2" name="Picture 1">
          <a:extLst>
            <a:ext uri="{FF2B5EF4-FFF2-40B4-BE49-F238E27FC236}">
              <a16:creationId xmlns:a16="http://schemas.microsoft.com/office/drawing/2014/main" id="{56E81D8E-F2A0-4012-8E63-45F577061A1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919042" y="0"/>
          <a:ext cx="1476375" cy="733425"/>
        </a:xfrm>
        <a:prstGeom prst="rect">
          <a:avLst/>
        </a:prstGeom>
      </xdr:spPr>
    </xdr:pic>
    <xdr:clientData/>
  </xdr:twoCellAnchor>
  <xdr:oneCellAnchor>
    <xdr:from>
      <xdr:col>15</xdr:col>
      <xdr:colOff>33130</xdr:colOff>
      <xdr:row>19</xdr:row>
      <xdr:rowOff>233770</xdr:rowOff>
    </xdr:from>
    <xdr:ext cx="1655694" cy="688616"/>
    <xdr:pic>
      <xdr:nvPicPr>
        <xdr:cNvPr id="3" name="Picture 2">
          <a:extLst>
            <a:ext uri="{FF2B5EF4-FFF2-40B4-BE49-F238E27FC236}">
              <a16:creationId xmlns:a16="http://schemas.microsoft.com/office/drawing/2014/main" id="{AFF0E8F3-EE1F-416C-89BF-C558CB438692}"/>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19430" y="4939120"/>
          <a:ext cx="1655694" cy="688616"/>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xdr:twoCellAnchor editAs="oneCell">
    <xdr:from>
      <xdr:col>0</xdr:col>
      <xdr:colOff>66674</xdr:colOff>
      <xdr:row>0</xdr:row>
      <xdr:rowOff>28575</xdr:rowOff>
    </xdr:from>
    <xdr:to>
      <xdr:col>3</xdr:col>
      <xdr:colOff>119681</xdr:colOff>
      <xdr:row>4</xdr:row>
      <xdr:rowOff>171450</xdr:rowOff>
    </xdr:to>
    <xdr:pic>
      <xdr:nvPicPr>
        <xdr:cNvPr id="4" name="Picture 1">
          <a:extLst>
            <a:ext uri="{FF2B5EF4-FFF2-40B4-BE49-F238E27FC236}">
              <a16:creationId xmlns:a16="http://schemas.microsoft.com/office/drawing/2014/main" id="{1A4D2466-AB54-4B9C-BA1E-BAE98FA8EF1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 y="28575"/>
          <a:ext cx="2191991" cy="90487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66674</xdr:colOff>
      <xdr:row>0</xdr:row>
      <xdr:rowOff>28575</xdr:rowOff>
    </xdr:from>
    <xdr:to>
      <xdr:col>3</xdr:col>
      <xdr:colOff>119681</xdr:colOff>
      <xdr:row>4</xdr:row>
      <xdr:rowOff>171450</xdr:rowOff>
    </xdr:to>
    <xdr:pic>
      <xdr:nvPicPr>
        <xdr:cNvPr id="2" name="Picture 1">
          <a:extLst>
            <a:ext uri="{FF2B5EF4-FFF2-40B4-BE49-F238E27FC236}">
              <a16:creationId xmlns:a16="http://schemas.microsoft.com/office/drawing/2014/main" id="{1FA90AAD-855C-4630-82BD-5C4E541976C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 y="28575"/>
          <a:ext cx="2196132" cy="90487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66674</xdr:colOff>
      <xdr:row>0</xdr:row>
      <xdr:rowOff>28575</xdr:rowOff>
    </xdr:from>
    <xdr:to>
      <xdr:col>3</xdr:col>
      <xdr:colOff>119681</xdr:colOff>
      <xdr:row>4</xdr:row>
      <xdr:rowOff>171450</xdr:rowOff>
    </xdr:to>
    <xdr:pic>
      <xdr:nvPicPr>
        <xdr:cNvPr id="2" name="Picture 1">
          <a:extLst>
            <a:ext uri="{FF2B5EF4-FFF2-40B4-BE49-F238E27FC236}">
              <a16:creationId xmlns:a16="http://schemas.microsoft.com/office/drawing/2014/main" id="{5FED38DC-F290-40BE-BB32-0FBF391BE734}"/>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 y="28575"/>
          <a:ext cx="2196132" cy="9048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66674</xdr:colOff>
      <xdr:row>0</xdr:row>
      <xdr:rowOff>28575</xdr:rowOff>
    </xdr:from>
    <xdr:to>
      <xdr:col>3</xdr:col>
      <xdr:colOff>119681</xdr:colOff>
      <xdr:row>4</xdr:row>
      <xdr:rowOff>171450</xdr:rowOff>
    </xdr:to>
    <xdr:pic>
      <xdr:nvPicPr>
        <xdr:cNvPr id="2" name="Picture 1">
          <a:extLst>
            <a:ext uri="{FF2B5EF4-FFF2-40B4-BE49-F238E27FC236}">
              <a16:creationId xmlns:a16="http://schemas.microsoft.com/office/drawing/2014/main" id="{60815F59-D5A3-4CE3-A788-D75FF31DB73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 y="28575"/>
          <a:ext cx="2196132" cy="904875"/>
        </a:xfrm>
        <a:prstGeom prst="rect">
          <a:avLst/>
        </a:prstGeom>
      </xdr:spPr>
    </xdr:pic>
    <xdr:clientData/>
  </xdr:twoCellAnchor>
  <xdr:twoCellAnchor editAs="oneCell">
    <xdr:from>
      <xdr:col>0</xdr:col>
      <xdr:colOff>66674</xdr:colOff>
      <xdr:row>0</xdr:row>
      <xdr:rowOff>28575</xdr:rowOff>
    </xdr:from>
    <xdr:to>
      <xdr:col>3</xdr:col>
      <xdr:colOff>119681</xdr:colOff>
      <xdr:row>4</xdr:row>
      <xdr:rowOff>171450</xdr:rowOff>
    </xdr:to>
    <xdr:pic>
      <xdr:nvPicPr>
        <xdr:cNvPr id="3" name="Picture 2">
          <a:extLst>
            <a:ext uri="{FF2B5EF4-FFF2-40B4-BE49-F238E27FC236}">
              <a16:creationId xmlns:a16="http://schemas.microsoft.com/office/drawing/2014/main" id="{21FCB96A-B4AD-4E46-A9C7-4751A9FCAB3C}"/>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 y="28575"/>
          <a:ext cx="2196132" cy="90487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66674</xdr:colOff>
      <xdr:row>0</xdr:row>
      <xdr:rowOff>28575</xdr:rowOff>
    </xdr:from>
    <xdr:to>
      <xdr:col>3</xdr:col>
      <xdr:colOff>119681</xdr:colOff>
      <xdr:row>4</xdr:row>
      <xdr:rowOff>171450</xdr:rowOff>
    </xdr:to>
    <xdr:pic>
      <xdr:nvPicPr>
        <xdr:cNvPr id="2" name="Picture 1">
          <a:extLst>
            <a:ext uri="{FF2B5EF4-FFF2-40B4-BE49-F238E27FC236}">
              <a16:creationId xmlns:a16="http://schemas.microsoft.com/office/drawing/2014/main" id="{24588489-66E2-4789-BE0E-593CC784230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 y="28575"/>
          <a:ext cx="2196132" cy="90487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0</xdr:col>
      <xdr:colOff>66674</xdr:colOff>
      <xdr:row>0</xdr:row>
      <xdr:rowOff>28575</xdr:rowOff>
    </xdr:from>
    <xdr:to>
      <xdr:col>3</xdr:col>
      <xdr:colOff>119681</xdr:colOff>
      <xdr:row>4</xdr:row>
      <xdr:rowOff>171450</xdr:rowOff>
    </xdr:to>
    <xdr:pic>
      <xdr:nvPicPr>
        <xdr:cNvPr id="2" name="Picture 1">
          <a:extLst>
            <a:ext uri="{FF2B5EF4-FFF2-40B4-BE49-F238E27FC236}">
              <a16:creationId xmlns:a16="http://schemas.microsoft.com/office/drawing/2014/main" id="{83EC3157-19EB-4D77-ACAB-E9C7D9CEA5B9}"/>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 y="28575"/>
          <a:ext cx="2196132" cy="904875"/>
        </a:xfrm>
        <a:prstGeom prst="rect">
          <a:avLst/>
        </a:prstGeom>
      </xdr:spPr>
    </xdr:pic>
    <xdr:clientData/>
  </xdr:twoCellAnchor>
  <xdr:twoCellAnchor editAs="oneCell">
    <xdr:from>
      <xdr:col>0</xdr:col>
      <xdr:colOff>66674</xdr:colOff>
      <xdr:row>0</xdr:row>
      <xdr:rowOff>28575</xdr:rowOff>
    </xdr:from>
    <xdr:to>
      <xdr:col>3</xdr:col>
      <xdr:colOff>119681</xdr:colOff>
      <xdr:row>4</xdr:row>
      <xdr:rowOff>171450</xdr:rowOff>
    </xdr:to>
    <xdr:pic>
      <xdr:nvPicPr>
        <xdr:cNvPr id="3" name="Picture 2">
          <a:extLst>
            <a:ext uri="{FF2B5EF4-FFF2-40B4-BE49-F238E27FC236}">
              <a16:creationId xmlns:a16="http://schemas.microsoft.com/office/drawing/2014/main" id="{971B37FF-D965-436C-9BAE-64EA4E2635F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6674" y="28575"/>
          <a:ext cx="2196132" cy="9048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219075</xdr:colOff>
      <xdr:row>0</xdr:row>
      <xdr:rowOff>76200</xdr:rowOff>
    </xdr:from>
    <xdr:to>
      <xdr:col>4</xdr:col>
      <xdr:colOff>514350</xdr:colOff>
      <xdr:row>5</xdr:row>
      <xdr:rowOff>95250</xdr:rowOff>
    </xdr:to>
    <xdr:pic>
      <xdr:nvPicPr>
        <xdr:cNvPr id="2" name="Picture 1">
          <a:extLst>
            <a:ext uri="{FF2B5EF4-FFF2-40B4-BE49-F238E27FC236}">
              <a16:creationId xmlns:a16="http://schemas.microsoft.com/office/drawing/2014/main" id="{CDD2C876-C5F7-4794-B01B-BCC7ED20924F}"/>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19075" y="76200"/>
          <a:ext cx="2514600" cy="1104900"/>
        </a:xfrm>
        <a:prstGeom prst="rect">
          <a:avLst/>
        </a:prstGeom>
      </xdr:spPr>
    </xdr:pic>
    <xdr:clientData/>
  </xdr:twoCellAnchor>
  <xdr:twoCellAnchor>
    <xdr:from>
      <xdr:col>14</xdr:col>
      <xdr:colOff>676275</xdr:colOff>
      <xdr:row>32</xdr:row>
      <xdr:rowOff>123825</xdr:rowOff>
    </xdr:from>
    <xdr:to>
      <xdr:col>16</xdr:col>
      <xdr:colOff>85725</xdr:colOff>
      <xdr:row>32</xdr:row>
      <xdr:rowOff>485775</xdr:rowOff>
    </xdr:to>
    <xdr:sp macro="" textlink="">
      <xdr:nvSpPr>
        <xdr:cNvPr id="3" name="Arrow: Up 2">
          <a:extLst>
            <a:ext uri="{FF2B5EF4-FFF2-40B4-BE49-F238E27FC236}">
              <a16:creationId xmlns:a16="http://schemas.microsoft.com/office/drawing/2014/main" id="{E392DEB3-0E0E-60C5-8554-630B28A27ED4}"/>
            </a:ext>
          </a:extLst>
        </xdr:cNvPr>
        <xdr:cNvSpPr/>
      </xdr:nvSpPr>
      <xdr:spPr>
        <a:xfrm>
          <a:off x="7019925" y="7010400"/>
          <a:ext cx="238125" cy="361950"/>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xdr:col>
      <xdr:colOff>247650</xdr:colOff>
      <xdr:row>32</xdr:row>
      <xdr:rowOff>95250</xdr:rowOff>
    </xdr:from>
    <xdr:to>
      <xdr:col>2</xdr:col>
      <xdr:colOff>161925</xdr:colOff>
      <xdr:row>32</xdr:row>
      <xdr:rowOff>457200</xdr:rowOff>
    </xdr:to>
    <xdr:sp macro="" textlink="">
      <xdr:nvSpPr>
        <xdr:cNvPr id="4" name="Arrow: Up 3">
          <a:extLst>
            <a:ext uri="{FF2B5EF4-FFF2-40B4-BE49-F238E27FC236}">
              <a16:creationId xmlns:a16="http://schemas.microsoft.com/office/drawing/2014/main" id="{D701B544-47F7-429C-99DC-1757E3C9F8DE}"/>
            </a:ext>
          </a:extLst>
        </xdr:cNvPr>
        <xdr:cNvSpPr/>
      </xdr:nvSpPr>
      <xdr:spPr>
        <a:xfrm>
          <a:off x="1314450" y="6981825"/>
          <a:ext cx="238125" cy="361950"/>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142875</xdr:colOff>
      <xdr:row>32</xdr:row>
      <xdr:rowOff>57150</xdr:rowOff>
    </xdr:from>
    <xdr:to>
      <xdr:col>1</xdr:col>
      <xdr:colOff>19050</xdr:colOff>
      <xdr:row>32</xdr:row>
      <xdr:rowOff>523875</xdr:rowOff>
    </xdr:to>
    <xdr:sp macro="" textlink="">
      <xdr:nvSpPr>
        <xdr:cNvPr id="5" name="TextBox 4">
          <a:extLst>
            <a:ext uri="{FF2B5EF4-FFF2-40B4-BE49-F238E27FC236}">
              <a16:creationId xmlns:a16="http://schemas.microsoft.com/office/drawing/2014/main" id="{7D4EB493-C0A0-04D0-D04C-0B2F2DF7B468}"/>
            </a:ext>
          </a:extLst>
        </xdr:cNvPr>
        <xdr:cNvSpPr txBox="1"/>
      </xdr:nvSpPr>
      <xdr:spPr>
        <a:xfrm>
          <a:off x="142875" y="6943725"/>
          <a:ext cx="942975" cy="4667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100" b="1">
              <a:solidFill>
                <a:srgbClr val="FF0000"/>
              </a:solidFill>
            </a:rPr>
            <a:t>Sheet PW</a:t>
          </a:r>
        </a:p>
        <a:p>
          <a:pPr algn="ctr"/>
          <a:r>
            <a:rPr lang="en-US" sz="1100" b="1">
              <a:solidFill>
                <a:srgbClr val="FF0000"/>
              </a:solidFill>
            </a:rPr>
            <a:t>"EnterInfo"</a:t>
          </a:r>
        </a:p>
      </xdr:txBody>
    </xdr:sp>
    <xdr:clientData/>
  </xdr:twoCellAnchor>
</xdr:wsDr>
</file>

<file path=xl/drawings/drawing12.xml><?xml version="1.0" encoding="utf-8"?>
<xdr:wsDr xmlns:xdr="http://schemas.openxmlformats.org/drawingml/2006/spreadsheetDrawing" xmlns:a="http://schemas.openxmlformats.org/drawingml/2006/main">
  <xdr:twoCellAnchor editAs="oneCell">
    <xdr:from>
      <xdr:col>0</xdr:col>
      <xdr:colOff>280032</xdr:colOff>
      <xdr:row>0</xdr:row>
      <xdr:rowOff>0</xdr:rowOff>
    </xdr:from>
    <xdr:to>
      <xdr:col>2</xdr:col>
      <xdr:colOff>64545</xdr:colOff>
      <xdr:row>3</xdr:row>
      <xdr:rowOff>7327</xdr:rowOff>
    </xdr:to>
    <xdr:pic>
      <xdr:nvPicPr>
        <xdr:cNvPr id="3" name="Picture 2">
          <a:extLst>
            <a:ext uri="{FF2B5EF4-FFF2-40B4-BE49-F238E27FC236}">
              <a16:creationId xmlns:a16="http://schemas.microsoft.com/office/drawing/2014/main" id="{DA714C47-CD9E-4349-9AFE-333E154C4A5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80032" y="0"/>
          <a:ext cx="1528321" cy="630115"/>
        </a:xfrm>
        <a:prstGeom prst="rect">
          <a:avLst/>
        </a:prstGeom>
      </xdr:spPr>
    </xdr:pic>
    <xdr:clientData/>
  </xdr:twoCellAnchor>
  <xdr:twoCellAnchor editAs="oneCell">
    <xdr:from>
      <xdr:col>0</xdr:col>
      <xdr:colOff>197827</xdr:colOff>
      <xdr:row>23</xdr:row>
      <xdr:rowOff>117703</xdr:rowOff>
    </xdr:from>
    <xdr:to>
      <xdr:col>1</xdr:col>
      <xdr:colOff>520211</xdr:colOff>
      <xdr:row>25</xdr:row>
      <xdr:rowOff>295745</xdr:rowOff>
    </xdr:to>
    <xdr:pic>
      <xdr:nvPicPr>
        <xdr:cNvPr id="2" name="Picture 1">
          <a:extLst>
            <a:ext uri="{FF2B5EF4-FFF2-40B4-BE49-F238E27FC236}">
              <a16:creationId xmlns:a16="http://schemas.microsoft.com/office/drawing/2014/main" id="{4A0C4772-DC20-4265-94DB-0A4F9BC2977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7827" y="6089145"/>
          <a:ext cx="1487365" cy="668946"/>
        </a:xfrm>
        <a:prstGeom prst="rect">
          <a:avLst/>
        </a:prstGeom>
      </xdr:spPr>
    </xdr:pic>
    <xdr:clientData/>
  </xdr:twoCellAnchor>
  <xdr:oneCellAnchor>
    <xdr:from>
      <xdr:col>0</xdr:col>
      <xdr:colOff>378070</xdr:colOff>
      <xdr:row>47</xdr:row>
      <xdr:rowOff>131885</xdr:rowOff>
    </xdr:from>
    <xdr:ext cx="1516641" cy="630116"/>
    <xdr:pic>
      <xdr:nvPicPr>
        <xdr:cNvPr id="4" name="Picture 3">
          <a:extLst>
            <a:ext uri="{FF2B5EF4-FFF2-40B4-BE49-F238E27FC236}">
              <a16:creationId xmlns:a16="http://schemas.microsoft.com/office/drawing/2014/main" id="{B7F889F8-7927-48FA-9C16-FF9BA1B9C2D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78070" y="12184673"/>
          <a:ext cx="1516641" cy="630116"/>
        </a:xfrm>
        <a:prstGeom prst="rect">
          <a:avLst/>
        </a:prstGeom>
      </xdr:spPr>
    </xdr:pic>
    <xdr:clientData/>
  </xdr:oneCellAnchor>
  <xdr:twoCellAnchor editAs="oneCell">
    <xdr:from>
      <xdr:col>23</xdr:col>
      <xdr:colOff>337039</xdr:colOff>
      <xdr:row>4</xdr:row>
      <xdr:rowOff>58615</xdr:rowOff>
    </xdr:from>
    <xdr:to>
      <xdr:col>24</xdr:col>
      <xdr:colOff>549520</xdr:colOff>
      <xdr:row>8</xdr:row>
      <xdr:rowOff>120096</xdr:rowOff>
    </xdr:to>
    <xdr:pic>
      <xdr:nvPicPr>
        <xdr:cNvPr id="5" name="Picture 4">
          <a:extLst>
            <a:ext uri="{FF2B5EF4-FFF2-40B4-BE49-F238E27FC236}">
              <a16:creationId xmlns:a16="http://schemas.microsoft.com/office/drawing/2014/main" id="{B3AC4AC9-3E89-A2B1-B6D8-0BA75A2E8A05}"/>
            </a:ext>
          </a:extLst>
        </xdr:cNvPr>
        <xdr:cNvPicPr>
          <a:picLocks noChangeAspect="1"/>
        </xdr:cNvPicPr>
      </xdr:nvPicPr>
      <xdr:blipFill>
        <a:blip xmlns:r="http://schemas.openxmlformats.org/officeDocument/2006/relationships" r:embed="rId2"/>
        <a:stretch>
          <a:fillRect/>
        </a:stretch>
      </xdr:blipFill>
      <xdr:spPr>
        <a:xfrm>
          <a:off x="11239501" y="1560634"/>
          <a:ext cx="791307" cy="1123885"/>
        </a:xfrm>
        <a:prstGeom prst="rect">
          <a:avLst/>
        </a:prstGeom>
      </xdr:spPr>
    </xdr:pic>
    <xdr:clientData/>
  </xdr:twoCellAnchor>
  <xdr:twoCellAnchor editAs="oneCell">
    <xdr:from>
      <xdr:col>22</xdr:col>
      <xdr:colOff>293076</xdr:colOff>
      <xdr:row>9</xdr:row>
      <xdr:rowOff>36637</xdr:rowOff>
    </xdr:from>
    <xdr:to>
      <xdr:col>24</xdr:col>
      <xdr:colOff>483577</xdr:colOff>
      <xdr:row>12</xdr:row>
      <xdr:rowOff>140406</xdr:rowOff>
    </xdr:to>
    <xdr:pic>
      <xdr:nvPicPr>
        <xdr:cNvPr id="6" name="Picture 5">
          <a:extLst>
            <a:ext uri="{FF2B5EF4-FFF2-40B4-BE49-F238E27FC236}">
              <a16:creationId xmlns:a16="http://schemas.microsoft.com/office/drawing/2014/main" id="{4ABF1622-09F0-1639-D532-861842D07280}"/>
            </a:ext>
          </a:extLst>
        </xdr:cNvPr>
        <xdr:cNvPicPr>
          <a:picLocks noChangeAspect="1"/>
        </xdr:cNvPicPr>
      </xdr:nvPicPr>
      <xdr:blipFill rotWithShape="1">
        <a:blip xmlns:r="http://schemas.openxmlformats.org/officeDocument/2006/relationships" r:embed="rId3"/>
        <a:srcRect l="18264" t="5514" r="62508" b="60130"/>
        <a:stretch>
          <a:fillRect/>
        </a:stretch>
      </xdr:blipFill>
      <xdr:spPr>
        <a:xfrm>
          <a:off x="10616711" y="2908791"/>
          <a:ext cx="1348154" cy="102696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0</xdr:col>
      <xdr:colOff>180975</xdr:colOff>
      <xdr:row>0</xdr:row>
      <xdr:rowOff>0</xdr:rowOff>
    </xdr:from>
    <xdr:to>
      <xdr:col>5</xdr:col>
      <xdr:colOff>126215</xdr:colOff>
      <xdr:row>1</xdr:row>
      <xdr:rowOff>561974</xdr:rowOff>
    </xdr:to>
    <xdr:pic>
      <xdr:nvPicPr>
        <xdr:cNvPr id="3" name="Picture 2">
          <a:extLst>
            <a:ext uri="{FF2B5EF4-FFF2-40B4-BE49-F238E27FC236}">
              <a16:creationId xmlns:a16="http://schemas.microsoft.com/office/drawing/2014/main" id="{482B07F1-6429-4ECB-B1D9-3D1F728B4112}"/>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80975" y="0"/>
          <a:ext cx="2355065" cy="109537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1</xdr:colOff>
      <xdr:row>5</xdr:row>
      <xdr:rowOff>0</xdr:rowOff>
    </xdr:from>
    <xdr:to>
      <xdr:col>14</xdr:col>
      <xdr:colOff>1</xdr:colOff>
      <xdr:row>31</xdr:row>
      <xdr:rowOff>3175</xdr:rowOff>
    </xdr:to>
    <xdr:graphicFrame macro="">
      <xdr:nvGraphicFramePr>
        <xdr:cNvPr id="2" name="Chart 1">
          <a:extLst>
            <a:ext uri="{FF2B5EF4-FFF2-40B4-BE49-F238E27FC236}">
              <a16:creationId xmlns:a16="http://schemas.microsoft.com/office/drawing/2014/main" id="{7BA5ED03-93BA-441F-BD74-C8E781CCF4EB}"/>
            </a:ext>
            <a:ext uri="{147F2762-F138-4A5C-976F-8EAC2B608ADB}">
              <a16:predDERef xmlns:a16="http://schemas.microsoft.com/office/drawing/2014/main" pred="{B7F889F8-7927-48FA-9C16-FF9BA1B9C2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45572</xdr:colOff>
      <xdr:row>0</xdr:row>
      <xdr:rowOff>10026</xdr:rowOff>
    </xdr:from>
    <xdr:to>
      <xdr:col>3</xdr:col>
      <xdr:colOff>504826</xdr:colOff>
      <xdr:row>4</xdr:row>
      <xdr:rowOff>180866</xdr:rowOff>
    </xdr:to>
    <xdr:pic>
      <xdr:nvPicPr>
        <xdr:cNvPr id="3" name="Picture 2">
          <a:extLst>
            <a:ext uri="{FF2B5EF4-FFF2-40B4-BE49-F238E27FC236}">
              <a16:creationId xmlns:a16="http://schemas.microsoft.com/office/drawing/2014/main" id="{CA70C479-06F3-498C-8BC1-F544C41F9484}"/>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572" y="10026"/>
          <a:ext cx="2288054" cy="1075715"/>
        </a:xfrm>
        <a:prstGeom prst="rect">
          <a:avLst/>
        </a:prstGeom>
      </xdr:spPr>
    </xdr:pic>
    <xdr:clientData/>
  </xdr:twoCellAnchor>
  <xdr:twoCellAnchor editAs="oneCell">
    <xdr:from>
      <xdr:col>16</xdr:col>
      <xdr:colOff>581025</xdr:colOff>
      <xdr:row>10</xdr:row>
      <xdr:rowOff>180975</xdr:rowOff>
    </xdr:from>
    <xdr:to>
      <xdr:col>20</xdr:col>
      <xdr:colOff>247944</xdr:colOff>
      <xdr:row>18</xdr:row>
      <xdr:rowOff>47819</xdr:rowOff>
    </xdr:to>
    <xdr:pic>
      <xdr:nvPicPr>
        <xdr:cNvPr id="4" name="Picture 3">
          <a:extLst>
            <a:ext uri="{FF2B5EF4-FFF2-40B4-BE49-F238E27FC236}">
              <a16:creationId xmlns:a16="http://schemas.microsoft.com/office/drawing/2014/main" id="{571386CB-757D-8F2C-F0C9-A9D242324088}"/>
            </a:ext>
          </a:extLst>
        </xdr:cNvPr>
        <xdr:cNvPicPr>
          <a:picLocks noChangeAspect="1"/>
        </xdr:cNvPicPr>
      </xdr:nvPicPr>
      <xdr:blipFill>
        <a:blip xmlns:r="http://schemas.openxmlformats.org/officeDocument/2006/relationships" r:embed="rId3"/>
        <a:stretch>
          <a:fillRect/>
        </a:stretch>
      </xdr:blipFill>
      <xdr:spPr>
        <a:xfrm>
          <a:off x="10334625" y="2371725"/>
          <a:ext cx="2105319" cy="1390844"/>
        </a:xfrm>
        <a:prstGeom prst="rect">
          <a:avLst/>
        </a:prstGeom>
      </xdr:spPr>
    </xdr:pic>
    <xdr:clientData/>
  </xdr:twoCellAnchor>
  <xdr:twoCellAnchor>
    <xdr:from>
      <xdr:col>19</xdr:col>
      <xdr:colOff>200025</xdr:colOff>
      <xdr:row>15</xdr:row>
      <xdr:rowOff>171450</xdr:rowOff>
    </xdr:from>
    <xdr:to>
      <xdr:col>20</xdr:col>
      <xdr:colOff>552450</xdr:colOff>
      <xdr:row>16</xdr:row>
      <xdr:rowOff>76200</xdr:rowOff>
    </xdr:to>
    <xdr:cxnSp macro="">
      <xdr:nvCxnSpPr>
        <xdr:cNvPr id="6" name="Straight Arrow Connector 5">
          <a:extLst>
            <a:ext uri="{FF2B5EF4-FFF2-40B4-BE49-F238E27FC236}">
              <a16:creationId xmlns:a16="http://schemas.microsoft.com/office/drawing/2014/main" id="{05435E6F-82A6-C8A2-1888-4325809EF7E1}"/>
            </a:ext>
          </a:extLst>
        </xdr:cNvPr>
        <xdr:cNvCxnSpPr/>
      </xdr:nvCxnSpPr>
      <xdr:spPr>
        <a:xfrm flipH="1">
          <a:off x="11782425" y="3314700"/>
          <a:ext cx="962025" cy="952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21</xdr:col>
      <xdr:colOff>361950</xdr:colOff>
      <xdr:row>16</xdr:row>
      <xdr:rowOff>95251</xdr:rowOff>
    </xdr:from>
    <xdr:to>
      <xdr:col>24</xdr:col>
      <xdr:colOff>352425</xdr:colOff>
      <xdr:row>26</xdr:row>
      <xdr:rowOff>166831</xdr:rowOff>
    </xdr:to>
    <xdr:pic>
      <xdr:nvPicPr>
        <xdr:cNvPr id="10" name="Picture 9">
          <a:extLst>
            <a:ext uri="{FF2B5EF4-FFF2-40B4-BE49-F238E27FC236}">
              <a16:creationId xmlns:a16="http://schemas.microsoft.com/office/drawing/2014/main" id="{548F85E3-6D87-F474-6C56-901894022C88}"/>
            </a:ext>
          </a:extLst>
        </xdr:cNvPr>
        <xdr:cNvPicPr>
          <a:picLocks noChangeAspect="1"/>
        </xdr:cNvPicPr>
      </xdr:nvPicPr>
      <xdr:blipFill>
        <a:blip xmlns:r="http://schemas.openxmlformats.org/officeDocument/2006/relationships" r:embed="rId4"/>
        <a:stretch>
          <a:fillRect/>
        </a:stretch>
      </xdr:blipFill>
      <xdr:spPr>
        <a:xfrm>
          <a:off x="13163550" y="3429001"/>
          <a:ext cx="1819275" cy="1976580"/>
        </a:xfrm>
        <a:prstGeom prst="rect">
          <a:avLst/>
        </a:prstGeom>
      </xdr:spPr>
    </xdr:pic>
    <xdr:clientData/>
  </xdr:twoCellAnchor>
  <xdr:twoCellAnchor>
    <xdr:from>
      <xdr:col>0</xdr:col>
      <xdr:colOff>1</xdr:colOff>
      <xdr:row>44</xdr:row>
      <xdr:rowOff>0</xdr:rowOff>
    </xdr:from>
    <xdr:to>
      <xdr:col>14</xdr:col>
      <xdr:colOff>1</xdr:colOff>
      <xdr:row>70</xdr:row>
      <xdr:rowOff>3175</xdr:rowOff>
    </xdr:to>
    <xdr:graphicFrame macro="">
      <xdr:nvGraphicFramePr>
        <xdr:cNvPr id="11" name="Chart 10">
          <a:extLst>
            <a:ext uri="{FF2B5EF4-FFF2-40B4-BE49-F238E27FC236}">
              <a16:creationId xmlns:a16="http://schemas.microsoft.com/office/drawing/2014/main" id="{F02EF5DF-C036-4A72-9B13-23AD2DFA7DEC}"/>
            </a:ext>
            <a:ext uri="{147F2762-F138-4A5C-976F-8EAC2B608ADB}">
              <a16:predDERef xmlns:a16="http://schemas.microsoft.com/office/drawing/2014/main" pred="{B7F889F8-7927-48FA-9C16-FF9BA1B9C2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oneCellAnchor>
    <xdr:from>
      <xdr:col>0</xdr:col>
      <xdr:colOff>45572</xdr:colOff>
      <xdr:row>38</xdr:row>
      <xdr:rowOff>76200</xdr:rowOff>
    </xdr:from>
    <xdr:ext cx="2552496" cy="1200041"/>
    <xdr:pic>
      <xdr:nvPicPr>
        <xdr:cNvPr id="12" name="Picture 11">
          <a:extLst>
            <a:ext uri="{FF2B5EF4-FFF2-40B4-BE49-F238E27FC236}">
              <a16:creationId xmlns:a16="http://schemas.microsoft.com/office/drawing/2014/main" id="{7204E3A1-D326-4C40-AB99-BFFE03846993}"/>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572" y="7600950"/>
          <a:ext cx="2552496" cy="1200041"/>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xdr:oneCellAnchor>
    <xdr:from>
      <xdr:col>0</xdr:col>
      <xdr:colOff>609600</xdr:colOff>
      <xdr:row>1</xdr:row>
      <xdr:rowOff>51608</xdr:rowOff>
    </xdr:from>
    <xdr:ext cx="2027284" cy="838060"/>
    <xdr:pic>
      <xdr:nvPicPr>
        <xdr:cNvPr id="2" name="Picture 1">
          <a:extLst>
            <a:ext uri="{FF2B5EF4-FFF2-40B4-BE49-F238E27FC236}">
              <a16:creationId xmlns:a16="http://schemas.microsoft.com/office/drawing/2014/main" id="{7935FAF0-C5DA-427A-92A8-319F2A80B558}"/>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8067675" y="51608"/>
          <a:ext cx="2027284" cy="838060"/>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xdr:oneCellAnchor>
    <xdr:from>
      <xdr:col>0</xdr:col>
      <xdr:colOff>131976</xdr:colOff>
      <xdr:row>0</xdr:row>
      <xdr:rowOff>12199</xdr:rowOff>
    </xdr:from>
    <xdr:ext cx="1878268" cy="775367"/>
    <xdr:pic>
      <xdr:nvPicPr>
        <xdr:cNvPr id="2" name="Picture 1">
          <a:extLst>
            <a:ext uri="{FF2B5EF4-FFF2-40B4-BE49-F238E27FC236}">
              <a16:creationId xmlns:a16="http://schemas.microsoft.com/office/drawing/2014/main" id="{D52FDE9F-B7D1-4A37-A5EF-13AF0758B1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31976" y="12199"/>
          <a:ext cx="1878268" cy="775367"/>
        </a:xfrm>
        <a:prstGeom prst="rect">
          <a:avLst/>
        </a:prstGeom>
      </xdr:spPr>
    </xdr:pic>
    <xdr:clientData/>
  </xdr:oneCellAnchor>
  <xdr:oneCellAnchor>
    <xdr:from>
      <xdr:col>8</xdr:col>
      <xdr:colOff>11986</xdr:colOff>
      <xdr:row>0</xdr:row>
      <xdr:rowOff>101600</xdr:rowOff>
    </xdr:from>
    <xdr:ext cx="1806564" cy="746125"/>
    <xdr:pic>
      <xdr:nvPicPr>
        <xdr:cNvPr id="7" name="Picture 6">
          <a:extLst>
            <a:ext uri="{FF2B5EF4-FFF2-40B4-BE49-F238E27FC236}">
              <a16:creationId xmlns:a16="http://schemas.microsoft.com/office/drawing/2014/main" id="{0A3A353E-95E0-434F-BAD2-C56BD25FC5F8}"/>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5917486" y="101600"/>
          <a:ext cx="1806564" cy="746125"/>
        </a:xfrm>
        <a:prstGeom prst="rect">
          <a:avLst/>
        </a:prstGeom>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501CA70-5B9E-49CF-A363-5D224DF92C90}" name="tblAttendantVariance" displayName="tblAttendantVariance" ref="A1:H56" totalsRowShown="0">
  <autoFilter ref="A1:H56" xr:uid="{E501CA70-5B9E-49CF-A363-5D224DF92C90}"/>
  <tableColumns count="8">
    <tableColumn id="1" xr3:uid="{23EA8BEB-0589-4738-8727-378856045894}" name="WorkDate" dataDxfId="160"/>
    <tableColumn id="2" xr3:uid="{EDA9C3CC-46BF-4465-95AB-905378C8A29F}" name="MonthName"/>
    <tableColumn id="3" xr3:uid="{9C40FFB3-6FF6-4EA1-803C-3E8714ECDBCF}" name="Day"/>
    <tableColumn id="4" xr3:uid="{3CBAA806-2EBE-49DE-9AB3-199E41C31ACC}" name="Attendant"/>
    <tableColumn id="5" xr3:uid="{A963CA7A-5357-4A06-9580-03730CD44706}" name="Variance"/>
    <tableColumn id="6" xr3:uid="{C1096EE2-3BEE-494F-998F-F7B7583E95A3}" name="Rooms"/>
    <tableColumn id="7" xr3:uid="{8DA5A7C0-FEA8-4E26-A11B-5104D640E8AD}" name="Corrections"/>
    <tableColumn id="8" xr3:uid="{D976739C-F765-4C79-85CC-442048873F95}" name="SourceSheet"/>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C6391D28-62B1-42A4-A39B-046DEB32BDC0}" name="tblCorrectionsBreakdown" displayName="tblCorrectionsBreakdown" ref="K1:N177" totalsRowShown="0">
  <autoFilter ref="K1:N177" xr:uid="{C6391D28-62B1-42A4-A39B-046DEB32BDC0}"/>
  <tableColumns count="4">
    <tableColumn id="1" xr3:uid="{C4BB3916-CD3E-4E61-A8C6-3C0067BE129B}" name="MonthName"/>
    <tableColumn id="2" xr3:uid="{7BD589E9-CD0F-42B3-9308-5AD3204E485B}" name="Attendant"/>
    <tableColumn id="3" xr3:uid="{80C8267E-65B3-4E95-AAAF-1CB731B7FC6D}" name="CorrectionType"/>
    <tableColumn id="4" xr3:uid="{8AD20EA0-D8AB-4704-8C10-E4CCB1E2AE5D}" name="Corrections"/>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CE75EE6-FC46-404A-9AB4-25B6F29FB1CB}" name="tblSupervisorDaily" displayName="tblSupervisorDaily" ref="A1:J5" totalsRowShown="0">
  <autoFilter ref="A1:J5" xr:uid="{ECE75EE6-FC46-404A-9AB4-25B6F29FB1CB}"/>
  <tableColumns count="10">
    <tableColumn id="1" xr3:uid="{82C43206-B9DB-4FD6-9E84-61212889B660}" name="WorkDate"/>
    <tableColumn id="2" xr3:uid="{C2FE42CF-7D8A-4F53-8B28-FF0E489A0823}" name="MonthName"/>
    <tableColumn id="3" xr3:uid="{2F45D343-9EEF-4DB2-9091-530805AD739A}" name="Day"/>
    <tableColumn id="4" xr3:uid="{1678A097-73F9-4C47-AC7E-01A8F34976AA}" name="Supervisor"/>
    <tableColumn id="5" xr3:uid="{E1C19A32-EC12-4C8D-966B-64232CF18A18}" name="Variance"/>
    <tableColumn id="6" xr3:uid="{A6E78083-01D7-404C-8A10-DB1A6FB68C9B}" name="ActualMinutes"/>
    <tableColumn id="7" xr3:uid="{A94B4BAF-C537-4037-B98B-A1B0FAE1841C}" name="SpecialTask"/>
    <tableColumn id="8" xr3:uid="{A4F2DE0E-FA6A-42E9-8953-D64E0D7D7CAF}" name="SpecialMinutes"/>
    <tableColumn id="9" xr3:uid="{829166EB-E8FE-4B3F-AED9-6D97CDF0316F}" name="RegularMinutes"/>
    <tableColumn id="10" xr3:uid="{68D7017E-2749-4FD5-B85A-5EA10118EE31}" name="SourceSheet"/>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3.xml"/></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7.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8.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0.xml"/><Relationship Id="rId1" Type="http://schemas.openxmlformats.org/officeDocument/2006/relationships/printerSettings" Target="../printerSettings/printerSettings4.bin"/><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1.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6.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8.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6F9F35-7448-4AD1-B09B-A26634074DF7}">
  <sheetPr codeName="Sheet2"/>
  <dimension ref="A1:AW177"/>
  <sheetViews>
    <sheetView workbookViewId="0">
      <selection activeCell="Q12" sqref="Q12"/>
    </sheetView>
  </sheetViews>
  <sheetFormatPr defaultRowHeight="15" x14ac:dyDescent="0.25"/>
  <cols>
    <col min="1" max="1" width="11.7109375" bestFit="1" customWidth="1"/>
    <col min="2" max="2" width="14" bestFit="1" customWidth="1"/>
    <col min="3" max="3" width="6.42578125" bestFit="1" customWidth="1"/>
    <col min="4" max="4" width="11.7109375" bestFit="1" customWidth="1"/>
    <col min="5" max="5" width="10.5703125" bestFit="1" customWidth="1"/>
    <col min="6" max="6" width="13.7109375" bestFit="1" customWidth="1"/>
    <col min="7" max="7" width="12.42578125" customWidth="1"/>
    <col min="8" max="8" width="13.42578125" bestFit="1" customWidth="1"/>
    <col min="9" max="9" width="11.7109375" bestFit="1" customWidth="1"/>
    <col min="10" max="10" width="13.42578125" bestFit="1" customWidth="1"/>
    <col min="11" max="11" width="13.7109375" customWidth="1"/>
    <col min="12" max="12" width="11.7109375" bestFit="1" customWidth="1"/>
    <col min="13" max="13" width="15.7109375" customWidth="1"/>
    <col min="14" max="14" width="12.42578125" customWidth="1"/>
    <col min="15" max="15" width="11.7109375" bestFit="1" customWidth="1"/>
    <col min="16" max="16" width="10.7109375" bestFit="1" customWidth="1"/>
    <col min="20" max="23" width="8.85546875" customWidth="1"/>
    <col min="26" max="38" width="8.85546875" customWidth="1"/>
    <col min="43" max="48" width="8.85546875" customWidth="1"/>
    <col min="60" max="71" width="8.85546875" customWidth="1"/>
  </cols>
  <sheetData>
    <row r="1" spans="1:49" x14ac:dyDescent="0.25">
      <c r="A1" t="s">
        <v>219</v>
      </c>
      <c r="B1" t="s">
        <v>220</v>
      </c>
      <c r="C1" t="s">
        <v>221</v>
      </c>
      <c r="D1" t="s">
        <v>222</v>
      </c>
      <c r="E1" t="s">
        <v>120</v>
      </c>
      <c r="F1" t="s">
        <v>215</v>
      </c>
      <c r="G1" t="s">
        <v>16</v>
      </c>
      <c r="H1" t="s">
        <v>223</v>
      </c>
      <c r="K1" t="s">
        <v>220</v>
      </c>
      <c r="L1" t="s">
        <v>222</v>
      </c>
      <c r="M1" t="s">
        <v>233</v>
      </c>
      <c r="N1" t="s">
        <v>16</v>
      </c>
      <c r="R1" t="s">
        <v>222</v>
      </c>
      <c r="S1">
        <v>1</v>
      </c>
      <c r="T1">
        <v>2</v>
      </c>
      <c r="U1">
        <v>3</v>
      </c>
      <c r="V1">
        <v>4</v>
      </c>
      <c r="W1">
        <v>5</v>
      </c>
      <c r="X1">
        <v>6</v>
      </c>
      <c r="Y1">
        <v>7</v>
      </c>
      <c r="Z1">
        <v>8</v>
      </c>
      <c r="AA1">
        <v>9</v>
      </c>
      <c r="AB1">
        <v>10</v>
      </c>
      <c r="AC1">
        <v>11</v>
      </c>
      <c r="AD1">
        <v>12</v>
      </c>
      <c r="AE1">
        <v>13</v>
      </c>
      <c r="AF1">
        <v>14</v>
      </c>
      <c r="AG1">
        <v>15</v>
      </c>
      <c r="AH1">
        <v>16</v>
      </c>
      <c r="AI1">
        <v>17</v>
      </c>
      <c r="AJ1">
        <v>18</v>
      </c>
      <c r="AK1">
        <v>19</v>
      </c>
      <c r="AL1">
        <v>20</v>
      </c>
      <c r="AM1">
        <v>21</v>
      </c>
      <c r="AN1">
        <v>22</v>
      </c>
      <c r="AO1">
        <v>23</v>
      </c>
      <c r="AP1">
        <v>24</v>
      </c>
      <c r="AQ1">
        <v>25</v>
      </c>
      <c r="AR1">
        <v>26</v>
      </c>
      <c r="AS1">
        <v>27</v>
      </c>
      <c r="AT1">
        <v>28</v>
      </c>
      <c r="AU1">
        <v>29</v>
      </c>
      <c r="AV1">
        <v>30</v>
      </c>
      <c r="AW1">
        <v>31</v>
      </c>
    </row>
    <row r="2" spans="1:49" x14ac:dyDescent="0.25">
      <c r="A2" s="680">
        <v>46025</v>
      </c>
      <c r="B2" t="s">
        <v>34</v>
      </c>
      <c r="C2">
        <v>3</v>
      </c>
      <c r="D2" t="s">
        <v>27</v>
      </c>
      <c r="E2">
        <v>-4</v>
      </c>
      <c r="F2">
        <v>7</v>
      </c>
      <c r="G2">
        <v>6</v>
      </c>
      <c r="H2" t="s">
        <v>224</v>
      </c>
      <c r="K2" t="s">
        <v>34</v>
      </c>
      <c r="L2" t="s">
        <v>27</v>
      </c>
      <c r="M2" t="s">
        <v>178</v>
      </c>
      <c r="N2">
        <v>2</v>
      </c>
      <c r="R2" t="s">
        <v>27</v>
      </c>
      <c r="S2">
        <v>0</v>
      </c>
      <c r="T2">
        <v>0</v>
      </c>
      <c r="U2">
        <v>-4</v>
      </c>
      <c r="V2">
        <v>0</v>
      </c>
      <c r="W2">
        <v>0</v>
      </c>
      <c r="X2">
        <v>25</v>
      </c>
      <c r="Y2">
        <v>-0.99999999999994316</v>
      </c>
      <c r="Z2">
        <v>0</v>
      </c>
      <c r="AA2">
        <v>61.000000000000057</v>
      </c>
      <c r="AB2">
        <v>0</v>
      </c>
      <c r="AC2">
        <v>21.000000000000057</v>
      </c>
      <c r="AD2">
        <v>25.000000000000028</v>
      </c>
      <c r="AE2">
        <v>29.000000000000028</v>
      </c>
      <c r="AF2">
        <v>39.999999999999943</v>
      </c>
      <c r="AG2">
        <v>0</v>
      </c>
      <c r="AH2">
        <v>28</v>
      </c>
      <c r="AI2">
        <v>0</v>
      </c>
      <c r="AJ2">
        <v>-20</v>
      </c>
      <c r="AK2">
        <v>49.000000000000085</v>
      </c>
      <c r="AL2">
        <v>25.999999999999972</v>
      </c>
      <c r="AM2">
        <v>60.999999999999915</v>
      </c>
      <c r="AN2">
        <v>0</v>
      </c>
      <c r="AO2">
        <v>0</v>
      </c>
      <c r="AP2">
        <v>0</v>
      </c>
      <c r="AQ2">
        <v>63.000000000000057</v>
      </c>
      <c r="AR2">
        <v>23.999999999999972</v>
      </c>
      <c r="AS2">
        <v>24</v>
      </c>
      <c r="AT2">
        <v>23.999999999999972</v>
      </c>
      <c r="AU2">
        <v>0</v>
      </c>
      <c r="AV2">
        <v>0</v>
      </c>
      <c r="AW2">
        <v>6</v>
      </c>
    </row>
    <row r="3" spans="1:49" x14ac:dyDescent="0.25">
      <c r="A3" s="680">
        <v>46026</v>
      </c>
      <c r="B3" t="s">
        <v>34</v>
      </c>
      <c r="C3">
        <v>4</v>
      </c>
      <c r="D3" t="s">
        <v>31</v>
      </c>
      <c r="E3">
        <v>-16</v>
      </c>
      <c r="F3">
        <v>7</v>
      </c>
      <c r="G3">
        <v>6</v>
      </c>
      <c r="H3" t="s">
        <v>224</v>
      </c>
      <c r="K3" t="s">
        <v>34</v>
      </c>
      <c r="L3" t="s">
        <v>27</v>
      </c>
      <c r="M3" t="s">
        <v>180</v>
      </c>
      <c r="N3">
        <v>2</v>
      </c>
      <c r="R3" t="s">
        <v>31</v>
      </c>
      <c r="S3">
        <v>0</v>
      </c>
      <c r="T3">
        <v>0</v>
      </c>
      <c r="U3">
        <v>0</v>
      </c>
      <c r="V3">
        <v>-16</v>
      </c>
      <c r="W3">
        <v>0</v>
      </c>
      <c r="X3">
        <v>-31</v>
      </c>
      <c r="Y3">
        <v>-42.000000000000085</v>
      </c>
      <c r="Z3">
        <v>-242.00000000000006</v>
      </c>
      <c r="AA3">
        <v>46.000000000000028</v>
      </c>
      <c r="AB3">
        <v>0</v>
      </c>
      <c r="AC3">
        <v>0</v>
      </c>
      <c r="AD3">
        <v>0</v>
      </c>
      <c r="AE3">
        <v>-16.000000000000028</v>
      </c>
      <c r="AF3">
        <v>75.000000000000085</v>
      </c>
      <c r="AG3">
        <v>-5.0000000000000568</v>
      </c>
      <c r="AH3">
        <v>-9</v>
      </c>
      <c r="AI3">
        <v>0</v>
      </c>
      <c r="AJ3">
        <v>-62.999999999999943</v>
      </c>
      <c r="AK3">
        <v>0</v>
      </c>
      <c r="AL3">
        <v>-1.9999999999999716</v>
      </c>
      <c r="AM3">
        <v>20.000000000000028</v>
      </c>
      <c r="AN3">
        <v>-5.0000000000000284</v>
      </c>
      <c r="AO3">
        <v>21.000000000000057</v>
      </c>
      <c r="AP3">
        <v>0</v>
      </c>
      <c r="AQ3">
        <v>0</v>
      </c>
      <c r="AR3">
        <v>0</v>
      </c>
      <c r="AS3">
        <v>-4.0000000000000284</v>
      </c>
      <c r="AT3">
        <v>0</v>
      </c>
      <c r="AU3">
        <v>-5.0000000000000284</v>
      </c>
      <c r="AV3">
        <v>-41.999999999999943</v>
      </c>
      <c r="AW3">
        <v>-43</v>
      </c>
    </row>
    <row r="4" spans="1:49" x14ac:dyDescent="0.25">
      <c r="A4" s="680">
        <v>46028</v>
      </c>
      <c r="B4" t="s">
        <v>34</v>
      </c>
      <c r="C4">
        <v>6</v>
      </c>
      <c r="D4" t="s">
        <v>31</v>
      </c>
      <c r="E4">
        <v>-31</v>
      </c>
      <c r="F4">
        <v>6</v>
      </c>
      <c r="G4">
        <v>4</v>
      </c>
      <c r="H4" t="s">
        <v>224</v>
      </c>
      <c r="K4" t="s">
        <v>34</v>
      </c>
      <c r="L4" t="s">
        <v>27</v>
      </c>
      <c r="M4" t="s">
        <v>183</v>
      </c>
      <c r="N4">
        <v>1</v>
      </c>
      <c r="R4" t="s">
        <v>21</v>
      </c>
      <c r="S4">
        <v>0</v>
      </c>
      <c r="T4">
        <v>0</v>
      </c>
      <c r="U4">
        <v>0</v>
      </c>
      <c r="V4">
        <v>0</v>
      </c>
      <c r="W4">
        <v>0</v>
      </c>
      <c r="X4">
        <v>0</v>
      </c>
      <c r="Y4">
        <v>39</v>
      </c>
      <c r="Z4">
        <v>-203.00000000000003</v>
      </c>
      <c r="AA4">
        <v>10.000000000000057</v>
      </c>
      <c r="AB4">
        <v>-39.999999999999943</v>
      </c>
      <c r="AC4">
        <v>0</v>
      </c>
      <c r="AD4">
        <v>45.999999999999972</v>
      </c>
      <c r="AE4">
        <v>0</v>
      </c>
      <c r="AF4">
        <v>-52</v>
      </c>
      <c r="AG4">
        <v>-39.000000000000057</v>
      </c>
      <c r="AH4">
        <v>-9.0000000000000568</v>
      </c>
      <c r="AI4">
        <v>35.000000000000057</v>
      </c>
      <c r="AJ4">
        <v>-18.999999999999915</v>
      </c>
      <c r="AK4">
        <v>-34.000000000000028</v>
      </c>
      <c r="AL4">
        <v>0</v>
      </c>
      <c r="AM4">
        <v>0</v>
      </c>
      <c r="AN4">
        <v>-7</v>
      </c>
      <c r="AO4">
        <v>21.000000000000057</v>
      </c>
      <c r="AP4">
        <v>0</v>
      </c>
      <c r="AQ4">
        <v>-39.999999999999972</v>
      </c>
      <c r="AR4">
        <v>-10.000000000000057</v>
      </c>
      <c r="AS4">
        <v>0</v>
      </c>
      <c r="AT4">
        <v>0</v>
      </c>
      <c r="AU4">
        <v>-56</v>
      </c>
      <c r="AV4">
        <v>-62.000000000000057</v>
      </c>
      <c r="AW4">
        <v>-12</v>
      </c>
    </row>
    <row r="5" spans="1:49" x14ac:dyDescent="0.25">
      <c r="A5" s="680">
        <v>46028</v>
      </c>
      <c r="B5" t="s">
        <v>34</v>
      </c>
      <c r="C5">
        <v>6</v>
      </c>
      <c r="D5" t="s">
        <v>27</v>
      </c>
      <c r="E5">
        <v>25</v>
      </c>
      <c r="F5">
        <v>6</v>
      </c>
      <c r="G5">
        <v>3</v>
      </c>
      <c r="H5" t="s">
        <v>224</v>
      </c>
      <c r="K5" t="s">
        <v>34</v>
      </c>
      <c r="L5" t="s">
        <v>27</v>
      </c>
      <c r="M5" t="s">
        <v>185</v>
      </c>
      <c r="N5">
        <v>1</v>
      </c>
    </row>
    <row r="6" spans="1:49" x14ac:dyDescent="0.25">
      <c r="A6" s="680">
        <v>46029</v>
      </c>
      <c r="B6" t="s">
        <v>34</v>
      </c>
      <c r="C6">
        <v>7</v>
      </c>
      <c r="D6" t="s">
        <v>31</v>
      </c>
      <c r="E6">
        <v>-42.000000000000085</v>
      </c>
      <c r="F6">
        <v>2</v>
      </c>
      <c r="G6">
        <v>0</v>
      </c>
      <c r="H6" t="s">
        <v>224</v>
      </c>
      <c r="K6" t="s">
        <v>34</v>
      </c>
      <c r="L6" t="s">
        <v>31</v>
      </c>
      <c r="M6" t="s">
        <v>178</v>
      </c>
      <c r="N6">
        <v>1</v>
      </c>
    </row>
    <row r="7" spans="1:49" x14ac:dyDescent="0.25">
      <c r="A7" s="680">
        <v>46029</v>
      </c>
      <c r="B7" t="s">
        <v>34</v>
      </c>
      <c r="C7">
        <v>7</v>
      </c>
      <c r="D7" t="s">
        <v>27</v>
      </c>
      <c r="E7">
        <v>-0.99999999999994316</v>
      </c>
      <c r="F7">
        <v>4</v>
      </c>
      <c r="G7">
        <v>1</v>
      </c>
      <c r="H7" t="s">
        <v>224</v>
      </c>
      <c r="K7" t="s">
        <v>34</v>
      </c>
      <c r="L7" t="s">
        <v>31</v>
      </c>
      <c r="M7" t="s">
        <v>182</v>
      </c>
      <c r="N7">
        <v>1</v>
      </c>
    </row>
    <row r="8" spans="1:49" x14ac:dyDescent="0.25">
      <c r="A8" s="680">
        <v>46029</v>
      </c>
      <c r="B8" t="s">
        <v>34</v>
      </c>
      <c r="C8">
        <v>7</v>
      </c>
      <c r="D8" t="s">
        <v>21</v>
      </c>
      <c r="E8">
        <v>39</v>
      </c>
      <c r="F8">
        <v>4</v>
      </c>
      <c r="G8">
        <v>2</v>
      </c>
      <c r="H8" t="s">
        <v>224</v>
      </c>
      <c r="K8" t="s">
        <v>34</v>
      </c>
      <c r="L8" t="s">
        <v>31</v>
      </c>
      <c r="M8" t="s">
        <v>183</v>
      </c>
      <c r="N8">
        <v>1</v>
      </c>
    </row>
    <row r="9" spans="1:49" x14ac:dyDescent="0.25">
      <c r="A9" s="680">
        <v>46030</v>
      </c>
      <c r="B9" t="s">
        <v>34</v>
      </c>
      <c r="C9">
        <v>8</v>
      </c>
      <c r="D9" t="s">
        <v>31</v>
      </c>
      <c r="E9">
        <v>-242.00000000000006</v>
      </c>
      <c r="F9">
        <v>0</v>
      </c>
      <c r="G9">
        <v>2</v>
      </c>
      <c r="H9" t="s">
        <v>224</v>
      </c>
      <c r="K9" t="s">
        <v>34</v>
      </c>
      <c r="L9" t="s">
        <v>31</v>
      </c>
      <c r="M9" t="s">
        <v>184</v>
      </c>
      <c r="N9">
        <v>2</v>
      </c>
    </row>
    <row r="10" spans="1:49" x14ac:dyDescent="0.25">
      <c r="A10" s="680">
        <v>46030</v>
      </c>
      <c r="B10" t="s">
        <v>34</v>
      </c>
      <c r="C10">
        <v>8</v>
      </c>
      <c r="D10" t="s">
        <v>21</v>
      </c>
      <c r="E10">
        <v>-203.00000000000003</v>
      </c>
      <c r="F10">
        <v>0</v>
      </c>
      <c r="G10">
        <v>4</v>
      </c>
      <c r="H10" t="s">
        <v>224</v>
      </c>
      <c r="K10" t="s">
        <v>34</v>
      </c>
      <c r="L10" t="s">
        <v>31</v>
      </c>
      <c r="M10" t="s">
        <v>185</v>
      </c>
      <c r="N10">
        <v>1</v>
      </c>
    </row>
    <row r="11" spans="1:49" x14ac:dyDescent="0.25">
      <c r="A11" s="680">
        <v>46031</v>
      </c>
      <c r="B11" t="s">
        <v>34</v>
      </c>
      <c r="C11">
        <v>9</v>
      </c>
      <c r="D11" t="s">
        <v>21</v>
      </c>
      <c r="E11">
        <v>10.000000000000057</v>
      </c>
      <c r="F11">
        <v>6</v>
      </c>
      <c r="G11">
        <v>2</v>
      </c>
      <c r="H11" t="s">
        <v>224</v>
      </c>
      <c r="K11" t="s">
        <v>34</v>
      </c>
      <c r="L11" t="s">
        <v>31</v>
      </c>
      <c r="M11" t="s">
        <v>186</v>
      </c>
      <c r="N11">
        <v>4</v>
      </c>
    </row>
    <row r="12" spans="1:49" x14ac:dyDescent="0.25">
      <c r="A12" s="680">
        <v>46031</v>
      </c>
      <c r="B12" t="s">
        <v>34</v>
      </c>
      <c r="C12">
        <v>9</v>
      </c>
      <c r="D12" t="s">
        <v>27</v>
      </c>
      <c r="E12">
        <v>61.000000000000057</v>
      </c>
      <c r="F12">
        <v>8</v>
      </c>
      <c r="G12">
        <v>2</v>
      </c>
      <c r="H12" t="s">
        <v>224</v>
      </c>
      <c r="K12" t="s">
        <v>34</v>
      </c>
      <c r="L12" t="s">
        <v>27</v>
      </c>
      <c r="M12" t="s">
        <v>178</v>
      </c>
      <c r="N12">
        <v>1</v>
      </c>
    </row>
    <row r="13" spans="1:49" x14ac:dyDescent="0.25">
      <c r="A13" s="680">
        <v>46031</v>
      </c>
      <c r="B13" t="s">
        <v>34</v>
      </c>
      <c r="C13">
        <v>9</v>
      </c>
      <c r="D13" t="s">
        <v>31</v>
      </c>
      <c r="E13">
        <v>46.000000000000028</v>
      </c>
      <c r="F13">
        <v>7</v>
      </c>
      <c r="G13">
        <v>4</v>
      </c>
      <c r="H13" t="s">
        <v>224</v>
      </c>
      <c r="K13" t="s">
        <v>34</v>
      </c>
      <c r="L13" t="s">
        <v>27</v>
      </c>
      <c r="M13" t="s">
        <v>180</v>
      </c>
      <c r="N13">
        <v>1</v>
      </c>
    </row>
    <row r="14" spans="1:49" x14ac:dyDescent="0.25">
      <c r="A14" s="680">
        <v>46032</v>
      </c>
      <c r="B14" t="s">
        <v>34</v>
      </c>
      <c r="C14">
        <v>10</v>
      </c>
      <c r="D14" t="s">
        <v>21</v>
      </c>
      <c r="E14">
        <v>-39.999999999999943</v>
      </c>
      <c r="F14">
        <v>6</v>
      </c>
      <c r="G14">
        <v>3</v>
      </c>
      <c r="H14" t="s">
        <v>224</v>
      </c>
      <c r="K14" t="s">
        <v>34</v>
      </c>
      <c r="L14" t="s">
        <v>27</v>
      </c>
      <c r="M14" t="s">
        <v>181</v>
      </c>
      <c r="N14">
        <v>1</v>
      </c>
    </row>
    <row r="15" spans="1:49" x14ac:dyDescent="0.25">
      <c r="A15" s="680">
        <v>46033</v>
      </c>
      <c r="B15" t="s">
        <v>34</v>
      </c>
      <c r="C15">
        <v>11</v>
      </c>
      <c r="D15" t="s">
        <v>31</v>
      </c>
      <c r="E15">
        <v>0</v>
      </c>
      <c r="F15">
        <v>5</v>
      </c>
      <c r="G15">
        <v>2</v>
      </c>
      <c r="H15" t="s">
        <v>224</v>
      </c>
      <c r="K15" t="s">
        <v>34</v>
      </c>
      <c r="L15" t="s">
        <v>27</v>
      </c>
      <c r="M15" t="s">
        <v>184</v>
      </c>
      <c r="N15">
        <v>1</v>
      </c>
      <c r="R15" t="s">
        <v>222</v>
      </c>
      <c r="S15" t="s">
        <v>178</v>
      </c>
      <c r="T15" t="s">
        <v>180</v>
      </c>
      <c r="U15" t="s">
        <v>183</v>
      </c>
      <c r="V15" t="s">
        <v>185</v>
      </c>
      <c r="W15" t="s">
        <v>182</v>
      </c>
      <c r="X15" t="s">
        <v>184</v>
      </c>
      <c r="Y15" t="s">
        <v>186</v>
      </c>
      <c r="Z15" t="s">
        <v>181</v>
      </c>
      <c r="AA15" t="s">
        <v>179</v>
      </c>
      <c r="AB15" t="s">
        <v>177</v>
      </c>
    </row>
    <row r="16" spans="1:49" x14ac:dyDescent="0.25">
      <c r="A16" s="680">
        <v>46033</v>
      </c>
      <c r="B16" t="s">
        <v>34</v>
      </c>
      <c r="C16">
        <v>11</v>
      </c>
      <c r="D16" t="s">
        <v>27</v>
      </c>
      <c r="E16">
        <v>21.000000000000057</v>
      </c>
      <c r="F16">
        <v>6</v>
      </c>
      <c r="G16">
        <v>2</v>
      </c>
      <c r="H16" t="s">
        <v>224</v>
      </c>
      <c r="K16" t="s">
        <v>34</v>
      </c>
      <c r="L16" t="s">
        <v>21</v>
      </c>
      <c r="M16" t="s">
        <v>185</v>
      </c>
      <c r="N16">
        <v>1</v>
      </c>
      <c r="R16" t="s">
        <v>27</v>
      </c>
      <c r="S16" s="422">
        <v>0.18604651162790697</v>
      </c>
      <c r="T16" s="422">
        <v>0.18604651162790697</v>
      </c>
      <c r="U16" s="422">
        <v>2.3255813953488372E-2</v>
      </c>
      <c r="V16" s="422">
        <v>9.3023255813953487E-2</v>
      </c>
      <c r="W16" s="422">
        <v>4.6511627906976744E-2</v>
      </c>
      <c r="X16" s="422">
        <v>0.11627906976744186</v>
      </c>
      <c r="Y16" s="422">
        <v>0.18604651162790697</v>
      </c>
      <c r="Z16" s="422">
        <v>0.13953488372093023</v>
      </c>
      <c r="AA16" s="422">
        <v>2.3255813953488372E-2</v>
      </c>
      <c r="AB16" s="422">
        <v>0</v>
      </c>
    </row>
    <row r="17" spans="1:28" x14ac:dyDescent="0.25">
      <c r="A17" s="680">
        <v>46034</v>
      </c>
      <c r="B17" t="s">
        <v>34</v>
      </c>
      <c r="C17">
        <v>12</v>
      </c>
      <c r="D17" t="s">
        <v>27</v>
      </c>
      <c r="E17">
        <v>25.000000000000028</v>
      </c>
      <c r="F17">
        <v>7</v>
      </c>
      <c r="G17">
        <v>2</v>
      </c>
      <c r="H17" t="s">
        <v>224</v>
      </c>
      <c r="K17" t="s">
        <v>34</v>
      </c>
      <c r="L17" t="s">
        <v>21</v>
      </c>
      <c r="M17" t="s">
        <v>186</v>
      </c>
      <c r="N17">
        <v>1</v>
      </c>
      <c r="R17" t="s">
        <v>31</v>
      </c>
      <c r="S17" s="422">
        <v>0.1206896551724138</v>
      </c>
      <c r="T17" s="422">
        <v>0.17241379310344829</v>
      </c>
      <c r="U17" s="422">
        <v>5.1724137931034482E-2</v>
      </c>
      <c r="V17" s="422">
        <v>0.13793103448275862</v>
      </c>
      <c r="W17" s="422">
        <v>3.4482758620689655E-2</v>
      </c>
      <c r="X17" s="422">
        <v>6.8965517241379309E-2</v>
      </c>
      <c r="Y17" s="422">
        <v>0.25862068965517243</v>
      </c>
      <c r="Z17" s="422">
        <v>5.1724137931034482E-2</v>
      </c>
      <c r="AA17" s="422">
        <v>5.1724137931034482E-2</v>
      </c>
      <c r="AB17" s="422">
        <v>5.1724137931034482E-2</v>
      </c>
    </row>
    <row r="18" spans="1:28" x14ac:dyDescent="0.25">
      <c r="A18" s="680">
        <v>46034</v>
      </c>
      <c r="B18" t="s">
        <v>34</v>
      </c>
      <c r="C18">
        <v>12</v>
      </c>
      <c r="D18" t="s">
        <v>21</v>
      </c>
      <c r="E18">
        <v>45.999999999999972</v>
      </c>
      <c r="F18">
        <v>5</v>
      </c>
      <c r="G18">
        <v>4</v>
      </c>
      <c r="H18" t="s">
        <v>224</v>
      </c>
      <c r="K18" t="s">
        <v>34</v>
      </c>
      <c r="L18" t="s">
        <v>31</v>
      </c>
      <c r="M18" t="s">
        <v>183</v>
      </c>
      <c r="N18">
        <v>1</v>
      </c>
      <c r="R18" t="s">
        <v>21</v>
      </c>
      <c r="S18" s="422">
        <v>8.771929824561403E-2</v>
      </c>
      <c r="T18" s="422">
        <v>0.24561403508771928</v>
      </c>
      <c r="U18" s="422">
        <v>7.0175438596491224E-2</v>
      </c>
      <c r="V18" s="422">
        <v>5.2631578947368418E-2</v>
      </c>
      <c r="W18" s="422">
        <v>8.771929824561403E-2</v>
      </c>
      <c r="X18" s="422">
        <v>7.0175438596491224E-2</v>
      </c>
      <c r="Y18" s="422">
        <v>0.14035087719298245</v>
      </c>
      <c r="Z18" s="422">
        <v>5.2631578947368418E-2</v>
      </c>
      <c r="AA18" s="422">
        <v>5.2631578947368418E-2</v>
      </c>
      <c r="AB18" s="422">
        <v>0.14035087719298245</v>
      </c>
    </row>
    <row r="19" spans="1:28" x14ac:dyDescent="0.25">
      <c r="A19" s="680">
        <v>46035</v>
      </c>
      <c r="B19" t="s">
        <v>34</v>
      </c>
      <c r="C19">
        <v>13</v>
      </c>
      <c r="D19" t="s">
        <v>31</v>
      </c>
      <c r="E19">
        <v>-16.000000000000028</v>
      </c>
      <c r="F19">
        <v>5</v>
      </c>
      <c r="G19">
        <v>7</v>
      </c>
      <c r="H19" t="s">
        <v>224</v>
      </c>
      <c r="K19" t="s">
        <v>34</v>
      </c>
      <c r="L19" t="s">
        <v>31</v>
      </c>
      <c r="M19" t="s">
        <v>186</v>
      </c>
      <c r="N19">
        <v>1</v>
      </c>
    </row>
    <row r="20" spans="1:28" x14ac:dyDescent="0.25">
      <c r="A20" s="680">
        <v>46035</v>
      </c>
      <c r="B20" t="s">
        <v>34</v>
      </c>
      <c r="C20">
        <v>13</v>
      </c>
      <c r="D20" t="s">
        <v>27</v>
      </c>
      <c r="E20">
        <v>29.000000000000028</v>
      </c>
      <c r="F20">
        <v>4</v>
      </c>
      <c r="G20">
        <v>2</v>
      </c>
      <c r="H20" t="s">
        <v>224</v>
      </c>
      <c r="K20" t="s">
        <v>34</v>
      </c>
      <c r="L20" t="s">
        <v>21</v>
      </c>
      <c r="M20" t="s">
        <v>179</v>
      </c>
      <c r="N20">
        <v>2</v>
      </c>
    </row>
    <row r="21" spans="1:28" x14ac:dyDescent="0.25">
      <c r="A21" s="680">
        <v>46036</v>
      </c>
      <c r="B21" t="s">
        <v>34</v>
      </c>
      <c r="C21">
        <v>14</v>
      </c>
      <c r="D21" t="s">
        <v>27</v>
      </c>
      <c r="E21">
        <v>39.999999999999943</v>
      </c>
      <c r="F21">
        <v>9</v>
      </c>
      <c r="G21">
        <v>4</v>
      </c>
      <c r="H21" t="s">
        <v>224</v>
      </c>
      <c r="K21" t="s">
        <v>34</v>
      </c>
      <c r="L21" t="s">
        <v>21</v>
      </c>
      <c r="M21" t="s">
        <v>181</v>
      </c>
      <c r="N21">
        <v>2</v>
      </c>
    </row>
    <row r="22" spans="1:28" x14ac:dyDescent="0.25">
      <c r="A22" s="680">
        <v>46036</v>
      </c>
      <c r="B22" t="s">
        <v>34</v>
      </c>
      <c r="C22">
        <v>14</v>
      </c>
      <c r="D22" t="s">
        <v>31</v>
      </c>
      <c r="E22">
        <v>75.000000000000085</v>
      </c>
      <c r="F22">
        <v>5</v>
      </c>
      <c r="G22">
        <v>1</v>
      </c>
      <c r="H22" t="s">
        <v>224</v>
      </c>
      <c r="K22" t="s">
        <v>34</v>
      </c>
      <c r="L22" t="s">
        <v>21</v>
      </c>
      <c r="M22" t="s">
        <v>180</v>
      </c>
      <c r="N22">
        <v>1</v>
      </c>
    </row>
    <row r="23" spans="1:28" x14ac:dyDescent="0.25">
      <c r="A23" s="680">
        <v>46036</v>
      </c>
      <c r="B23" t="s">
        <v>34</v>
      </c>
      <c r="C23">
        <v>14</v>
      </c>
      <c r="D23" t="s">
        <v>21</v>
      </c>
      <c r="E23">
        <v>-52</v>
      </c>
      <c r="F23">
        <v>7</v>
      </c>
      <c r="G23">
        <v>8</v>
      </c>
      <c r="H23" t="s">
        <v>224</v>
      </c>
      <c r="K23" t="s">
        <v>34</v>
      </c>
      <c r="L23" t="s">
        <v>21</v>
      </c>
      <c r="M23" t="s">
        <v>182</v>
      </c>
      <c r="N23">
        <v>1</v>
      </c>
    </row>
    <row r="24" spans="1:28" x14ac:dyDescent="0.25">
      <c r="A24" s="680">
        <v>46037</v>
      </c>
      <c r="B24" t="s">
        <v>34</v>
      </c>
      <c r="C24">
        <v>15</v>
      </c>
      <c r="D24" t="s">
        <v>31</v>
      </c>
      <c r="E24">
        <v>-5.0000000000000568</v>
      </c>
      <c r="F24">
        <v>4</v>
      </c>
      <c r="G24">
        <v>1</v>
      </c>
      <c r="H24" t="s">
        <v>224</v>
      </c>
      <c r="K24" t="s">
        <v>34</v>
      </c>
      <c r="L24" t="s">
        <v>27</v>
      </c>
      <c r="M24" t="s">
        <v>180</v>
      </c>
      <c r="N24">
        <v>1</v>
      </c>
    </row>
    <row r="25" spans="1:28" x14ac:dyDescent="0.25">
      <c r="A25" s="680">
        <v>46037</v>
      </c>
      <c r="B25" t="s">
        <v>34</v>
      </c>
      <c r="C25">
        <v>15</v>
      </c>
      <c r="D25" t="s">
        <v>21</v>
      </c>
      <c r="E25">
        <v>-39.000000000000057</v>
      </c>
      <c r="F25">
        <v>4</v>
      </c>
      <c r="G25">
        <v>1</v>
      </c>
      <c r="H25" t="s">
        <v>224</v>
      </c>
      <c r="K25" t="s">
        <v>34</v>
      </c>
      <c r="L25" t="s">
        <v>27</v>
      </c>
      <c r="M25" t="s">
        <v>184</v>
      </c>
      <c r="N25">
        <v>1</v>
      </c>
    </row>
    <row r="26" spans="1:28" x14ac:dyDescent="0.25">
      <c r="A26" s="680">
        <v>46038</v>
      </c>
      <c r="B26" t="s">
        <v>34</v>
      </c>
      <c r="C26">
        <v>16</v>
      </c>
      <c r="D26" t="s">
        <v>21</v>
      </c>
      <c r="E26">
        <v>-9.0000000000000568</v>
      </c>
      <c r="F26">
        <v>8</v>
      </c>
      <c r="G26">
        <v>2</v>
      </c>
      <c r="H26" t="s">
        <v>225</v>
      </c>
      <c r="K26" t="s">
        <v>34</v>
      </c>
      <c r="L26" t="s">
        <v>31</v>
      </c>
      <c r="M26" t="s">
        <v>180</v>
      </c>
      <c r="N26">
        <v>1</v>
      </c>
    </row>
    <row r="27" spans="1:28" x14ac:dyDescent="0.25">
      <c r="A27" s="680">
        <v>46038</v>
      </c>
      <c r="B27" t="s">
        <v>34</v>
      </c>
      <c r="C27">
        <v>16</v>
      </c>
      <c r="D27" t="s">
        <v>31</v>
      </c>
      <c r="E27">
        <v>-9</v>
      </c>
      <c r="F27">
        <v>8</v>
      </c>
      <c r="G27">
        <v>2</v>
      </c>
      <c r="H27" t="s">
        <v>225</v>
      </c>
      <c r="K27" t="s">
        <v>34</v>
      </c>
      <c r="L27" t="s">
        <v>31</v>
      </c>
      <c r="M27" t="s">
        <v>181</v>
      </c>
      <c r="N27">
        <v>1</v>
      </c>
    </row>
    <row r="28" spans="1:28" x14ac:dyDescent="0.25">
      <c r="A28" s="680">
        <v>46038</v>
      </c>
      <c r="B28" t="s">
        <v>34</v>
      </c>
      <c r="C28">
        <v>16</v>
      </c>
      <c r="D28" t="s">
        <v>27</v>
      </c>
      <c r="E28">
        <v>28</v>
      </c>
      <c r="F28">
        <v>8</v>
      </c>
      <c r="G28">
        <v>1</v>
      </c>
      <c r="H28" t="s">
        <v>225</v>
      </c>
      <c r="K28" t="s">
        <v>34</v>
      </c>
      <c r="L28" t="s">
        <v>31</v>
      </c>
      <c r="M28" t="s">
        <v>186</v>
      </c>
      <c r="N28">
        <v>2</v>
      </c>
    </row>
    <row r="29" spans="1:28" x14ac:dyDescent="0.25">
      <c r="A29" s="680">
        <v>46039</v>
      </c>
      <c r="B29" t="s">
        <v>34</v>
      </c>
      <c r="C29">
        <v>17</v>
      </c>
      <c r="D29" t="s">
        <v>21</v>
      </c>
      <c r="E29">
        <v>35.000000000000057</v>
      </c>
      <c r="F29">
        <v>9</v>
      </c>
      <c r="G29">
        <v>1</v>
      </c>
      <c r="H29" t="s">
        <v>225</v>
      </c>
      <c r="K29" t="s">
        <v>34</v>
      </c>
      <c r="L29" t="s">
        <v>21</v>
      </c>
      <c r="M29" t="s">
        <v>178</v>
      </c>
      <c r="N29">
        <v>1</v>
      </c>
    </row>
    <row r="30" spans="1:28" x14ac:dyDescent="0.25">
      <c r="A30" s="680">
        <v>46040</v>
      </c>
      <c r="B30" t="s">
        <v>34</v>
      </c>
      <c r="C30">
        <v>18</v>
      </c>
      <c r="D30" t="s">
        <v>31</v>
      </c>
      <c r="E30">
        <v>-62.999999999999943</v>
      </c>
      <c r="F30">
        <v>6</v>
      </c>
      <c r="G30">
        <v>2</v>
      </c>
      <c r="H30" t="s">
        <v>225</v>
      </c>
      <c r="K30" t="s">
        <v>34</v>
      </c>
      <c r="L30" t="s">
        <v>21</v>
      </c>
      <c r="M30" t="s">
        <v>180</v>
      </c>
      <c r="N30">
        <v>1</v>
      </c>
    </row>
    <row r="31" spans="1:28" x14ac:dyDescent="0.25">
      <c r="A31" s="680">
        <v>46040</v>
      </c>
      <c r="B31" t="s">
        <v>34</v>
      </c>
      <c r="C31">
        <v>18</v>
      </c>
      <c r="D31" t="s">
        <v>21</v>
      </c>
      <c r="E31">
        <v>-18.999999999999915</v>
      </c>
      <c r="F31">
        <v>7</v>
      </c>
      <c r="G31">
        <v>2</v>
      </c>
      <c r="H31" t="s">
        <v>225</v>
      </c>
      <c r="K31" t="s">
        <v>34</v>
      </c>
      <c r="L31" t="s">
        <v>21</v>
      </c>
      <c r="M31" t="s">
        <v>183</v>
      </c>
      <c r="N31">
        <v>1</v>
      </c>
    </row>
    <row r="32" spans="1:28" x14ac:dyDescent="0.25">
      <c r="A32" s="680">
        <v>46040</v>
      </c>
      <c r="B32" t="s">
        <v>34</v>
      </c>
      <c r="C32">
        <v>18</v>
      </c>
      <c r="D32" t="s">
        <v>27</v>
      </c>
      <c r="E32">
        <v>-20</v>
      </c>
      <c r="F32">
        <v>5</v>
      </c>
      <c r="G32">
        <v>2</v>
      </c>
      <c r="H32" t="s">
        <v>225</v>
      </c>
      <c r="K32" t="s">
        <v>34</v>
      </c>
      <c r="L32" t="s">
        <v>31</v>
      </c>
      <c r="M32" t="s">
        <v>177</v>
      </c>
      <c r="N32">
        <v>1</v>
      </c>
    </row>
    <row r="33" spans="1:14" x14ac:dyDescent="0.25">
      <c r="A33" s="680">
        <v>46041</v>
      </c>
      <c r="B33" t="s">
        <v>34</v>
      </c>
      <c r="C33">
        <v>19</v>
      </c>
      <c r="D33" t="s">
        <v>21</v>
      </c>
      <c r="E33">
        <v>-34.000000000000028</v>
      </c>
      <c r="F33">
        <v>6</v>
      </c>
      <c r="G33">
        <v>5</v>
      </c>
      <c r="H33" t="s">
        <v>225</v>
      </c>
      <c r="K33" t="s">
        <v>34</v>
      </c>
      <c r="L33" t="s">
        <v>31</v>
      </c>
      <c r="M33" t="s">
        <v>179</v>
      </c>
      <c r="N33">
        <v>1</v>
      </c>
    </row>
    <row r="34" spans="1:14" x14ac:dyDescent="0.25">
      <c r="A34" s="680">
        <v>46041</v>
      </c>
      <c r="B34" t="s">
        <v>34</v>
      </c>
      <c r="C34">
        <v>19</v>
      </c>
      <c r="D34" t="s">
        <v>27</v>
      </c>
      <c r="E34">
        <v>49.000000000000085</v>
      </c>
      <c r="F34">
        <v>4</v>
      </c>
      <c r="G34">
        <v>4</v>
      </c>
      <c r="H34" t="s">
        <v>225</v>
      </c>
      <c r="K34" t="s">
        <v>34</v>
      </c>
      <c r="L34" t="s">
        <v>27</v>
      </c>
      <c r="M34" t="s">
        <v>178</v>
      </c>
      <c r="N34">
        <v>1</v>
      </c>
    </row>
    <row r="35" spans="1:14" x14ac:dyDescent="0.25">
      <c r="A35" s="680">
        <v>46042</v>
      </c>
      <c r="B35" t="s">
        <v>34</v>
      </c>
      <c r="C35">
        <v>20</v>
      </c>
      <c r="D35" t="s">
        <v>27</v>
      </c>
      <c r="E35">
        <v>25.999999999999972</v>
      </c>
      <c r="F35">
        <v>5</v>
      </c>
      <c r="G35">
        <v>2</v>
      </c>
      <c r="H35" t="s">
        <v>225</v>
      </c>
      <c r="K35" t="s">
        <v>34</v>
      </c>
      <c r="L35" t="s">
        <v>27</v>
      </c>
      <c r="M35" t="s">
        <v>186</v>
      </c>
      <c r="N35">
        <v>1</v>
      </c>
    </row>
    <row r="36" spans="1:14" x14ac:dyDescent="0.25">
      <c r="A36" s="680">
        <v>46042</v>
      </c>
      <c r="B36" t="s">
        <v>34</v>
      </c>
      <c r="C36">
        <v>20</v>
      </c>
      <c r="D36" t="s">
        <v>31</v>
      </c>
      <c r="E36">
        <v>-1.9999999999999716</v>
      </c>
      <c r="F36">
        <v>3</v>
      </c>
      <c r="G36">
        <v>3</v>
      </c>
      <c r="H36" t="s">
        <v>225</v>
      </c>
      <c r="K36" t="s">
        <v>34</v>
      </c>
      <c r="L36" t="s">
        <v>27</v>
      </c>
      <c r="M36" t="s">
        <v>186</v>
      </c>
      <c r="N36">
        <v>2</v>
      </c>
    </row>
    <row r="37" spans="1:14" x14ac:dyDescent="0.25">
      <c r="A37" s="680">
        <v>46043</v>
      </c>
      <c r="B37" t="s">
        <v>34</v>
      </c>
      <c r="C37">
        <v>21</v>
      </c>
      <c r="D37" t="s">
        <v>27</v>
      </c>
      <c r="E37">
        <v>60.999999999999915</v>
      </c>
      <c r="F37">
        <v>5</v>
      </c>
      <c r="G37">
        <v>5</v>
      </c>
      <c r="H37" t="s">
        <v>225</v>
      </c>
      <c r="K37" t="s">
        <v>34</v>
      </c>
      <c r="L37" t="s">
        <v>21</v>
      </c>
      <c r="M37" t="s">
        <v>177</v>
      </c>
      <c r="N37">
        <v>1</v>
      </c>
    </row>
    <row r="38" spans="1:14" x14ac:dyDescent="0.25">
      <c r="A38" s="680">
        <v>46043</v>
      </c>
      <c r="B38" t="s">
        <v>34</v>
      </c>
      <c r="C38">
        <v>21</v>
      </c>
      <c r="D38" t="s">
        <v>31</v>
      </c>
      <c r="E38">
        <v>20.000000000000028</v>
      </c>
      <c r="F38">
        <v>6</v>
      </c>
      <c r="G38">
        <v>3</v>
      </c>
      <c r="H38" t="s">
        <v>225</v>
      </c>
      <c r="K38" t="s">
        <v>34</v>
      </c>
      <c r="L38" t="s">
        <v>21</v>
      </c>
      <c r="M38" t="s">
        <v>182</v>
      </c>
      <c r="N38">
        <v>1</v>
      </c>
    </row>
    <row r="39" spans="1:14" x14ac:dyDescent="0.25">
      <c r="A39" s="680">
        <v>46044</v>
      </c>
      <c r="B39" t="s">
        <v>34</v>
      </c>
      <c r="C39">
        <v>22</v>
      </c>
      <c r="D39" t="s">
        <v>21</v>
      </c>
      <c r="E39">
        <v>-7</v>
      </c>
      <c r="F39">
        <v>7</v>
      </c>
      <c r="G39">
        <v>2</v>
      </c>
      <c r="H39" t="s">
        <v>225</v>
      </c>
      <c r="K39" t="s">
        <v>34</v>
      </c>
      <c r="L39" t="s">
        <v>21</v>
      </c>
      <c r="M39" t="s">
        <v>184</v>
      </c>
      <c r="N39">
        <v>1</v>
      </c>
    </row>
    <row r="40" spans="1:14" x14ac:dyDescent="0.25">
      <c r="A40" s="680">
        <v>46044</v>
      </c>
      <c r="B40" t="s">
        <v>34</v>
      </c>
      <c r="C40">
        <v>22</v>
      </c>
      <c r="D40" t="s">
        <v>31</v>
      </c>
      <c r="E40">
        <v>-5.0000000000000284</v>
      </c>
      <c r="F40">
        <v>7</v>
      </c>
      <c r="G40">
        <v>4</v>
      </c>
      <c r="H40" t="s">
        <v>225</v>
      </c>
      <c r="K40" t="s">
        <v>34</v>
      </c>
      <c r="L40" t="s">
        <v>21</v>
      </c>
      <c r="M40" t="s">
        <v>186</v>
      </c>
      <c r="N40">
        <v>1</v>
      </c>
    </row>
    <row r="41" spans="1:14" x14ac:dyDescent="0.25">
      <c r="A41" s="680">
        <v>46045</v>
      </c>
      <c r="B41" t="s">
        <v>34</v>
      </c>
      <c r="C41">
        <v>23</v>
      </c>
      <c r="D41" t="s">
        <v>21</v>
      </c>
      <c r="E41">
        <v>21.000000000000057</v>
      </c>
      <c r="F41">
        <v>6</v>
      </c>
      <c r="G41">
        <v>3</v>
      </c>
      <c r="H41" t="s">
        <v>225</v>
      </c>
      <c r="K41" t="s">
        <v>34</v>
      </c>
      <c r="L41" t="s">
        <v>31</v>
      </c>
      <c r="M41" t="s">
        <v>178</v>
      </c>
      <c r="N41">
        <v>1</v>
      </c>
    </row>
    <row r="42" spans="1:14" x14ac:dyDescent="0.25">
      <c r="A42" s="680">
        <v>46045</v>
      </c>
      <c r="B42" t="s">
        <v>34</v>
      </c>
      <c r="C42">
        <v>23</v>
      </c>
      <c r="D42" t="s">
        <v>31</v>
      </c>
      <c r="E42">
        <v>21.000000000000057</v>
      </c>
      <c r="F42">
        <v>8</v>
      </c>
      <c r="G42">
        <v>2</v>
      </c>
      <c r="H42" t="s">
        <v>225</v>
      </c>
      <c r="K42" t="s">
        <v>34</v>
      </c>
      <c r="L42" t="s">
        <v>31</v>
      </c>
      <c r="M42" t="s">
        <v>179</v>
      </c>
      <c r="N42">
        <v>1</v>
      </c>
    </row>
    <row r="43" spans="1:14" x14ac:dyDescent="0.25">
      <c r="A43" s="680">
        <v>46047</v>
      </c>
      <c r="B43" t="s">
        <v>34</v>
      </c>
      <c r="C43">
        <v>25</v>
      </c>
      <c r="D43" t="s">
        <v>21</v>
      </c>
      <c r="E43">
        <v>-39.999999999999972</v>
      </c>
      <c r="F43">
        <v>2</v>
      </c>
      <c r="G43">
        <v>1</v>
      </c>
      <c r="H43" t="s">
        <v>225</v>
      </c>
      <c r="K43" t="s">
        <v>34</v>
      </c>
      <c r="L43" t="s">
        <v>31</v>
      </c>
      <c r="M43" t="s">
        <v>180</v>
      </c>
      <c r="N43">
        <v>1</v>
      </c>
    </row>
    <row r="44" spans="1:14" x14ac:dyDescent="0.25">
      <c r="A44" s="680">
        <v>46047</v>
      </c>
      <c r="B44" t="s">
        <v>34</v>
      </c>
      <c r="C44">
        <v>25</v>
      </c>
      <c r="D44" t="s">
        <v>27</v>
      </c>
      <c r="E44">
        <v>63.000000000000057</v>
      </c>
      <c r="F44">
        <v>7</v>
      </c>
      <c r="G44">
        <v>2</v>
      </c>
      <c r="H44" t="s">
        <v>225</v>
      </c>
      <c r="K44" t="s">
        <v>34</v>
      </c>
      <c r="L44" t="s">
        <v>31</v>
      </c>
      <c r="M44" t="s">
        <v>181</v>
      </c>
      <c r="N44">
        <v>1</v>
      </c>
    </row>
    <row r="45" spans="1:14" x14ac:dyDescent="0.25">
      <c r="A45" s="680">
        <v>46048</v>
      </c>
      <c r="B45" t="s">
        <v>34</v>
      </c>
      <c r="C45">
        <v>26</v>
      </c>
      <c r="D45" t="s">
        <v>21</v>
      </c>
      <c r="E45">
        <v>-10.000000000000057</v>
      </c>
      <c r="F45">
        <v>4</v>
      </c>
      <c r="G45">
        <v>2</v>
      </c>
      <c r="H45" t="s">
        <v>225</v>
      </c>
      <c r="K45" t="s">
        <v>34</v>
      </c>
      <c r="L45" t="s">
        <v>31</v>
      </c>
      <c r="M45" t="s">
        <v>183</v>
      </c>
      <c r="N45">
        <v>1</v>
      </c>
    </row>
    <row r="46" spans="1:14" x14ac:dyDescent="0.25">
      <c r="A46" s="680">
        <v>46048</v>
      </c>
      <c r="B46" t="s">
        <v>34</v>
      </c>
      <c r="C46">
        <v>26</v>
      </c>
      <c r="D46" t="s">
        <v>27</v>
      </c>
      <c r="E46">
        <v>23.999999999999972</v>
      </c>
      <c r="F46">
        <v>5</v>
      </c>
      <c r="G46">
        <v>1</v>
      </c>
      <c r="H46" t="s">
        <v>225</v>
      </c>
      <c r="K46" t="s">
        <v>34</v>
      </c>
      <c r="L46" t="s">
        <v>31</v>
      </c>
      <c r="M46" t="s">
        <v>185</v>
      </c>
      <c r="N46">
        <v>1</v>
      </c>
    </row>
    <row r="47" spans="1:14" x14ac:dyDescent="0.25">
      <c r="A47" s="680">
        <v>46049</v>
      </c>
      <c r="B47" t="s">
        <v>34</v>
      </c>
      <c r="C47">
        <v>27</v>
      </c>
      <c r="D47" t="s">
        <v>31</v>
      </c>
      <c r="E47">
        <v>-4.0000000000000284</v>
      </c>
      <c r="F47">
        <v>4</v>
      </c>
      <c r="G47">
        <v>6</v>
      </c>
      <c r="H47" t="s">
        <v>225</v>
      </c>
      <c r="K47" t="s">
        <v>34</v>
      </c>
      <c r="L47" t="s">
        <v>31</v>
      </c>
      <c r="M47" t="s">
        <v>186</v>
      </c>
      <c r="N47">
        <v>1</v>
      </c>
    </row>
    <row r="48" spans="1:14" x14ac:dyDescent="0.25">
      <c r="A48" s="680">
        <v>46049</v>
      </c>
      <c r="B48" t="s">
        <v>34</v>
      </c>
      <c r="C48">
        <v>27</v>
      </c>
      <c r="D48" t="s">
        <v>27</v>
      </c>
      <c r="E48">
        <v>24</v>
      </c>
      <c r="F48">
        <v>5</v>
      </c>
      <c r="G48">
        <v>1</v>
      </c>
      <c r="H48" t="s">
        <v>225</v>
      </c>
      <c r="K48" t="s">
        <v>34</v>
      </c>
      <c r="L48" t="s">
        <v>27</v>
      </c>
      <c r="M48" t="s">
        <v>179</v>
      </c>
      <c r="N48">
        <v>1</v>
      </c>
    </row>
    <row r="49" spans="1:14" x14ac:dyDescent="0.25">
      <c r="A49" s="680">
        <v>46050</v>
      </c>
      <c r="B49" t="s">
        <v>34</v>
      </c>
      <c r="C49">
        <v>28</v>
      </c>
      <c r="D49" t="s">
        <v>27</v>
      </c>
      <c r="E49">
        <v>23.999999999999972</v>
      </c>
      <c r="F49">
        <v>5</v>
      </c>
      <c r="G49">
        <v>1</v>
      </c>
      <c r="H49" t="s">
        <v>225</v>
      </c>
      <c r="K49" t="s">
        <v>34</v>
      </c>
      <c r="L49" t="s">
        <v>27</v>
      </c>
      <c r="M49" t="s">
        <v>184</v>
      </c>
      <c r="N49">
        <v>1</v>
      </c>
    </row>
    <row r="50" spans="1:14" x14ac:dyDescent="0.25">
      <c r="A50" s="680">
        <v>46051</v>
      </c>
      <c r="B50" t="s">
        <v>34</v>
      </c>
      <c r="C50">
        <v>29</v>
      </c>
      <c r="D50" t="s">
        <v>31</v>
      </c>
      <c r="E50">
        <v>-5.0000000000000284</v>
      </c>
      <c r="F50">
        <v>5</v>
      </c>
      <c r="G50">
        <v>3</v>
      </c>
      <c r="H50" t="s">
        <v>225</v>
      </c>
      <c r="K50" t="s">
        <v>34</v>
      </c>
      <c r="L50" t="s">
        <v>27</v>
      </c>
      <c r="M50" t="s">
        <v>178</v>
      </c>
      <c r="N50">
        <v>1</v>
      </c>
    </row>
    <row r="51" spans="1:14" x14ac:dyDescent="0.25">
      <c r="A51" s="680">
        <v>46051</v>
      </c>
      <c r="B51" t="s">
        <v>34</v>
      </c>
      <c r="C51">
        <v>29</v>
      </c>
      <c r="D51" t="s">
        <v>21</v>
      </c>
      <c r="E51">
        <v>-56</v>
      </c>
      <c r="F51">
        <v>5</v>
      </c>
      <c r="G51">
        <v>10</v>
      </c>
      <c r="H51" t="s">
        <v>225</v>
      </c>
      <c r="K51" t="s">
        <v>34</v>
      </c>
      <c r="L51" t="s">
        <v>27</v>
      </c>
      <c r="M51" t="s">
        <v>181</v>
      </c>
      <c r="N51">
        <v>1</v>
      </c>
    </row>
    <row r="52" spans="1:14" x14ac:dyDescent="0.25">
      <c r="A52" s="680">
        <v>46052</v>
      </c>
      <c r="B52" t="s">
        <v>34</v>
      </c>
      <c r="C52">
        <v>30</v>
      </c>
      <c r="D52" t="s">
        <v>21</v>
      </c>
      <c r="E52">
        <v>-62.000000000000057</v>
      </c>
      <c r="F52">
        <v>8</v>
      </c>
      <c r="G52">
        <v>2</v>
      </c>
      <c r="H52" t="s">
        <v>225</v>
      </c>
      <c r="K52" t="s">
        <v>34</v>
      </c>
      <c r="L52" t="s">
        <v>27</v>
      </c>
      <c r="M52" t="s">
        <v>185</v>
      </c>
      <c r="N52">
        <v>1</v>
      </c>
    </row>
    <row r="53" spans="1:14" x14ac:dyDescent="0.25">
      <c r="A53" s="680">
        <v>46052</v>
      </c>
      <c r="B53" t="s">
        <v>34</v>
      </c>
      <c r="C53">
        <v>30</v>
      </c>
      <c r="D53" t="s">
        <v>31</v>
      </c>
      <c r="E53">
        <v>-41.999999999999943</v>
      </c>
      <c r="F53">
        <v>8</v>
      </c>
      <c r="G53">
        <v>3</v>
      </c>
      <c r="H53" t="s">
        <v>225</v>
      </c>
      <c r="K53" t="s">
        <v>34</v>
      </c>
      <c r="L53" t="s">
        <v>27</v>
      </c>
      <c r="M53" t="s">
        <v>186</v>
      </c>
      <c r="N53">
        <v>1</v>
      </c>
    </row>
    <row r="54" spans="1:14" x14ac:dyDescent="0.25">
      <c r="A54" s="680">
        <v>46053</v>
      </c>
      <c r="B54" t="s">
        <v>34</v>
      </c>
      <c r="C54">
        <v>31</v>
      </c>
      <c r="D54" t="s">
        <v>21</v>
      </c>
      <c r="E54">
        <v>-12</v>
      </c>
      <c r="F54">
        <v>9</v>
      </c>
      <c r="G54">
        <v>3</v>
      </c>
      <c r="H54" t="s">
        <v>225</v>
      </c>
      <c r="K54" t="s">
        <v>34</v>
      </c>
      <c r="L54" t="s">
        <v>31</v>
      </c>
      <c r="M54" t="s">
        <v>178</v>
      </c>
      <c r="N54">
        <v>1</v>
      </c>
    </row>
    <row r="55" spans="1:14" x14ac:dyDescent="0.25">
      <c r="A55" s="680">
        <v>46053</v>
      </c>
      <c r="B55" t="s">
        <v>34</v>
      </c>
      <c r="C55">
        <v>31</v>
      </c>
      <c r="D55" t="s">
        <v>27</v>
      </c>
      <c r="E55">
        <v>6</v>
      </c>
      <c r="F55">
        <v>9</v>
      </c>
      <c r="G55">
        <v>2</v>
      </c>
      <c r="H55" t="s">
        <v>225</v>
      </c>
      <c r="K55" t="s">
        <v>34</v>
      </c>
      <c r="L55" t="s">
        <v>21</v>
      </c>
      <c r="M55" t="s">
        <v>177</v>
      </c>
      <c r="N55">
        <v>2</v>
      </c>
    </row>
    <row r="56" spans="1:14" x14ac:dyDescent="0.25">
      <c r="A56" s="680">
        <v>46053</v>
      </c>
      <c r="B56" t="s">
        <v>34</v>
      </c>
      <c r="C56">
        <v>31</v>
      </c>
      <c r="D56" t="s">
        <v>31</v>
      </c>
      <c r="E56">
        <v>-43</v>
      </c>
      <c r="F56">
        <v>8</v>
      </c>
      <c r="G56">
        <v>3</v>
      </c>
      <c r="H56" t="s">
        <v>225</v>
      </c>
      <c r="K56" t="s">
        <v>34</v>
      </c>
      <c r="L56" t="s">
        <v>21</v>
      </c>
      <c r="M56" t="s">
        <v>179</v>
      </c>
      <c r="N56">
        <v>1</v>
      </c>
    </row>
    <row r="57" spans="1:14" x14ac:dyDescent="0.25">
      <c r="K57" t="s">
        <v>34</v>
      </c>
      <c r="L57" t="s">
        <v>21</v>
      </c>
      <c r="M57" t="s">
        <v>180</v>
      </c>
      <c r="N57">
        <v>1</v>
      </c>
    </row>
    <row r="58" spans="1:14" x14ac:dyDescent="0.25">
      <c r="K58" t="s">
        <v>34</v>
      </c>
      <c r="L58" t="s">
        <v>21</v>
      </c>
      <c r="M58" t="s">
        <v>183</v>
      </c>
      <c r="N58">
        <v>1</v>
      </c>
    </row>
    <row r="59" spans="1:14" x14ac:dyDescent="0.25">
      <c r="K59" t="s">
        <v>34</v>
      </c>
      <c r="L59" t="s">
        <v>21</v>
      </c>
      <c r="M59" t="s">
        <v>185</v>
      </c>
      <c r="N59">
        <v>1</v>
      </c>
    </row>
    <row r="60" spans="1:14" x14ac:dyDescent="0.25">
      <c r="K60" t="s">
        <v>34</v>
      </c>
      <c r="L60" t="s">
        <v>21</v>
      </c>
      <c r="M60" t="s">
        <v>186</v>
      </c>
      <c r="N60">
        <v>2</v>
      </c>
    </row>
    <row r="61" spans="1:14" x14ac:dyDescent="0.25">
      <c r="K61" t="s">
        <v>34</v>
      </c>
      <c r="L61" t="s">
        <v>31</v>
      </c>
      <c r="M61" t="s">
        <v>177</v>
      </c>
      <c r="N61">
        <v>1</v>
      </c>
    </row>
    <row r="62" spans="1:14" x14ac:dyDescent="0.25">
      <c r="K62" t="s">
        <v>34</v>
      </c>
      <c r="L62" t="s">
        <v>21</v>
      </c>
      <c r="M62" t="s">
        <v>182</v>
      </c>
      <c r="N62">
        <v>1</v>
      </c>
    </row>
    <row r="63" spans="1:14" x14ac:dyDescent="0.25">
      <c r="K63" t="s">
        <v>34</v>
      </c>
      <c r="L63" t="s">
        <v>21</v>
      </c>
      <c r="M63" t="s">
        <v>178</v>
      </c>
      <c r="N63">
        <v>1</v>
      </c>
    </row>
    <row r="64" spans="1:14" x14ac:dyDescent="0.25">
      <c r="K64" t="s">
        <v>34</v>
      </c>
      <c r="L64" t="s">
        <v>21</v>
      </c>
      <c r="M64" t="s">
        <v>180</v>
      </c>
      <c r="N64">
        <v>1</v>
      </c>
    </row>
    <row r="65" spans="11:14" x14ac:dyDescent="0.25">
      <c r="K65" t="s">
        <v>34</v>
      </c>
      <c r="L65" t="s">
        <v>31</v>
      </c>
      <c r="M65" t="s">
        <v>178</v>
      </c>
      <c r="N65">
        <v>1</v>
      </c>
    </row>
    <row r="66" spans="11:14" x14ac:dyDescent="0.25">
      <c r="K66" t="s">
        <v>34</v>
      </c>
      <c r="L66" t="s">
        <v>31</v>
      </c>
      <c r="M66" t="s">
        <v>180</v>
      </c>
      <c r="N66">
        <v>1</v>
      </c>
    </row>
    <row r="67" spans="11:14" x14ac:dyDescent="0.25">
      <c r="K67" t="s">
        <v>34</v>
      </c>
      <c r="L67" t="s">
        <v>27</v>
      </c>
      <c r="M67" t="s">
        <v>178</v>
      </c>
      <c r="N67">
        <v>1</v>
      </c>
    </row>
    <row r="68" spans="11:14" x14ac:dyDescent="0.25">
      <c r="K68" t="s">
        <v>34</v>
      </c>
      <c r="L68" t="s">
        <v>21</v>
      </c>
      <c r="M68" t="s">
        <v>177</v>
      </c>
      <c r="N68">
        <v>1</v>
      </c>
    </row>
    <row r="69" spans="11:14" x14ac:dyDescent="0.25">
      <c r="K69" t="s">
        <v>34</v>
      </c>
      <c r="L69" t="s">
        <v>31</v>
      </c>
      <c r="M69" t="s">
        <v>178</v>
      </c>
      <c r="N69">
        <v>1</v>
      </c>
    </row>
    <row r="70" spans="11:14" x14ac:dyDescent="0.25">
      <c r="K70" t="s">
        <v>34</v>
      </c>
      <c r="L70" t="s">
        <v>31</v>
      </c>
      <c r="M70" t="s">
        <v>180</v>
      </c>
      <c r="N70">
        <v>1</v>
      </c>
    </row>
    <row r="71" spans="11:14" x14ac:dyDescent="0.25">
      <c r="K71" t="s">
        <v>34</v>
      </c>
      <c r="L71" t="s">
        <v>21</v>
      </c>
      <c r="M71" t="s">
        <v>180</v>
      </c>
      <c r="N71">
        <v>1</v>
      </c>
    </row>
    <row r="72" spans="11:14" x14ac:dyDescent="0.25">
      <c r="K72" t="s">
        <v>34</v>
      </c>
      <c r="L72" t="s">
        <v>21</v>
      </c>
      <c r="M72" t="s">
        <v>184</v>
      </c>
      <c r="N72">
        <v>1</v>
      </c>
    </row>
    <row r="73" spans="11:14" x14ac:dyDescent="0.25">
      <c r="K73" t="s">
        <v>34</v>
      </c>
      <c r="L73" t="s">
        <v>27</v>
      </c>
      <c r="M73" t="s">
        <v>178</v>
      </c>
      <c r="N73">
        <v>1</v>
      </c>
    </row>
    <row r="74" spans="11:14" x14ac:dyDescent="0.25">
      <c r="K74" t="s">
        <v>34</v>
      </c>
      <c r="L74" t="s">
        <v>27</v>
      </c>
      <c r="M74" t="s">
        <v>180</v>
      </c>
      <c r="N74">
        <v>1</v>
      </c>
    </row>
    <row r="75" spans="11:14" x14ac:dyDescent="0.25">
      <c r="K75" t="s">
        <v>34</v>
      </c>
      <c r="L75" t="s">
        <v>21</v>
      </c>
      <c r="M75" t="s">
        <v>178</v>
      </c>
      <c r="N75">
        <v>1</v>
      </c>
    </row>
    <row r="76" spans="11:14" x14ac:dyDescent="0.25">
      <c r="K76" t="s">
        <v>34</v>
      </c>
      <c r="L76" t="s">
        <v>21</v>
      </c>
      <c r="M76" t="s">
        <v>180</v>
      </c>
      <c r="N76">
        <v>1</v>
      </c>
    </row>
    <row r="77" spans="11:14" x14ac:dyDescent="0.25">
      <c r="K77" t="s">
        <v>34</v>
      </c>
      <c r="L77" t="s">
        <v>21</v>
      </c>
      <c r="M77" t="s">
        <v>181</v>
      </c>
      <c r="N77">
        <v>1</v>
      </c>
    </row>
    <row r="78" spans="11:14" x14ac:dyDescent="0.25">
      <c r="K78" t="s">
        <v>34</v>
      </c>
      <c r="L78" t="s">
        <v>21</v>
      </c>
      <c r="M78" t="s">
        <v>184</v>
      </c>
      <c r="N78">
        <v>1</v>
      </c>
    </row>
    <row r="79" spans="11:14" x14ac:dyDescent="0.25">
      <c r="K79" t="s">
        <v>34</v>
      </c>
      <c r="L79" t="s">
        <v>21</v>
      </c>
      <c r="M79" t="s">
        <v>186</v>
      </c>
      <c r="N79">
        <v>1</v>
      </c>
    </row>
    <row r="80" spans="11:14" x14ac:dyDescent="0.25">
      <c r="K80" t="s">
        <v>34</v>
      </c>
      <c r="L80" t="s">
        <v>27</v>
      </c>
      <c r="M80" t="s">
        <v>180</v>
      </c>
      <c r="N80">
        <v>1</v>
      </c>
    </row>
    <row r="81" spans="11:14" x14ac:dyDescent="0.25">
      <c r="K81" t="s">
        <v>34</v>
      </c>
      <c r="L81" t="s">
        <v>27</v>
      </c>
      <c r="M81" t="s">
        <v>181</v>
      </c>
      <c r="N81">
        <v>1</v>
      </c>
    </row>
    <row r="82" spans="11:14" x14ac:dyDescent="0.25">
      <c r="K82" t="s">
        <v>34</v>
      </c>
      <c r="L82" t="s">
        <v>27</v>
      </c>
      <c r="M82" t="s">
        <v>184</v>
      </c>
      <c r="N82">
        <v>1</v>
      </c>
    </row>
    <row r="83" spans="11:14" x14ac:dyDescent="0.25">
      <c r="K83" t="s">
        <v>34</v>
      </c>
      <c r="L83" t="s">
        <v>27</v>
      </c>
      <c r="M83" t="s">
        <v>185</v>
      </c>
      <c r="N83">
        <v>1</v>
      </c>
    </row>
    <row r="84" spans="11:14" x14ac:dyDescent="0.25">
      <c r="K84" t="s">
        <v>34</v>
      </c>
      <c r="L84" t="s">
        <v>27</v>
      </c>
      <c r="M84" t="s">
        <v>181</v>
      </c>
      <c r="N84">
        <v>1</v>
      </c>
    </row>
    <row r="85" spans="11:14" x14ac:dyDescent="0.25">
      <c r="K85" t="s">
        <v>34</v>
      </c>
      <c r="L85" t="s">
        <v>27</v>
      </c>
      <c r="M85" t="s">
        <v>182</v>
      </c>
      <c r="N85">
        <v>1</v>
      </c>
    </row>
    <row r="86" spans="11:14" x14ac:dyDescent="0.25">
      <c r="K86" t="s">
        <v>34</v>
      </c>
      <c r="L86" t="s">
        <v>31</v>
      </c>
      <c r="M86" t="s">
        <v>178</v>
      </c>
      <c r="N86">
        <v>1</v>
      </c>
    </row>
    <row r="87" spans="11:14" x14ac:dyDescent="0.25">
      <c r="K87" t="s">
        <v>34</v>
      </c>
      <c r="L87" t="s">
        <v>31</v>
      </c>
      <c r="M87" t="s">
        <v>180</v>
      </c>
      <c r="N87">
        <v>1</v>
      </c>
    </row>
    <row r="88" spans="11:14" x14ac:dyDescent="0.25">
      <c r="K88" t="s">
        <v>34</v>
      </c>
      <c r="L88" t="s">
        <v>31</v>
      </c>
      <c r="M88" t="s">
        <v>186</v>
      </c>
      <c r="N88">
        <v>1</v>
      </c>
    </row>
    <row r="89" spans="11:14" x14ac:dyDescent="0.25">
      <c r="K89" t="s">
        <v>34</v>
      </c>
      <c r="L89" t="s">
        <v>27</v>
      </c>
      <c r="M89" t="s">
        <v>178</v>
      </c>
      <c r="N89">
        <v>1</v>
      </c>
    </row>
    <row r="90" spans="11:14" x14ac:dyDescent="0.25">
      <c r="K90" t="s">
        <v>34</v>
      </c>
      <c r="L90" t="s">
        <v>27</v>
      </c>
      <c r="M90" t="s">
        <v>180</v>
      </c>
      <c r="N90">
        <v>1</v>
      </c>
    </row>
    <row r="91" spans="11:14" x14ac:dyDescent="0.25">
      <c r="K91" t="s">
        <v>34</v>
      </c>
      <c r="L91" t="s">
        <v>27</v>
      </c>
      <c r="M91" t="s">
        <v>181</v>
      </c>
      <c r="N91">
        <v>1</v>
      </c>
    </row>
    <row r="92" spans="11:14" x14ac:dyDescent="0.25">
      <c r="K92" t="s">
        <v>34</v>
      </c>
      <c r="L92" t="s">
        <v>27</v>
      </c>
      <c r="M92" t="s">
        <v>184</v>
      </c>
      <c r="N92">
        <v>1</v>
      </c>
    </row>
    <row r="93" spans="11:14" x14ac:dyDescent="0.25">
      <c r="K93" t="s">
        <v>34</v>
      </c>
      <c r="L93" t="s">
        <v>27</v>
      </c>
      <c r="M93" t="s">
        <v>185</v>
      </c>
      <c r="N93">
        <v>1</v>
      </c>
    </row>
    <row r="94" spans="11:14" x14ac:dyDescent="0.25">
      <c r="K94" t="s">
        <v>34</v>
      </c>
      <c r="L94" t="s">
        <v>31</v>
      </c>
      <c r="M94" t="s">
        <v>181</v>
      </c>
      <c r="N94">
        <v>1</v>
      </c>
    </row>
    <row r="95" spans="11:14" x14ac:dyDescent="0.25">
      <c r="K95" t="s">
        <v>34</v>
      </c>
      <c r="L95" t="s">
        <v>31</v>
      </c>
      <c r="M95" t="s">
        <v>185</v>
      </c>
      <c r="N95">
        <v>1</v>
      </c>
    </row>
    <row r="96" spans="11:14" x14ac:dyDescent="0.25">
      <c r="K96" t="s">
        <v>34</v>
      </c>
      <c r="L96" t="s">
        <v>31</v>
      </c>
      <c r="M96" t="s">
        <v>186</v>
      </c>
      <c r="N96">
        <v>1</v>
      </c>
    </row>
    <row r="97" spans="11:14" x14ac:dyDescent="0.25">
      <c r="K97" t="s">
        <v>34</v>
      </c>
      <c r="L97" t="s">
        <v>21</v>
      </c>
      <c r="M97" t="s">
        <v>182</v>
      </c>
      <c r="N97">
        <v>1</v>
      </c>
    </row>
    <row r="98" spans="11:14" x14ac:dyDescent="0.25">
      <c r="K98" t="s">
        <v>34</v>
      </c>
      <c r="L98" t="s">
        <v>21</v>
      </c>
      <c r="M98" t="s">
        <v>184</v>
      </c>
      <c r="N98">
        <v>1</v>
      </c>
    </row>
    <row r="99" spans="11:14" x14ac:dyDescent="0.25">
      <c r="K99" t="s">
        <v>34</v>
      </c>
      <c r="L99" t="s">
        <v>31</v>
      </c>
      <c r="M99" t="s">
        <v>185</v>
      </c>
      <c r="N99">
        <v>4</v>
      </c>
    </row>
    <row r="100" spans="11:14" x14ac:dyDescent="0.25">
      <c r="K100" t="s">
        <v>34</v>
      </c>
      <c r="L100" t="s">
        <v>21</v>
      </c>
      <c r="M100" t="s">
        <v>180</v>
      </c>
      <c r="N100">
        <v>2</v>
      </c>
    </row>
    <row r="101" spans="11:14" x14ac:dyDescent="0.25">
      <c r="K101" t="s">
        <v>34</v>
      </c>
      <c r="L101" t="s">
        <v>21</v>
      </c>
      <c r="M101" t="s">
        <v>182</v>
      </c>
      <c r="N101">
        <v>1</v>
      </c>
    </row>
    <row r="102" spans="11:14" x14ac:dyDescent="0.25">
      <c r="K102" t="s">
        <v>34</v>
      </c>
      <c r="L102" t="s">
        <v>31</v>
      </c>
      <c r="M102" t="s">
        <v>180</v>
      </c>
      <c r="N102">
        <v>1</v>
      </c>
    </row>
    <row r="103" spans="11:14" x14ac:dyDescent="0.25">
      <c r="K103" t="s">
        <v>34</v>
      </c>
      <c r="L103" t="s">
        <v>31</v>
      </c>
      <c r="M103" t="s">
        <v>186</v>
      </c>
      <c r="N103">
        <v>1</v>
      </c>
    </row>
    <row r="104" spans="11:14" x14ac:dyDescent="0.25">
      <c r="K104" t="s">
        <v>34</v>
      </c>
      <c r="L104" t="s">
        <v>21</v>
      </c>
      <c r="M104" t="s">
        <v>186</v>
      </c>
      <c r="N104">
        <v>1</v>
      </c>
    </row>
    <row r="105" spans="11:14" x14ac:dyDescent="0.25">
      <c r="K105" t="s">
        <v>34</v>
      </c>
      <c r="L105" t="s">
        <v>27</v>
      </c>
      <c r="M105" t="s">
        <v>186</v>
      </c>
      <c r="N105">
        <v>2</v>
      </c>
    </row>
    <row r="106" spans="11:14" x14ac:dyDescent="0.25">
      <c r="K106" t="s">
        <v>34</v>
      </c>
      <c r="L106" t="s">
        <v>21</v>
      </c>
      <c r="M106" t="s">
        <v>177</v>
      </c>
      <c r="N106">
        <v>1</v>
      </c>
    </row>
    <row r="107" spans="11:14" x14ac:dyDescent="0.25">
      <c r="K107" t="s">
        <v>34</v>
      </c>
      <c r="L107" t="s">
        <v>21</v>
      </c>
      <c r="M107" t="s">
        <v>185</v>
      </c>
      <c r="N107">
        <v>1</v>
      </c>
    </row>
    <row r="108" spans="11:14" x14ac:dyDescent="0.25">
      <c r="K108" t="s">
        <v>34</v>
      </c>
      <c r="L108" t="s">
        <v>27</v>
      </c>
      <c r="M108" t="s">
        <v>186</v>
      </c>
      <c r="N108">
        <v>1</v>
      </c>
    </row>
    <row r="109" spans="11:14" x14ac:dyDescent="0.25">
      <c r="K109" t="s">
        <v>34</v>
      </c>
      <c r="L109" t="s">
        <v>31</v>
      </c>
      <c r="M109" t="s">
        <v>180</v>
      </c>
      <c r="N109">
        <v>2</v>
      </c>
    </row>
    <row r="110" spans="11:14" x14ac:dyDescent="0.25">
      <c r="K110" t="s">
        <v>34</v>
      </c>
      <c r="L110" t="s">
        <v>31</v>
      </c>
      <c r="M110" t="s">
        <v>182</v>
      </c>
      <c r="N110">
        <v>1</v>
      </c>
    </row>
    <row r="111" spans="11:14" x14ac:dyDescent="0.25">
      <c r="K111" t="s">
        <v>34</v>
      </c>
      <c r="L111" t="s">
        <v>31</v>
      </c>
      <c r="M111" t="s">
        <v>185</v>
      </c>
      <c r="N111">
        <v>1</v>
      </c>
    </row>
    <row r="112" spans="11:14" x14ac:dyDescent="0.25">
      <c r="K112" t="s">
        <v>34</v>
      </c>
      <c r="L112" t="s">
        <v>31</v>
      </c>
      <c r="M112" t="s">
        <v>186</v>
      </c>
      <c r="N112">
        <v>2</v>
      </c>
    </row>
    <row r="113" spans="11:14" x14ac:dyDescent="0.25">
      <c r="K113" t="s">
        <v>34</v>
      </c>
      <c r="L113" t="s">
        <v>27</v>
      </c>
      <c r="M113" t="s">
        <v>181</v>
      </c>
      <c r="N113">
        <v>1</v>
      </c>
    </row>
    <row r="114" spans="11:14" x14ac:dyDescent="0.25">
      <c r="K114" t="s">
        <v>34</v>
      </c>
      <c r="L114" t="s">
        <v>27</v>
      </c>
      <c r="M114" t="s">
        <v>182</v>
      </c>
      <c r="N114">
        <v>1</v>
      </c>
    </row>
    <row r="115" spans="11:14" x14ac:dyDescent="0.25">
      <c r="K115" t="s">
        <v>34</v>
      </c>
      <c r="L115" t="s">
        <v>31</v>
      </c>
      <c r="M115" t="s">
        <v>179</v>
      </c>
      <c r="N115">
        <v>1</v>
      </c>
    </row>
    <row r="116" spans="11:14" x14ac:dyDescent="0.25">
      <c r="K116" t="s">
        <v>34</v>
      </c>
      <c r="L116" t="s">
        <v>31</v>
      </c>
      <c r="M116" t="s">
        <v>180</v>
      </c>
      <c r="N116">
        <v>1</v>
      </c>
    </row>
    <row r="117" spans="11:14" x14ac:dyDescent="0.25">
      <c r="K117" t="s">
        <v>34</v>
      </c>
      <c r="L117" t="s">
        <v>31</v>
      </c>
      <c r="M117" t="s">
        <v>184</v>
      </c>
      <c r="N117">
        <v>1</v>
      </c>
    </row>
    <row r="118" spans="11:14" x14ac:dyDescent="0.25">
      <c r="K118" t="s">
        <v>34</v>
      </c>
      <c r="L118" t="s">
        <v>21</v>
      </c>
      <c r="M118" t="s">
        <v>177</v>
      </c>
      <c r="N118">
        <v>1</v>
      </c>
    </row>
    <row r="119" spans="11:14" x14ac:dyDescent="0.25">
      <c r="K119" t="s">
        <v>34</v>
      </c>
      <c r="L119" t="s">
        <v>21</v>
      </c>
      <c r="M119" t="s">
        <v>178</v>
      </c>
      <c r="N119">
        <v>1</v>
      </c>
    </row>
    <row r="120" spans="11:14" x14ac:dyDescent="0.25">
      <c r="K120" t="s">
        <v>34</v>
      </c>
      <c r="L120" t="s">
        <v>21</v>
      </c>
      <c r="M120" t="s">
        <v>180</v>
      </c>
      <c r="N120">
        <v>4</v>
      </c>
    </row>
    <row r="121" spans="11:14" x14ac:dyDescent="0.25">
      <c r="K121" t="s">
        <v>34</v>
      </c>
      <c r="L121" t="s">
        <v>21</v>
      </c>
      <c r="M121" t="s">
        <v>183</v>
      </c>
      <c r="N121">
        <v>2</v>
      </c>
    </row>
    <row r="122" spans="11:14" x14ac:dyDescent="0.25">
      <c r="K122" t="s">
        <v>34</v>
      </c>
      <c r="L122" t="s">
        <v>21</v>
      </c>
      <c r="M122" t="s">
        <v>186</v>
      </c>
      <c r="N122">
        <v>2</v>
      </c>
    </row>
    <row r="123" spans="11:14" x14ac:dyDescent="0.25">
      <c r="K123" t="s">
        <v>34</v>
      </c>
      <c r="L123" t="s">
        <v>21</v>
      </c>
      <c r="M123" t="s">
        <v>177</v>
      </c>
      <c r="N123">
        <v>1</v>
      </c>
    </row>
    <row r="124" spans="11:14" x14ac:dyDescent="0.25">
      <c r="K124" t="s">
        <v>34</v>
      </c>
      <c r="L124" t="s">
        <v>21</v>
      </c>
      <c r="M124" t="s">
        <v>178</v>
      </c>
      <c r="N124">
        <v>1</v>
      </c>
    </row>
    <row r="125" spans="11:14" x14ac:dyDescent="0.25">
      <c r="K125" t="s">
        <v>34</v>
      </c>
      <c r="L125" t="s">
        <v>31</v>
      </c>
      <c r="M125" t="s">
        <v>178</v>
      </c>
      <c r="N125">
        <v>1</v>
      </c>
    </row>
    <row r="126" spans="11:14" x14ac:dyDescent="0.25">
      <c r="K126" t="s">
        <v>34</v>
      </c>
      <c r="L126" t="s">
        <v>31</v>
      </c>
      <c r="M126" t="s">
        <v>184</v>
      </c>
      <c r="N126">
        <v>1</v>
      </c>
    </row>
    <row r="127" spans="11:14" x14ac:dyDescent="0.25">
      <c r="K127" t="s">
        <v>34</v>
      </c>
      <c r="L127" t="s">
        <v>31</v>
      </c>
      <c r="M127" t="s">
        <v>186</v>
      </c>
      <c r="N127">
        <v>1</v>
      </c>
    </row>
    <row r="128" spans="11:14" x14ac:dyDescent="0.25">
      <c r="K128" t="s">
        <v>34</v>
      </c>
      <c r="L128" t="s">
        <v>21</v>
      </c>
      <c r="M128" t="s">
        <v>177</v>
      </c>
      <c r="N128">
        <v>1</v>
      </c>
    </row>
    <row r="129" spans="11:14" x14ac:dyDescent="0.25">
      <c r="K129" t="s">
        <v>34</v>
      </c>
      <c r="L129" t="s">
        <v>21</v>
      </c>
      <c r="M129" t="s">
        <v>180</v>
      </c>
      <c r="N129">
        <v>2</v>
      </c>
    </row>
    <row r="130" spans="11:14" x14ac:dyDescent="0.25">
      <c r="K130" t="s">
        <v>34</v>
      </c>
      <c r="L130" t="s">
        <v>27</v>
      </c>
      <c r="M130" t="s">
        <v>180</v>
      </c>
      <c r="N130">
        <v>1</v>
      </c>
    </row>
    <row r="131" spans="11:14" x14ac:dyDescent="0.25">
      <c r="K131" t="s">
        <v>34</v>
      </c>
      <c r="L131" t="s">
        <v>27</v>
      </c>
      <c r="M131" t="s">
        <v>186</v>
      </c>
      <c r="N131">
        <v>1</v>
      </c>
    </row>
    <row r="132" spans="11:14" x14ac:dyDescent="0.25">
      <c r="K132" t="s">
        <v>34</v>
      </c>
      <c r="L132" t="s">
        <v>31</v>
      </c>
      <c r="M132" t="s">
        <v>177</v>
      </c>
      <c r="N132">
        <v>1</v>
      </c>
    </row>
    <row r="133" spans="11:14" x14ac:dyDescent="0.25">
      <c r="K133" t="s">
        <v>34</v>
      </c>
      <c r="L133" t="s">
        <v>31</v>
      </c>
      <c r="M133" t="s">
        <v>180</v>
      </c>
      <c r="N133">
        <v>1</v>
      </c>
    </row>
    <row r="134" spans="11:14" x14ac:dyDescent="0.25">
      <c r="K134" t="s">
        <v>34</v>
      </c>
      <c r="L134" t="s">
        <v>31</v>
      </c>
      <c r="M134" t="s">
        <v>186</v>
      </c>
      <c r="N134">
        <v>1</v>
      </c>
    </row>
    <row r="135" spans="11:14" x14ac:dyDescent="0.25">
      <c r="K135" t="s">
        <v>38</v>
      </c>
      <c r="L135" t="s">
        <v>234</v>
      </c>
      <c r="M135" t="s">
        <v>177</v>
      </c>
      <c r="N135">
        <v>1</v>
      </c>
    </row>
    <row r="136" spans="11:14" x14ac:dyDescent="0.25">
      <c r="K136" t="s">
        <v>38</v>
      </c>
      <c r="L136" t="s">
        <v>234</v>
      </c>
      <c r="M136" t="s">
        <v>180</v>
      </c>
      <c r="N136">
        <v>1</v>
      </c>
    </row>
    <row r="137" spans="11:14" x14ac:dyDescent="0.25">
      <c r="K137" t="s">
        <v>38</v>
      </c>
      <c r="L137" t="s">
        <v>234</v>
      </c>
      <c r="M137" t="s">
        <v>183</v>
      </c>
      <c r="N137">
        <v>1</v>
      </c>
    </row>
    <row r="138" spans="11:14" x14ac:dyDescent="0.25">
      <c r="K138" t="s">
        <v>38</v>
      </c>
      <c r="L138" t="s">
        <v>237</v>
      </c>
      <c r="M138" t="s">
        <v>181</v>
      </c>
      <c r="N138">
        <v>2</v>
      </c>
    </row>
    <row r="139" spans="11:14" x14ac:dyDescent="0.25">
      <c r="K139" t="s">
        <v>38</v>
      </c>
      <c r="L139" t="s">
        <v>236</v>
      </c>
      <c r="M139" t="s">
        <v>178</v>
      </c>
      <c r="N139">
        <v>3</v>
      </c>
    </row>
    <row r="140" spans="11:14" x14ac:dyDescent="0.25">
      <c r="K140" t="s">
        <v>38</v>
      </c>
      <c r="L140" t="s">
        <v>236</v>
      </c>
      <c r="M140" t="s">
        <v>183</v>
      </c>
      <c r="N140">
        <v>2</v>
      </c>
    </row>
    <row r="141" spans="11:14" x14ac:dyDescent="0.25">
      <c r="K141" t="s">
        <v>38</v>
      </c>
      <c r="L141" t="s">
        <v>236</v>
      </c>
      <c r="M141" t="s">
        <v>185</v>
      </c>
      <c r="N141">
        <v>2</v>
      </c>
    </row>
    <row r="142" spans="11:14" x14ac:dyDescent="0.25">
      <c r="K142" t="s">
        <v>38</v>
      </c>
      <c r="L142" t="s">
        <v>235</v>
      </c>
      <c r="M142" t="s">
        <v>180</v>
      </c>
      <c r="N142">
        <v>1</v>
      </c>
    </row>
    <row r="143" spans="11:14" x14ac:dyDescent="0.25">
      <c r="K143" t="s">
        <v>38</v>
      </c>
      <c r="L143" t="s">
        <v>235</v>
      </c>
      <c r="M143" t="s">
        <v>182</v>
      </c>
      <c r="N143">
        <v>3</v>
      </c>
    </row>
    <row r="144" spans="11:14" x14ac:dyDescent="0.25">
      <c r="K144" t="s">
        <v>38</v>
      </c>
      <c r="L144" t="s">
        <v>235</v>
      </c>
      <c r="M144" t="s">
        <v>184</v>
      </c>
      <c r="N144">
        <v>1</v>
      </c>
    </row>
    <row r="145" spans="11:14" x14ac:dyDescent="0.25">
      <c r="K145" t="s">
        <v>38</v>
      </c>
      <c r="L145" t="s">
        <v>235</v>
      </c>
      <c r="M145" t="s">
        <v>180</v>
      </c>
      <c r="N145">
        <v>3</v>
      </c>
    </row>
    <row r="146" spans="11:14" x14ac:dyDescent="0.25">
      <c r="K146" t="s">
        <v>38</v>
      </c>
      <c r="L146" t="s">
        <v>238</v>
      </c>
      <c r="M146" t="s">
        <v>177</v>
      </c>
      <c r="N146">
        <v>1</v>
      </c>
    </row>
    <row r="147" spans="11:14" x14ac:dyDescent="0.25">
      <c r="K147" t="s">
        <v>38</v>
      </c>
      <c r="L147" t="s">
        <v>238</v>
      </c>
      <c r="M147" t="s">
        <v>182</v>
      </c>
      <c r="N147">
        <v>3</v>
      </c>
    </row>
    <row r="148" spans="11:14" x14ac:dyDescent="0.25">
      <c r="K148" t="s">
        <v>38</v>
      </c>
      <c r="L148" t="s">
        <v>239</v>
      </c>
      <c r="M148" t="s">
        <v>179</v>
      </c>
      <c r="N148">
        <v>2</v>
      </c>
    </row>
    <row r="149" spans="11:14" x14ac:dyDescent="0.25">
      <c r="K149" t="s">
        <v>38</v>
      </c>
      <c r="L149" t="s">
        <v>234</v>
      </c>
      <c r="M149" t="s">
        <v>181</v>
      </c>
      <c r="N149">
        <v>1</v>
      </c>
    </row>
    <row r="150" spans="11:14" x14ac:dyDescent="0.25">
      <c r="K150" t="s">
        <v>38</v>
      </c>
      <c r="L150" t="s">
        <v>236</v>
      </c>
      <c r="M150" t="s">
        <v>177</v>
      </c>
      <c r="N150">
        <v>4</v>
      </c>
    </row>
    <row r="151" spans="11:14" x14ac:dyDescent="0.25">
      <c r="K151" t="s">
        <v>38</v>
      </c>
      <c r="L151" t="s">
        <v>236</v>
      </c>
      <c r="M151" t="s">
        <v>178</v>
      </c>
      <c r="N151">
        <v>2</v>
      </c>
    </row>
    <row r="152" spans="11:14" x14ac:dyDescent="0.25">
      <c r="K152" t="s">
        <v>38</v>
      </c>
      <c r="L152" t="s">
        <v>236</v>
      </c>
      <c r="M152" t="s">
        <v>184</v>
      </c>
      <c r="N152">
        <v>3</v>
      </c>
    </row>
    <row r="153" spans="11:14" x14ac:dyDescent="0.25">
      <c r="K153" t="s">
        <v>38</v>
      </c>
      <c r="L153" t="s">
        <v>236</v>
      </c>
      <c r="M153" t="s">
        <v>177</v>
      </c>
      <c r="N153">
        <v>1</v>
      </c>
    </row>
    <row r="154" spans="11:14" x14ac:dyDescent="0.25">
      <c r="K154" t="s">
        <v>38</v>
      </c>
      <c r="L154" t="s">
        <v>236</v>
      </c>
      <c r="M154" t="s">
        <v>181</v>
      </c>
      <c r="N154">
        <v>1</v>
      </c>
    </row>
    <row r="155" spans="11:14" x14ac:dyDescent="0.25">
      <c r="K155" t="s">
        <v>38</v>
      </c>
      <c r="L155" t="s">
        <v>236</v>
      </c>
      <c r="M155" t="s">
        <v>185</v>
      </c>
      <c r="N155">
        <v>1</v>
      </c>
    </row>
    <row r="156" spans="11:14" x14ac:dyDescent="0.25">
      <c r="K156" t="s">
        <v>38</v>
      </c>
      <c r="L156" t="s">
        <v>235</v>
      </c>
      <c r="M156" t="s">
        <v>178</v>
      </c>
      <c r="N156">
        <v>1</v>
      </c>
    </row>
    <row r="157" spans="11:14" x14ac:dyDescent="0.25">
      <c r="K157" t="s">
        <v>38</v>
      </c>
      <c r="L157" t="s">
        <v>235</v>
      </c>
      <c r="M157" t="s">
        <v>180</v>
      </c>
      <c r="N157">
        <v>1</v>
      </c>
    </row>
    <row r="158" spans="11:14" x14ac:dyDescent="0.25">
      <c r="K158" t="s">
        <v>38</v>
      </c>
      <c r="L158" t="s">
        <v>235</v>
      </c>
      <c r="M158" t="s">
        <v>182</v>
      </c>
      <c r="N158">
        <v>1</v>
      </c>
    </row>
    <row r="159" spans="11:14" x14ac:dyDescent="0.25">
      <c r="K159" t="s">
        <v>38</v>
      </c>
      <c r="L159" t="s">
        <v>235</v>
      </c>
      <c r="M159" t="s">
        <v>184</v>
      </c>
      <c r="N159">
        <v>1</v>
      </c>
    </row>
    <row r="160" spans="11:14" x14ac:dyDescent="0.25">
      <c r="K160" t="s">
        <v>38</v>
      </c>
      <c r="L160" t="s">
        <v>235</v>
      </c>
      <c r="M160" t="s">
        <v>186</v>
      </c>
      <c r="N160">
        <v>1</v>
      </c>
    </row>
    <row r="161" spans="11:14" x14ac:dyDescent="0.25">
      <c r="K161" t="s">
        <v>38</v>
      </c>
      <c r="L161" t="s">
        <v>239</v>
      </c>
      <c r="M161" t="s">
        <v>179</v>
      </c>
      <c r="N161">
        <v>1</v>
      </c>
    </row>
    <row r="162" spans="11:14" x14ac:dyDescent="0.25">
      <c r="K162" t="s">
        <v>38</v>
      </c>
      <c r="L162" t="s">
        <v>239</v>
      </c>
      <c r="M162" t="s">
        <v>183</v>
      </c>
      <c r="N162">
        <v>1</v>
      </c>
    </row>
    <row r="163" spans="11:14" x14ac:dyDescent="0.25">
      <c r="K163" t="s">
        <v>38</v>
      </c>
      <c r="L163" t="s">
        <v>239</v>
      </c>
      <c r="M163" t="s">
        <v>186</v>
      </c>
      <c r="N163">
        <v>1</v>
      </c>
    </row>
    <row r="164" spans="11:14" x14ac:dyDescent="0.25">
      <c r="K164" t="s">
        <v>38</v>
      </c>
      <c r="L164" t="s">
        <v>237</v>
      </c>
      <c r="M164" t="s">
        <v>178</v>
      </c>
      <c r="N164">
        <v>2</v>
      </c>
    </row>
    <row r="165" spans="11:14" x14ac:dyDescent="0.25">
      <c r="K165" t="s">
        <v>38</v>
      </c>
      <c r="L165" t="s">
        <v>237</v>
      </c>
      <c r="M165" t="s">
        <v>184</v>
      </c>
      <c r="N165">
        <v>2</v>
      </c>
    </row>
    <row r="166" spans="11:14" x14ac:dyDescent="0.25">
      <c r="K166" t="s">
        <v>38</v>
      </c>
      <c r="L166" t="s">
        <v>235</v>
      </c>
      <c r="M166" t="s">
        <v>177</v>
      </c>
      <c r="N166">
        <v>2</v>
      </c>
    </row>
    <row r="167" spans="11:14" x14ac:dyDescent="0.25">
      <c r="K167" t="s">
        <v>38</v>
      </c>
      <c r="L167" t="s">
        <v>235</v>
      </c>
      <c r="M167" t="s">
        <v>178</v>
      </c>
      <c r="N167">
        <v>1</v>
      </c>
    </row>
    <row r="168" spans="11:14" x14ac:dyDescent="0.25">
      <c r="K168" t="s">
        <v>38</v>
      </c>
      <c r="L168" t="s">
        <v>235</v>
      </c>
      <c r="M168" t="s">
        <v>179</v>
      </c>
      <c r="N168">
        <v>1</v>
      </c>
    </row>
    <row r="169" spans="11:14" x14ac:dyDescent="0.25">
      <c r="K169" t="s">
        <v>38</v>
      </c>
      <c r="L169" t="s">
        <v>235</v>
      </c>
      <c r="M169" t="s">
        <v>181</v>
      </c>
      <c r="N169">
        <v>1</v>
      </c>
    </row>
    <row r="170" spans="11:14" x14ac:dyDescent="0.25">
      <c r="K170" t="s">
        <v>38</v>
      </c>
      <c r="L170" t="s">
        <v>235</v>
      </c>
      <c r="M170" t="s">
        <v>182</v>
      </c>
      <c r="N170">
        <v>1</v>
      </c>
    </row>
    <row r="171" spans="11:14" x14ac:dyDescent="0.25">
      <c r="K171" t="s">
        <v>38</v>
      </c>
      <c r="L171" t="s">
        <v>235</v>
      </c>
      <c r="M171" t="s">
        <v>186</v>
      </c>
      <c r="N171">
        <v>2</v>
      </c>
    </row>
    <row r="172" spans="11:14" x14ac:dyDescent="0.25">
      <c r="K172" t="s">
        <v>38</v>
      </c>
      <c r="L172" t="s">
        <v>234</v>
      </c>
      <c r="M172" t="s">
        <v>178</v>
      </c>
      <c r="N172">
        <v>2</v>
      </c>
    </row>
    <row r="173" spans="11:14" x14ac:dyDescent="0.25">
      <c r="K173" t="s">
        <v>38</v>
      </c>
      <c r="L173" t="s">
        <v>234</v>
      </c>
      <c r="M173" t="s">
        <v>183</v>
      </c>
      <c r="N173">
        <v>1</v>
      </c>
    </row>
    <row r="174" spans="11:14" x14ac:dyDescent="0.25">
      <c r="K174" t="s">
        <v>38</v>
      </c>
      <c r="L174" t="s">
        <v>234</v>
      </c>
      <c r="M174" t="s">
        <v>185</v>
      </c>
      <c r="N174">
        <v>2</v>
      </c>
    </row>
    <row r="175" spans="11:14" x14ac:dyDescent="0.25">
      <c r="K175" t="s">
        <v>38</v>
      </c>
      <c r="L175" t="s">
        <v>238</v>
      </c>
      <c r="M175" t="s">
        <v>177</v>
      </c>
      <c r="N175">
        <v>1</v>
      </c>
    </row>
    <row r="176" spans="11:14" x14ac:dyDescent="0.25">
      <c r="K176" t="s">
        <v>38</v>
      </c>
      <c r="L176" t="s">
        <v>238</v>
      </c>
      <c r="M176" t="s">
        <v>180</v>
      </c>
      <c r="N176">
        <v>1</v>
      </c>
    </row>
    <row r="177" spans="11:14" x14ac:dyDescent="0.25">
      <c r="K177" t="s">
        <v>38</v>
      </c>
      <c r="L177" t="s">
        <v>238</v>
      </c>
      <c r="M177" t="s">
        <v>184</v>
      </c>
      <c r="N177">
        <v>1</v>
      </c>
    </row>
  </sheetData>
  <pageMargins left="0.7" right="0.7" top="0.75" bottom="0.75" header="0.3" footer="0.3"/>
  <tableParts count="2">
    <tablePart r:id="rId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5BAA00-83B4-4238-AFDA-874E7539A6DE}">
  <sheetPr codeName="Sheet13"/>
  <dimension ref="A1:AW147"/>
  <sheetViews>
    <sheetView workbookViewId="0">
      <selection activeCell="Q10" sqref="Q10"/>
    </sheetView>
  </sheetViews>
  <sheetFormatPr defaultRowHeight="15" x14ac:dyDescent="0.25"/>
  <cols>
    <col min="1" max="1" width="11.28515625" customWidth="1"/>
    <col min="2" max="2" width="13.7109375" customWidth="1"/>
    <col min="4" max="4" width="11.7109375" customWidth="1"/>
    <col min="5" max="5" width="10.28515625" customWidth="1"/>
    <col min="6" max="6" width="18.5703125" customWidth="1"/>
    <col min="7" max="7" width="15.7109375" customWidth="1"/>
    <col min="8" max="9" width="16.140625" customWidth="1"/>
    <col min="10" max="10" width="13.42578125" customWidth="1"/>
  </cols>
  <sheetData>
    <row r="1" spans="1:49" x14ac:dyDescent="0.25">
      <c r="A1" t="s">
        <v>219</v>
      </c>
      <c r="B1" t="s">
        <v>220</v>
      </c>
      <c r="C1" t="s">
        <v>221</v>
      </c>
      <c r="D1" t="s">
        <v>197</v>
      </c>
      <c r="E1" t="s">
        <v>120</v>
      </c>
      <c r="F1" t="s">
        <v>257</v>
      </c>
      <c r="G1" t="s">
        <v>260</v>
      </c>
      <c r="H1" t="s">
        <v>253</v>
      </c>
      <c r="I1" t="s">
        <v>254</v>
      </c>
      <c r="J1" t="s">
        <v>223</v>
      </c>
      <c r="R1" t="s">
        <v>197</v>
      </c>
      <c r="S1">
        <v>1</v>
      </c>
      <c r="T1">
        <v>2</v>
      </c>
      <c r="U1">
        <v>3</v>
      </c>
      <c r="V1">
        <v>4</v>
      </c>
      <c r="W1">
        <v>5</v>
      </c>
      <c r="X1">
        <v>6</v>
      </c>
      <c r="Y1">
        <v>7</v>
      </c>
      <c r="Z1">
        <v>8</v>
      </c>
      <c r="AA1">
        <v>9</v>
      </c>
      <c r="AB1">
        <v>10</v>
      </c>
      <c r="AC1">
        <v>11</v>
      </c>
      <c r="AD1">
        <v>12</v>
      </c>
      <c r="AE1">
        <v>13</v>
      </c>
      <c r="AF1">
        <v>14</v>
      </c>
      <c r="AG1">
        <v>15</v>
      </c>
      <c r="AH1">
        <v>16</v>
      </c>
      <c r="AI1">
        <v>17</v>
      </c>
      <c r="AJ1">
        <v>18</v>
      </c>
      <c r="AK1">
        <v>19</v>
      </c>
      <c r="AL1">
        <v>20</v>
      </c>
      <c r="AM1">
        <v>21</v>
      </c>
      <c r="AN1">
        <v>22</v>
      </c>
      <c r="AO1">
        <v>23</v>
      </c>
      <c r="AP1">
        <v>24</v>
      </c>
      <c r="AQ1">
        <v>25</v>
      </c>
      <c r="AR1">
        <v>26</v>
      </c>
      <c r="AS1">
        <v>27</v>
      </c>
      <c r="AT1">
        <v>28</v>
      </c>
      <c r="AU1">
        <v>29</v>
      </c>
      <c r="AV1">
        <v>30</v>
      </c>
      <c r="AW1">
        <v>31</v>
      </c>
    </row>
    <row r="2" spans="1:49" x14ac:dyDescent="0.25">
      <c r="A2" s="680">
        <v>46023</v>
      </c>
      <c r="B2" t="s">
        <v>34</v>
      </c>
      <c r="C2">
        <v>1</v>
      </c>
      <c r="D2" t="s">
        <v>67</v>
      </c>
      <c r="E2">
        <v>-330</v>
      </c>
      <c r="F2">
        <v>405</v>
      </c>
      <c r="H2">
        <v>0</v>
      </c>
      <c r="I2">
        <v>405</v>
      </c>
      <c r="J2" t="s">
        <v>224</v>
      </c>
      <c r="R2" t="s">
        <v>67</v>
      </c>
      <c r="S2">
        <v>-330</v>
      </c>
      <c r="T2">
        <v>0</v>
      </c>
      <c r="U2">
        <v>0</v>
      </c>
      <c r="V2">
        <v>-37.000000000000057</v>
      </c>
      <c r="W2">
        <v>0</v>
      </c>
      <c r="X2">
        <v>0</v>
      </c>
      <c r="Y2">
        <v>0</v>
      </c>
      <c r="Z2">
        <v>0</v>
      </c>
      <c r="AA2">
        <v>0</v>
      </c>
      <c r="AB2">
        <v>0</v>
      </c>
      <c r="AC2">
        <v>0</v>
      </c>
      <c r="AD2">
        <v>0</v>
      </c>
      <c r="AE2">
        <v>0</v>
      </c>
      <c r="AF2">
        <v>-76</v>
      </c>
      <c r="AG2">
        <v>0</v>
      </c>
      <c r="AH2">
        <v>0</v>
      </c>
      <c r="AI2">
        <v>0</v>
      </c>
      <c r="AJ2">
        <v>0</v>
      </c>
      <c r="AK2">
        <v>0</v>
      </c>
      <c r="AL2">
        <v>0</v>
      </c>
      <c r="AM2">
        <v>0</v>
      </c>
      <c r="AN2">
        <v>0</v>
      </c>
      <c r="AO2">
        <v>0</v>
      </c>
      <c r="AP2">
        <v>0</v>
      </c>
      <c r="AQ2">
        <v>0</v>
      </c>
      <c r="AR2">
        <v>0</v>
      </c>
      <c r="AS2">
        <v>75</v>
      </c>
      <c r="AT2">
        <v>0</v>
      </c>
      <c r="AU2">
        <v>0</v>
      </c>
      <c r="AV2">
        <v>0</v>
      </c>
      <c r="AW2">
        <v>0</v>
      </c>
    </row>
    <row r="3" spans="1:49" x14ac:dyDescent="0.25">
      <c r="A3" s="680">
        <v>46026</v>
      </c>
      <c r="B3" t="s">
        <v>34</v>
      </c>
      <c r="C3">
        <v>4</v>
      </c>
      <c r="D3" t="s">
        <v>67</v>
      </c>
      <c r="E3">
        <v>-37.000000000000057</v>
      </c>
      <c r="F3">
        <v>292.00000000000006</v>
      </c>
      <c r="G3" t="s">
        <v>247</v>
      </c>
      <c r="H3">
        <v>180</v>
      </c>
      <c r="I3">
        <v>112.00000000000006</v>
      </c>
      <c r="J3" t="s">
        <v>224</v>
      </c>
    </row>
    <row r="4" spans="1:49" x14ac:dyDescent="0.25">
      <c r="A4" s="680">
        <v>46036</v>
      </c>
      <c r="B4" t="s">
        <v>34</v>
      </c>
      <c r="C4">
        <v>14</v>
      </c>
      <c r="D4" t="s">
        <v>67</v>
      </c>
      <c r="E4">
        <v>-76</v>
      </c>
      <c r="F4">
        <v>291</v>
      </c>
      <c r="G4" t="s">
        <v>249</v>
      </c>
      <c r="H4">
        <v>120</v>
      </c>
      <c r="I4">
        <v>171</v>
      </c>
      <c r="J4" t="s">
        <v>224</v>
      </c>
    </row>
    <row r="5" spans="1:49" x14ac:dyDescent="0.25">
      <c r="A5" s="680">
        <v>46049</v>
      </c>
      <c r="B5" t="s">
        <v>34</v>
      </c>
      <c r="C5">
        <v>27</v>
      </c>
      <c r="D5" t="s">
        <v>67</v>
      </c>
      <c r="E5">
        <v>75</v>
      </c>
      <c r="F5">
        <v>0</v>
      </c>
      <c r="H5">
        <v>0</v>
      </c>
      <c r="I5">
        <v>0</v>
      </c>
      <c r="J5" t="s">
        <v>225</v>
      </c>
    </row>
    <row r="20" spans="18:21" x14ac:dyDescent="0.25">
      <c r="R20" t="s">
        <v>221</v>
      </c>
      <c r="S20" t="s">
        <v>258</v>
      </c>
      <c r="T20" t="s">
        <v>255</v>
      </c>
      <c r="U20" t="s">
        <v>256</v>
      </c>
    </row>
    <row r="21" spans="18:21" x14ac:dyDescent="0.25">
      <c r="R21">
        <v>1</v>
      </c>
      <c r="S21" t="s">
        <v>270</v>
      </c>
      <c r="T21">
        <v>405</v>
      </c>
      <c r="U21">
        <v>0</v>
      </c>
    </row>
    <row r="22" spans="18:21" x14ac:dyDescent="0.25">
      <c r="R22">
        <v>2</v>
      </c>
      <c r="S22">
        <v>2</v>
      </c>
      <c r="T22">
        <v>0</v>
      </c>
      <c r="U22">
        <v>0</v>
      </c>
    </row>
    <row r="23" spans="18:21" x14ac:dyDescent="0.25">
      <c r="R23">
        <v>3</v>
      </c>
      <c r="S23">
        <v>3</v>
      </c>
      <c r="T23">
        <v>0</v>
      </c>
      <c r="U23">
        <v>0</v>
      </c>
    </row>
    <row r="24" spans="18:21" x14ac:dyDescent="0.25">
      <c r="R24">
        <v>4</v>
      </c>
      <c r="S24" t="s">
        <v>271</v>
      </c>
      <c r="T24">
        <v>112.00000000000006</v>
      </c>
      <c r="U24">
        <v>180</v>
      </c>
    </row>
    <row r="25" spans="18:21" x14ac:dyDescent="0.25">
      <c r="R25">
        <v>5</v>
      </c>
      <c r="S25">
        <v>5</v>
      </c>
      <c r="T25">
        <v>0</v>
      </c>
      <c r="U25">
        <v>0</v>
      </c>
    </row>
    <row r="26" spans="18:21" x14ac:dyDescent="0.25">
      <c r="R26">
        <v>6</v>
      </c>
      <c r="S26">
        <v>6</v>
      </c>
      <c r="T26">
        <v>0</v>
      </c>
      <c r="U26">
        <v>0</v>
      </c>
    </row>
    <row r="27" spans="18:21" x14ac:dyDescent="0.25">
      <c r="R27">
        <v>7</v>
      </c>
      <c r="S27">
        <v>7</v>
      </c>
      <c r="T27">
        <v>0</v>
      </c>
      <c r="U27">
        <v>0</v>
      </c>
    </row>
    <row r="28" spans="18:21" x14ac:dyDescent="0.25">
      <c r="R28">
        <v>8</v>
      </c>
      <c r="S28">
        <v>8</v>
      </c>
      <c r="T28">
        <v>0</v>
      </c>
      <c r="U28">
        <v>0</v>
      </c>
    </row>
    <row r="29" spans="18:21" x14ac:dyDescent="0.25">
      <c r="R29">
        <v>9</v>
      </c>
      <c r="S29">
        <v>9</v>
      </c>
      <c r="T29">
        <v>0</v>
      </c>
      <c r="U29">
        <v>0</v>
      </c>
    </row>
    <row r="30" spans="18:21" x14ac:dyDescent="0.25">
      <c r="R30">
        <v>10</v>
      </c>
      <c r="S30">
        <v>10</v>
      </c>
      <c r="T30">
        <v>0</v>
      </c>
      <c r="U30">
        <v>0</v>
      </c>
    </row>
    <row r="31" spans="18:21" x14ac:dyDescent="0.25">
      <c r="R31">
        <v>11</v>
      </c>
      <c r="S31">
        <v>11</v>
      </c>
      <c r="T31">
        <v>0</v>
      </c>
      <c r="U31">
        <v>0</v>
      </c>
    </row>
    <row r="32" spans="18:21" x14ac:dyDescent="0.25">
      <c r="R32">
        <v>12</v>
      </c>
      <c r="S32">
        <v>12</v>
      </c>
      <c r="T32">
        <v>0</v>
      </c>
      <c r="U32">
        <v>0</v>
      </c>
    </row>
    <row r="33" spans="18:21" x14ac:dyDescent="0.25">
      <c r="R33">
        <v>13</v>
      </c>
      <c r="S33">
        <v>13</v>
      </c>
      <c r="T33">
        <v>0</v>
      </c>
      <c r="U33">
        <v>0</v>
      </c>
    </row>
    <row r="34" spans="18:21" x14ac:dyDescent="0.25">
      <c r="R34">
        <v>14</v>
      </c>
      <c r="S34" t="s">
        <v>272</v>
      </c>
      <c r="T34">
        <v>171</v>
      </c>
      <c r="U34">
        <v>120</v>
      </c>
    </row>
    <row r="35" spans="18:21" x14ac:dyDescent="0.25">
      <c r="R35">
        <v>15</v>
      </c>
      <c r="S35">
        <v>15</v>
      </c>
      <c r="T35">
        <v>0</v>
      </c>
      <c r="U35">
        <v>0</v>
      </c>
    </row>
    <row r="36" spans="18:21" x14ac:dyDescent="0.25">
      <c r="R36">
        <v>16</v>
      </c>
      <c r="S36">
        <v>16</v>
      </c>
      <c r="T36">
        <v>0</v>
      </c>
      <c r="U36">
        <v>0</v>
      </c>
    </row>
    <row r="37" spans="18:21" x14ac:dyDescent="0.25">
      <c r="R37">
        <v>17</v>
      </c>
      <c r="S37">
        <v>17</v>
      </c>
      <c r="T37">
        <v>0</v>
      </c>
      <c r="U37">
        <v>0</v>
      </c>
    </row>
    <row r="38" spans="18:21" x14ac:dyDescent="0.25">
      <c r="R38">
        <v>18</v>
      </c>
      <c r="S38">
        <v>18</v>
      </c>
      <c r="T38">
        <v>0</v>
      </c>
      <c r="U38">
        <v>0</v>
      </c>
    </row>
    <row r="39" spans="18:21" x14ac:dyDescent="0.25">
      <c r="R39">
        <v>19</v>
      </c>
      <c r="S39">
        <v>19</v>
      </c>
      <c r="T39">
        <v>0</v>
      </c>
      <c r="U39">
        <v>0</v>
      </c>
    </row>
    <row r="40" spans="18:21" x14ac:dyDescent="0.25">
      <c r="R40">
        <v>20</v>
      </c>
      <c r="S40">
        <v>20</v>
      </c>
      <c r="T40">
        <v>0</v>
      </c>
      <c r="U40">
        <v>0</v>
      </c>
    </row>
    <row r="41" spans="18:21" x14ac:dyDescent="0.25">
      <c r="R41">
        <v>21</v>
      </c>
      <c r="S41">
        <v>21</v>
      </c>
      <c r="T41">
        <v>0</v>
      </c>
      <c r="U41">
        <v>0</v>
      </c>
    </row>
    <row r="42" spans="18:21" x14ac:dyDescent="0.25">
      <c r="R42">
        <v>22</v>
      </c>
      <c r="S42">
        <v>22</v>
      </c>
      <c r="T42">
        <v>0</v>
      </c>
      <c r="U42">
        <v>0</v>
      </c>
    </row>
    <row r="43" spans="18:21" x14ac:dyDescent="0.25">
      <c r="R43">
        <v>23</v>
      </c>
      <c r="S43">
        <v>23</v>
      </c>
      <c r="T43">
        <v>0</v>
      </c>
      <c r="U43">
        <v>0</v>
      </c>
    </row>
    <row r="44" spans="18:21" x14ac:dyDescent="0.25">
      <c r="R44">
        <v>24</v>
      </c>
      <c r="S44">
        <v>24</v>
      </c>
      <c r="T44">
        <v>0</v>
      </c>
      <c r="U44">
        <v>0</v>
      </c>
    </row>
    <row r="45" spans="18:21" x14ac:dyDescent="0.25">
      <c r="R45">
        <v>25</v>
      </c>
      <c r="S45">
        <v>25</v>
      </c>
      <c r="T45">
        <v>0</v>
      </c>
      <c r="U45">
        <v>0</v>
      </c>
    </row>
    <row r="46" spans="18:21" x14ac:dyDescent="0.25">
      <c r="R46">
        <v>26</v>
      </c>
      <c r="S46">
        <v>26</v>
      </c>
      <c r="T46">
        <v>0</v>
      </c>
      <c r="U46">
        <v>0</v>
      </c>
    </row>
    <row r="47" spans="18:21" x14ac:dyDescent="0.25">
      <c r="R47">
        <v>27</v>
      </c>
      <c r="S47" t="s">
        <v>273</v>
      </c>
      <c r="T47">
        <v>0</v>
      </c>
      <c r="U47">
        <v>0</v>
      </c>
    </row>
    <row r="48" spans="18:21" x14ac:dyDescent="0.25">
      <c r="R48">
        <v>28</v>
      </c>
      <c r="S48">
        <v>28</v>
      </c>
      <c r="T48">
        <v>0</v>
      </c>
      <c r="U48">
        <v>0</v>
      </c>
    </row>
    <row r="49" spans="18:21" x14ac:dyDescent="0.25">
      <c r="R49">
        <v>29</v>
      </c>
      <c r="S49">
        <v>29</v>
      </c>
      <c r="T49">
        <v>0</v>
      </c>
      <c r="U49">
        <v>0</v>
      </c>
    </row>
    <row r="50" spans="18:21" x14ac:dyDescent="0.25">
      <c r="R50">
        <v>30</v>
      </c>
      <c r="S50">
        <v>30</v>
      </c>
      <c r="T50">
        <v>0</v>
      </c>
      <c r="U50">
        <v>0</v>
      </c>
    </row>
    <row r="51" spans="18:21" x14ac:dyDescent="0.25">
      <c r="R51">
        <v>31</v>
      </c>
      <c r="S51">
        <v>31</v>
      </c>
      <c r="T51">
        <v>0</v>
      </c>
      <c r="U51">
        <v>0</v>
      </c>
    </row>
    <row r="120" spans="18:19" x14ac:dyDescent="0.25">
      <c r="R120" t="s">
        <v>261</v>
      </c>
      <c r="S120" t="s">
        <v>115</v>
      </c>
    </row>
    <row r="121" spans="18:19" x14ac:dyDescent="0.25">
      <c r="R121" t="s">
        <v>25</v>
      </c>
      <c r="S121" s="536">
        <v>0</v>
      </c>
    </row>
    <row r="122" spans="18:19" x14ac:dyDescent="0.25">
      <c r="R122" t="s">
        <v>262</v>
      </c>
      <c r="S122" s="536">
        <v>0</v>
      </c>
    </row>
    <row r="123" spans="18:19" x14ac:dyDescent="0.25">
      <c r="R123" t="s">
        <v>263</v>
      </c>
      <c r="S123" s="536">
        <v>0</v>
      </c>
    </row>
    <row r="124" spans="18:19" x14ac:dyDescent="0.25">
      <c r="R124" t="s">
        <v>264</v>
      </c>
      <c r="S124" s="536">
        <v>0</v>
      </c>
    </row>
    <row r="125" spans="18:19" x14ac:dyDescent="0.25">
      <c r="R125" t="s">
        <v>35</v>
      </c>
      <c r="S125" s="536">
        <v>0</v>
      </c>
    </row>
    <row r="126" spans="18:19" x14ac:dyDescent="0.25">
      <c r="R126" t="s">
        <v>265</v>
      </c>
      <c r="S126" s="536">
        <v>0</v>
      </c>
    </row>
    <row r="145" spans="18:19" x14ac:dyDescent="0.25">
      <c r="R145" t="s">
        <v>266</v>
      </c>
      <c r="S145" t="s">
        <v>136</v>
      </c>
    </row>
    <row r="146" spans="18:19" x14ac:dyDescent="0.25">
      <c r="R146" t="s">
        <v>247</v>
      </c>
      <c r="S146" s="536">
        <v>180</v>
      </c>
    </row>
    <row r="147" spans="18:19" x14ac:dyDescent="0.25">
      <c r="R147" t="s">
        <v>249</v>
      </c>
      <c r="S147" s="536">
        <v>120</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650BF9-1156-4212-AF12-0B56EB94B5FE}">
  <sheetPr codeName="Sheet3">
    <tabColor theme="5" tint="0.39997558519241921"/>
  </sheetPr>
  <dimension ref="A1:BF51"/>
  <sheetViews>
    <sheetView topLeftCell="B11" zoomScaleNormal="100" workbookViewId="0">
      <selection activeCell="I24" sqref="I24:J24"/>
    </sheetView>
  </sheetViews>
  <sheetFormatPr defaultRowHeight="15" x14ac:dyDescent="0.25"/>
  <cols>
    <col min="2" max="2" width="3.85546875" customWidth="1"/>
    <col min="5" max="5" width="2.85546875" customWidth="1"/>
    <col min="6" max="6" width="13.42578125" customWidth="1"/>
    <col min="7" max="7" width="16" customWidth="1"/>
    <col min="8" max="8" width="3" customWidth="1"/>
    <col min="9" max="9" width="6.7109375" customWidth="1"/>
    <col min="10" max="10" width="15.85546875" customWidth="1"/>
    <col min="11" max="11" width="9.140625" customWidth="1"/>
    <col min="12" max="12" width="1.7109375" customWidth="1"/>
    <col min="13" max="13" width="1.28515625" customWidth="1"/>
    <col min="14" max="16" width="18.7109375" customWidth="1"/>
    <col min="17" max="17" width="2.7109375" customWidth="1"/>
    <col min="18" max="18" width="12.28515625" customWidth="1"/>
    <col min="19" max="19" width="11.28515625" customWidth="1"/>
    <col min="22" max="22" width="11.42578125" customWidth="1"/>
    <col min="32" max="32" width="20.28515625" customWidth="1"/>
    <col min="58" max="58" width="0" hidden="1" customWidth="1"/>
  </cols>
  <sheetData>
    <row r="1" spans="1:58" ht="6.75" customHeight="1" x14ac:dyDescent="0.25">
      <c r="F1" s="735" t="s">
        <v>0</v>
      </c>
      <c r="G1" s="735"/>
      <c r="H1" s="735"/>
      <c r="I1" s="735"/>
      <c r="J1" s="735"/>
      <c r="K1" s="735"/>
    </row>
    <row r="2" spans="1:58" ht="15" customHeight="1" x14ac:dyDescent="0.25">
      <c r="F2" s="735"/>
      <c r="G2" s="735"/>
      <c r="H2" s="735"/>
      <c r="I2" s="735"/>
      <c r="J2" s="735"/>
      <c r="K2" s="735"/>
    </row>
    <row r="3" spans="1:58" ht="7.5" customHeight="1" x14ac:dyDescent="0.25">
      <c r="F3" s="735"/>
      <c r="G3" s="735"/>
      <c r="H3" s="735"/>
      <c r="I3" s="735"/>
      <c r="J3" s="735"/>
      <c r="K3" s="735"/>
    </row>
    <row r="4" spans="1:58" ht="15.75" customHeight="1" x14ac:dyDescent="0.25">
      <c r="F4" s="735"/>
      <c r="G4" s="735"/>
      <c r="H4" s="735"/>
      <c r="I4" s="735"/>
      <c r="J4" s="735"/>
      <c r="K4" s="735"/>
    </row>
    <row r="5" spans="1:58" ht="36" customHeight="1" thickBot="1" x14ac:dyDescent="0.3">
      <c r="F5" s="618"/>
      <c r="G5" s="479">
        <v>2026</v>
      </c>
      <c r="H5" s="764" t="s">
        <v>1</v>
      </c>
      <c r="I5" s="764"/>
      <c r="J5" s="764"/>
      <c r="K5" s="764"/>
      <c r="BF5" t="str">
        <f t="shared" ref="BF5:BF12" si="0">IF(C25=0, "", C25)</f>
        <v>Mattress Rotation</v>
      </c>
    </row>
    <row r="6" spans="1:58" ht="15" customHeight="1" x14ac:dyDescent="0.25">
      <c r="G6" s="769" t="s">
        <v>2</v>
      </c>
      <c r="H6" s="769"/>
      <c r="I6" s="770"/>
      <c r="J6" s="774" t="s">
        <v>20</v>
      </c>
      <c r="K6" s="775"/>
      <c r="L6" s="318"/>
      <c r="AF6" s="403" t="s">
        <v>4</v>
      </c>
      <c r="BF6" t="str">
        <f t="shared" si="0"/>
        <v>Training</v>
      </c>
    </row>
    <row r="7" spans="1:58" ht="15" customHeight="1" thickBot="1" x14ac:dyDescent="0.3">
      <c r="D7" t="s">
        <v>5</v>
      </c>
      <c r="F7" s="352"/>
      <c r="G7" s="769"/>
      <c r="H7" s="769"/>
      <c r="I7" s="770"/>
      <c r="J7" s="776"/>
      <c r="K7" s="777"/>
      <c r="L7" s="318"/>
      <c r="AF7" s="404" t="s">
        <v>1</v>
      </c>
      <c r="BF7" t="str">
        <f t="shared" si="0"/>
        <v>Linen Count</v>
      </c>
    </row>
    <row r="8" spans="1:58" ht="15" customHeight="1" thickBot="1" x14ac:dyDescent="0.3">
      <c r="B8" s="780" t="s">
        <v>6</v>
      </c>
      <c r="C8" s="780"/>
      <c r="D8" s="387" t="s">
        <v>7</v>
      </c>
      <c r="E8" s="387"/>
      <c r="F8" s="387"/>
      <c r="G8" s="388" t="s">
        <v>8</v>
      </c>
      <c r="H8" s="781" t="s">
        <v>9</v>
      </c>
      <c r="I8" s="781"/>
      <c r="J8" s="781"/>
      <c r="K8" s="781"/>
      <c r="L8" s="318"/>
      <c r="AF8" s="405" t="s">
        <v>10</v>
      </c>
      <c r="BF8" t="str">
        <f t="shared" si="0"/>
        <v>Pillows</v>
      </c>
    </row>
    <row r="9" spans="1:58" ht="27.75" customHeight="1" thickBot="1" x14ac:dyDescent="0.55000000000000004">
      <c r="B9" s="771" t="s">
        <v>11</v>
      </c>
      <c r="C9" s="772"/>
      <c r="D9" s="772"/>
      <c r="E9" s="772"/>
      <c r="F9" s="772"/>
      <c r="G9" s="772"/>
      <c r="H9" s="772"/>
      <c r="I9" s="772"/>
      <c r="J9" s="772"/>
      <c r="K9" s="773"/>
      <c r="N9" s="736" t="s">
        <v>12</v>
      </c>
      <c r="O9" s="737"/>
      <c r="P9" s="738"/>
      <c r="R9" s="736" t="s">
        <v>13</v>
      </c>
      <c r="S9" s="737"/>
      <c r="T9" s="737"/>
      <c r="U9" s="737"/>
      <c r="V9" s="737"/>
      <c r="W9" s="738"/>
      <c r="BF9" t="str">
        <f t="shared" si="0"/>
        <v>Inventory</v>
      </c>
    </row>
    <row r="10" spans="1:58" ht="24" customHeight="1" thickBot="1" x14ac:dyDescent="0.35">
      <c r="B10" s="753" t="s">
        <v>14</v>
      </c>
      <c r="C10" s="743"/>
      <c r="D10" s="743"/>
      <c r="E10" s="743"/>
      <c r="F10" s="743"/>
      <c r="G10" s="743"/>
      <c r="H10" s="743"/>
      <c r="I10" s="743"/>
      <c r="J10" s="743"/>
      <c r="K10" s="754"/>
      <c r="N10" s="742" t="s">
        <v>14</v>
      </c>
      <c r="O10" s="743"/>
      <c r="P10" s="744"/>
      <c r="R10" s="742" t="s">
        <v>14</v>
      </c>
      <c r="S10" s="743"/>
      <c r="T10" s="743"/>
      <c r="U10" s="743"/>
      <c r="V10" s="743"/>
      <c r="W10" s="744"/>
      <c r="AF10" s="403" t="s">
        <v>3</v>
      </c>
      <c r="BF10" t="str">
        <f t="shared" si="0"/>
        <v>Other Cleaning</v>
      </c>
    </row>
    <row r="11" spans="1:58" ht="20.100000000000001" customHeight="1" thickBot="1" x14ac:dyDescent="0.35">
      <c r="B11" s="765" t="s">
        <v>15</v>
      </c>
      <c r="C11" s="766"/>
      <c r="D11" s="766"/>
      <c r="E11" s="766"/>
      <c r="F11" s="766"/>
      <c r="G11" s="355"/>
      <c r="H11" s="766" t="s">
        <v>16</v>
      </c>
      <c r="I11" s="766"/>
      <c r="J11" s="766"/>
      <c r="K11" s="782"/>
      <c r="L11" s="319"/>
      <c r="N11" s="391" t="s">
        <v>17</v>
      </c>
      <c r="O11" s="636" t="s">
        <v>18</v>
      </c>
      <c r="P11" s="392" t="s">
        <v>19</v>
      </c>
      <c r="R11" s="83"/>
      <c r="S11" s="21"/>
      <c r="T11" s="21"/>
      <c r="U11" s="21"/>
      <c r="V11" s="21"/>
      <c r="W11" s="22"/>
      <c r="AF11" s="404" t="s">
        <v>20</v>
      </c>
      <c r="BF11" t="str">
        <f t="shared" si="0"/>
        <v/>
      </c>
    </row>
    <row r="12" spans="1:58" ht="20.100000000000001" customHeight="1" thickBot="1" x14ac:dyDescent="0.35">
      <c r="B12" s="767"/>
      <c r="C12" s="768"/>
      <c r="D12" s="768"/>
      <c r="E12" s="768"/>
      <c r="F12" s="768"/>
      <c r="G12" s="318"/>
      <c r="H12" s="768"/>
      <c r="I12" s="768"/>
      <c r="J12" s="768"/>
      <c r="K12" s="783"/>
      <c r="N12" s="393"/>
      <c r="O12" s="393"/>
      <c r="P12" s="393"/>
      <c r="R12" s="740" t="s">
        <v>22</v>
      </c>
      <c r="S12" s="741"/>
      <c r="T12" s="407">
        <v>2</v>
      </c>
      <c r="U12" s="739" t="s">
        <v>23</v>
      </c>
      <c r="V12" s="739"/>
      <c r="W12" s="407">
        <v>11.5</v>
      </c>
      <c r="AF12" s="404" t="s">
        <v>24</v>
      </c>
      <c r="BF12" t="str">
        <f t="shared" si="0"/>
        <v/>
      </c>
    </row>
    <row r="13" spans="1:58" ht="20.100000000000001" customHeight="1" thickBot="1" x14ac:dyDescent="0.35">
      <c r="A13" s="318"/>
      <c r="B13" s="758" t="s">
        <v>25</v>
      </c>
      <c r="C13" s="741"/>
      <c r="D13" s="741"/>
      <c r="E13" s="353"/>
      <c r="F13" s="400">
        <v>29</v>
      </c>
      <c r="G13" s="778" t="s">
        <v>26</v>
      </c>
      <c r="H13" s="779"/>
      <c r="I13" s="779"/>
      <c r="J13" s="756"/>
      <c r="K13" s="757"/>
      <c r="N13" s="393"/>
      <c r="O13" s="393"/>
      <c r="P13" s="393"/>
      <c r="R13" s="58"/>
      <c r="W13" s="24"/>
      <c r="AF13" s="405" t="s">
        <v>28</v>
      </c>
    </row>
    <row r="14" spans="1:58" ht="20.100000000000001" customHeight="1" thickBot="1" x14ac:dyDescent="0.35">
      <c r="A14" s="3"/>
      <c r="B14" s="758" t="s">
        <v>29</v>
      </c>
      <c r="C14" s="741"/>
      <c r="D14" s="741"/>
      <c r="E14" s="353"/>
      <c r="F14" s="401">
        <v>35</v>
      </c>
      <c r="G14" s="740" t="s">
        <v>30</v>
      </c>
      <c r="H14" s="741"/>
      <c r="I14" s="741"/>
      <c r="J14" s="464"/>
      <c r="K14" s="463"/>
      <c r="N14" s="393"/>
      <c r="O14" s="393"/>
      <c r="P14" s="393"/>
      <c r="R14" s="784" t="s">
        <v>32</v>
      </c>
      <c r="S14" s="785"/>
      <c r="T14" s="785"/>
      <c r="U14" s="785"/>
      <c r="W14" s="24"/>
    </row>
    <row r="15" spans="1:58" ht="20.100000000000001" customHeight="1" x14ac:dyDescent="0.3">
      <c r="A15" s="3"/>
      <c r="B15" s="758" t="str">
        <f>IF(H5="Quality Inn","2 Rm &amp; Jac Stes","Other")</f>
        <v>2 Rm &amp; Jac Stes</v>
      </c>
      <c r="C15" s="741"/>
      <c r="D15" s="741"/>
      <c r="E15" s="353"/>
      <c r="F15" s="401">
        <v>40</v>
      </c>
      <c r="K15" s="365"/>
      <c r="N15" s="393"/>
      <c r="O15" s="384"/>
      <c r="P15" s="384"/>
      <c r="R15" s="793" t="s">
        <v>33</v>
      </c>
      <c r="S15" s="748"/>
      <c r="T15" s="748"/>
      <c r="U15" s="748"/>
      <c r="V15" s="519">
        <v>0.75</v>
      </c>
      <c r="W15" s="24"/>
      <c r="AF15" s="549" t="s">
        <v>34</v>
      </c>
    </row>
    <row r="16" spans="1:58" ht="20.100000000000001" customHeight="1" thickBot="1" x14ac:dyDescent="0.35">
      <c r="A16" s="3"/>
      <c r="B16" s="758" t="s">
        <v>35</v>
      </c>
      <c r="C16" s="741"/>
      <c r="D16" s="741"/>
      <c r="E16" s="353"/>
      <c r="F16" s="402">
        <v>22</v>
      </c>
      <c r="G16" s="789" t="s">
        <v>36</v>
      </c>
      <c r="H16" s="790"/>
      <c r="I16" s="790"/>
      <c r="J16" s="791">
        <v>15</v>
      </c>
      <c r="K16" s="792"/>
      <c r="N16" s="393"/>
      <c r="O16" s="384"/>
      <c r="P16" s="394"/>
      <c r="R16" s="793" t="s">
        <v>37</v>
      </c>
      <c r="S16" s="748"/>
      <c r="T16" s="748"/>
      <c r="U16" s="748"/>
      <c r="V16" s="519">
        <v>0.75</v>
      </c>
      <c r="W16" s="24"/>
      <c r="AF16" s="550" t="s">
        <v>38</v>
      </c>
    </row>
    <row r="17" spans="2:32" ht="20.100000000000001" customHeight="1" thickBot="1" x14ac:dyDescent="0.3">
      <c r="B17" s="362"/>
      <c r="K17" s="365"/>
      <c r="N17" s="393"/>
      <c r="O17" s="384"/>
      <c r="P17" s="394"/>
      <c r="R17" s="793" t="s">
        <v>39</v>
      </c>
      <c r="S17" s="748"/>
      <c r="T17" s="748"/>
      <c r="U17" s="748"/>
      <c r="V17" s="582">
        <f>+T12</f>
        <v>2</v>
      </c>
      <c r="W17" s="24"/>
      <c r="AF17" s="550" t="s">
        <v>40</v>
      </c>
    </row>
    <row r="18" spans="2:32" ht="20.100000000000001" customHeight="1" thickBot="1" x14ac:dyDescent="0.35">
      <c r="B18" s="759" t="s">
        <v>41</v>
      </c>
      <c r="C18" s="760"/>
      <c r="D18" s="760"/>
      <c r="E18" s="760"/>
      <c r="F18" s="760"/>
      <c r="G18" s="760"/>
      <c r="H18" s="760"/>
      <c r="I18" s="760"/>
      <c r="J18" s="760"/>
      <c r="K18" s="761"/>
      <c r="N18" s="393"/>
      <c r="O18" s="384"/>
      <c r="P18" s="394"/>
      <c r="R18" s="376"/>
      <c r="S18" s="2"/>
      <c r="T18" s="2"/>
      <c r="U18" s="2" t="s">
        <v>42</v>
      </c>
      <c r="V18" s="2"/>
      <c r="W18" s="354"/>
      <c r="AF18" s="550" t="s">
        <v>43</v>
      </c>
    </row>
    <row r="19" spans="2:32" ht="20.100000000000001" customHeight="1" thickBot="1" x14ac:dyDescent="0.35">
      <c r="B19" s="382"/>
      <c r="C19" s="755" t="s">
        <v>44</v>
      </c>
      <c r="D19" s="755"/>
      <c r="E19" s="755"/>
      <c r="F19" s="755"/>
      <c r="H19" s="762" t="s">
        <v>45</v>
      </c>
      <c r="I19" s="762"/>
      <c r="J19" s="762"/>
      <c r="K19" s="763"/>
      <c r="N19" s="393"/>
      <c r="O19" s="384"/>
      <c r="P19" s="394"/>
      <c r="R19" s="745" t="s">
        <v>46</v>
      </c>
      <c r="S19" s="746"/>
      <c r="T19" s="746"/>
      <c r="U19" s="746"/>
      <c r="V19" s="746"/>
      <c r="W19" s="747"/>
      <c r="AF19" s="550" t="s">
        <v>47</v>
      </c>
    </row>
    <row r="20" spans="2:32" ht="20.100000000000001" customHeight="1" x14ac:dyDescent="0.25">
      <c r="B20" s="362"/>
      <c r="C20" s="741" t="s">
        <v>25</v>
      </c>
      <c r="D20" s="741"/>
      <c r="F20" s="385">
        <v>4</v>
      </c>
      <c r="I20" s="741" t="s">
        <v>48</v>
      </c>
      <c r="J20" s="741"/>
      <c r="K20" s="386">
        <v>20</v>
      </c>
      <c r="N20" s="393"/>
      <c r="O20" s="384"/>
      <c r="P20" s="394"/>
      <c r="R20" s="520" t="s">
        <v>49</v>
      </c>
      <c r="S20" s="21"/>
      <c r="T20" s="21"/>
      <c r="U20" s="21"/>
      <c r="V20" s="581">
        <v>0</v>
      </c>
      <c r="W20" s="22" t="s">
        <v>50</v>
      </c>
      <c r="AF20" s="550" t="s">
        <v>51</v>
      </c>
    </row>
    <row r="21" spans="2:32" ht="20.100000000000001" customHeight="1" x14ac:dyDescent="0.25">
      <c r="B21" s="362"/>
      <c r="C21" s="741" t="s">
        <v>35</v>
      </c>
      <c r="D21" s="741"/>
      <c r="F21" s="385">
        <v>2</v>
      </c>
      <c r="I21" s="741" t="s">
        <v>52</v>
      </c>
      <c r="J21" s="794"/>
      <c r="K21" s="386">
        <v>15</v>
      </c>
      <c r="N21" s="393"/>
      <c r="O21" s="384"/>
      <c r="P21" s="394"/>
      <c r="R21" s="584"/>
      <c r="U21" t="s">
        <v>53</v>
      </c>
      <c r="W21" s="24"/>
      <c r="AF21" s="550" t="s">
        <v>54</v>
      </c>
    </row>
    <row r="22" spans="2:32" ht="20.100000000000001" customHeight="1" x14ac:dyDescent="0.25">
      <c r="B22" s="362"/>
      <c r="C22" s="741" t="s">
        <v>55</v>
      </c>
      <c r="D22" s="741"/>
      <c r="F22" s="385">
        <v>1.5</v>
      </c>
      <c r="I22" s="741" t="s">
        <v>56</v>
      </c>
      <c r="J22" s="794"/>
      <c r="K22" s="386">
        <v>5</v>
      </c>
      <c r="N22" s="393"/>
      <c r="O22" s="384"/>
      <c r="P22" s="394"/>
      <c r="R22" s="788" t="s">
        <v>57</v>
      </c>
      <c r="S22" s="749"/>
      <c r="T22" s="586">
        <v>93</v>
      </c>
      <c r="U22" s="583">
        <v>0.5</v>
      </c>
      <c r="V22" s="585"/>
      <c r="W22" s="24"/>
      <c r="AF22" s="550" t="s">
        <v>58</v>
      </c>
    </row>
    <row r="23" spans="2:32" ht="20.100000000000001" customHeight="1" thickBot="1" x14ac:dyDescent="0.3">
      <c r="B23" s="362"/>
      <c r="I23" s="741" t="s">
        <v>59</v>
      </c>
      <c r="J23" s="741"/>
      <c r="K23" s="386">
        <v>15</v>
      </c>
      <c r="N23" s="393"/>
      <c r="O23" s="384"/>
      <c r="P23" s="394"/>
      <c r="R23" s="788"/>
      <c r="S23" s="749"/>
      <c r="W23" s="24"/>
      <c r="AB23" s="422"/>
      <c r="AF23" s="550" t="s">
        <v>60</v>
      </c>
    </row>
    <row r="24" spans="2:32" ht="20.100000000000001" customHeight="1" thickBot="1" x14ac:dyDescent="0.3">
      <c r="B24" s="362"/>
      <c r="C24" s="755" t="s">
        <v>246</v>
      </c>
      <c r="D24" s="755"/>
      <c r="E24" s="755"/>
      <c r="F24" s="755"/>
      <c r="I24" s="741" t="s">
        <v>61</v>
      </c>
      <c r="J24" s="741"/>
      <c r="K24" s="386">
        <v>20</v>
      </c>
      <c r="N24" s="58"/>
      <c r="P24" s="24"/>
      <c r="R24" s="58" t="s">
        <v>62</v>
      </c>
      <c r="V24" s="521">
        <v>2</v>
      </c>
      <c r="W24" s="525">
        <f>-V24*0.1</f>
        <v>-0.2</v>
      </c>
      <c r="AB24" s="422"/>
      <c r="AF24" s="550" t="s">
        <v>63</v>
      </c>
    </row>
    <row r="25" spans="2:32" ht="20.100000000000001" customHeight="1" x14ac:dyDescent="0.3">
      <c r="B25" s="362"/>
      <c r="C25" s="741" t="s">
        <v>247</v>
      </c>
      <c r="D25" s="741"/>
      <c r="F25" s="385">
        <v>0</v>
      </c>
      <c r="I25" s="748"/>
      <c r="J25" s="748"/>
      <c r="K25" s="386"/>
      <c r="N25" s="750" t="s">
        <v>46</v>
      </c>
      <c r="O25" s="751"/>
      <c r="P25" s="752"/>
      <c r="R25" s="58"/>
      <c r="W25" s="526">
        <f>+U22+W24</f>
        <v>0.3</v>
      </c>
      <c r="AF25" s="550" t="s">
        <v>64</v>
      </c>
    </row>
    <row r="26" spans="2:32" ht="20.100000000000001" customHeight="1" thickBot="1" x14ac:dyDescent="0.35">
      <c r="B26" s="362"/>
      <c r="C26" s="741" t="s">
        <v>250</v>
      </c>
      <c r="D26" s="741"/>
      <c r="F26" s="385">
        <v>0</v>
      </c>
      <c r="I26" s="749"/>
      <c r="J26" s="749"/>
      <c r="K26" s="386"/>
      <c r="N26" s="391" t="s">
        <v>17</v>
      </c>
      <c r="O26" s="636" t="s">
        <v>18</v>
      </c>
      <c r="P26" s="392" t="s">
        <v>19</v>
      </c>
      <c r="R26" s="58" t="s">
        <v>65</v>
      </c>
      <c r="U26" s="583">
        <v>0.5</v>
      </c>
      <c r="W26" s="24"/>
      <c r="AF26" s="551" t="s">
        <v>66</v>
      </c>
    </row>
    <row r="27" spans="2:32" ht="20.100000000000001" customHeight="1" thickBot="1" x14ac:dyDescent="0.35">
      <c r="B27" s="362"/>
      <c r="C27" s="741" t="s">
        <v>248</v>
      </c>
      <c r="D27" s="741"/>
      <c r="F27" s="385">
        <v>0</v>
      </c>
      <c r="I27" s="739"/>
      <c r="J27" s="739"/>
      <c r="K27" s="386"/>
      <c r="N27" s="395"/>
      <c r="O27" s="390"/>
      <c r="P27" s="396"/>
      <c r="R27" s="527" t="s">
        <v>68</v>
      </c>
      <c r="V27" s="523">
        <v>0.4</v>
      </c>
      <c r="W27" s="528"/>
    </row>
    <row r="28" spans="2:32" ht="20.100000000000001" customHeight="1" x14ac:dyDescent="0.3">
      <c r="B28" s="362"/>
      <c r="C28" s="741" t="s">
        <v>159</v>
      </c>
      <c r="D28" s="741"/>
      <c r="F28" s="385">
        <v>0</v>
      </c>
      <c r="I28" s="795"/>
      <c r="J28" s="796"/>
      <c r="K28" s="386"/>
      <c r="N28" s="395"/>
      <c r="O28" s="390"/>
      <c r="P28" s="396"/>
      <c r="R28" s="527"/>
      <c r="V28" s="691"/>
      <c r="W28" s="24"/>
    </row>
    <row r="29" spans="2:32" ht="20.100000000000001" customHeight="1" thickBot="1" x14ac:dyDescent="0.35">
      <c r="B29" s="362"/>
      <c r="C29" s="741" t="s">
        <v>251</v>
      </c>
      <c r="D29" s="741"/>
      <c r="F29" s="385">
        <v>0</v>
      </c>
      <c r="I29" s="795"/>
      <c r="J29" s="796"/>
      <c r="K29" s="386"/>
      <c r="N29" s="395"/>
      <c r="O29" s="390"/>
      <c r="P29" s="396"/>
      <c r="R29" s="527"/>
      <c r="V29" s="691"/>
      <c r="W29" s="24"/>
    </row>
    <row r="30" spans="2:32" ht="20.100000000000001" customHeight="1" x14ac:dyDescent="0.3">
      <c r="B30" s="362"/>
      <c r="C30" s="741" t="s">
        <v>249</v>
      </c>
      <c r="D30" s="741"/>
      <c r="F30" s="385">
        <v>0</v>
      </c>
      <c r="I30" s="739"/>
      <c r="J30" s="739"/>
      <c r="K30" s="386"/>
      <c r="N30" s="395"/>
      <c r="O30" s="390"/>
      <c r="P30" s="396"/>
      <c r="R30" s="529"/>
      <c r="W30" s="530">
        <f>+U26*V27</f>
        <v>0.2</v>
      </c>
      <c r="AF30" s="552" t="s">
        <v>69</v>
      </c>
    </row>
    <row r="31" spans="2:32" ht="20.100000000000001" customHeight="1" thickBot="1" x14ac:dyDescent="0.3">
      <c r="B31" s="363"/>
      <c r="C31" s="797"/>
      <c r="D31" s="797"/>
      <c r="E31" s="364"/>
      <c r="F31" s="690">
        <v>0</v>
      </c>
      <c r="G31" s="364"/>
      <c r="H31" s="364"/>
      <c r="I31" s="364"/>
      <c r="J31" s="364"/>
      <c r="K31" s="389">
        <f>SUM(K20:K30)</f>
        <v>75</v>
      </c>
      <c r="N31" s="397"/>
      <c r="O31" s="398"/>
      <c r="P31" s="399"/>
      <c r="R31" s="786" t="s">
        <v>70</v>
      </c>
      <c r="S31" s="787"/>
      <c r="T31" s="787"/>
      <c r="U31" s="522">
        <f>+W25+W30</f>
        <v>0.5</v>
      </c>
      <c r="V31" s="524">
        <f>+V20*U31</f>
        <v>0</v>
      </c>
      <c r="W31" s="354"/>
      <c r="AF31" s="553" t="s">
        <v>71</v>
      </c>
    </row>
    <row r="32" spans="2:32" ht="22.5" customHeight="1" x14ac:dyDescent="0.25">
      <c r="AF32" s="553" t="s">
        <v>72</v>
      </c>
    </row>
    <row r="33" spans="3:32" ht="21.75" thickBot="1" x14ac:dyDescent="0.3">
      <c r="AF33" s="554" t="s">
        <v>73</v>
      </c>
    </row>
    <row r="35" spans="3:32" ht="15" customHeight="1" x14ac:dyDescent="0.25"/>
    <row r="36" spans="3:32" ht="15" customHeight="1" x14ac:dyDescent="0.25">
      <c r="R36" s="531"/>
      <c r="W36" s="422"/>
    </row>
    <row r="37" spans="3:32" ht="15" customHeight="1" x14ac:dyDescent="0.25">
      <c r="C37" s="356"/>
      <c r="D37" s="356"/>
    </row>
    <row r="38" spans="3:32" ht="15.75" x14ac:dyDescent="0.25">
      <c r="R38" s="532"/>
    </row>
    <row r="39" spans="3:32" ht="15" customHeight="1" x14ac:dyDescent="0.25">
      <c r="H39" s="518"/>
      <c r="R39" s="361"/>
      <c r="S39" s="361"/>
      <c r="T39" s="361"/>
      <c r="U39" s="361"/>
      <c r="V39" s="361"/>
    </row>
    <row r="40" spans="3:32" ht="15.75" customHeight="1" x14ac:dyDescent="0.25">
      <c r="G40" s="518"/>
      <c r="H40" s="518"/>
      <c r="R40" s="361"/>
      <c r="S40" s="361"/>
      <c r="T40" s="361"/>
      <c r="U40" s="361"/>
      <c r="V40" s="361"/>
    </row>
    <row r="43" spans="3:32" x14ac:dyDescent="0.25">
      <c r="K43" s="270"/>
      <c r="L43" s="270"/>
    </row>
    <row r="50" spans="8:11" ht="15" customHeight="1" x14ac:dyDescent="0.25">
      <c r="K50" s="320"/>
    </row>
    <row r="51" spans="8:11" ht="15" customHeight="1" x14ac:dyDescent="0.25">
      <c r="H51" s="320"/>
      <c r="I51" s="320"/>
      <c r="J51" s="320"/>
      <c r="K51" s="320"/>
    </row>
  </sheetData>
  <protectedRanges>
    <protectedRange algorithmName="SHA-512" hashValue="TXKoJ5EI7SafpJWBX9ZzDeZNYOa4Ny/hoYyrDf+KjF0Z+mE7cJX5FxeA0qRfd7nfEpUmsiLEAkyY2dd1FLM+mw==" saltValue="QWXPiu/TbBFGZdePIQJzuw==" spinCount="100000" sqref="J6" name="QuarterDesignation"/>
    <protectedRange algorithmName="SHA-512" hashValue="a2p1amWD9Ad4lODYJjers1S4U78dk11pWujYWOQchQVB/BSM2Lsqz3u7F1RUl53uRShCC99rduvJy3GZmr/vAA==" saltValue="nMquqHRf3efHmnybwwNRIw==" spinCount="100000" sqref="H5" name="Property Name"/>
    <protectedRange algorithmName="SHA-512" hashValue="wGVAax/Yp1Y/uBAN9JzEwsoUhuk/R8y8qPl7CfT/VC75CDRc72QXscJBPUZlpnCVwyqxi5hvAwRYXBH2cOJEKw==" saltValue="fsGLxSi2qxjqbRVWDGNrYA==" spinCount="100000" sqref="J13:K14" name="Corrections Standards"/>
    <protectedRange algorithmName="SHA-512" hashValue="6x0Xyegy6qvVUSrKmk7Flo/fhS3ISvl3Fi/dRDf2kywMNxzZqSOjBUY5NrRvfsBCKJdBDD/kFtU2apD6NJMS9Q==" saltValue="UNrnCuLSQbKFX859/PTfqA==" spinCount="100000" sqref="N12:P23" name="RoomAttendants"/>
    <protectedRange algorithmName="SHA-512" hashValue="YdPrItnu7MGoo22cWLl7bPzTURZj7b7LJwF9crv+YSgTxThFAO05cOHwQMcAa1sP6QnaO86mVSdKPASk75JPPA==" saltValue="nBp4SRiVSXw+Q+3ZbnoKdA==" spinCount="100000" sqref="N27:P31" name="Supervisors  Inspectress"/>
  </protectedRanges>
  <mergeCells count="59">
    <mergeCell ref="C30:D30"/>
    <mergeCell ref="C31:D31"/>
    <mergeCell ref="C28:D28"/>
    <mergeCell ref="C29:D29"/>
    <mergeCell ref="R17:U17"/>
    <mergeCell ref="C24:F24"/>
    <mergeCell ref="C25:D25"/>
    <mergeCell ref="C27:D27"/>
    <mergeCell ref="C26:D26"/>
    <mergeCell ref="C22:D22"/>
    <mergeCell ref="C21:D21"/>
    <mergeCell ref="R14:U14"/>
    <mergeCell ref="R31:T31"/>
    <mergeCell ref="R22:S22"/>
    <mergeCell ref="G16:I16"/>
    <mergeCell ref="J16:K16"/>
    <mergeCell ref="R15:U15"/>
    <mergeCell ref="R16:U16"/>
    <mergeCell ref="I23:J23"/>
    <mergeCell ref="I30:J30"/>
    <mergeCell ref="I22:J22"/>
    <mergeCell ref="R23:S23"/>
    <mergeCell ref="I20:J20"/>
    <mergeCell ref="G14:I14"/>
    <mergeCell ref="I21:J21"/>
    <mergeCell ref="I28:J28"/>
    <mergeCell ref="I29:J29"/>
    <mergeCell ref="B13:D13"/>
    <mergeCell ref="B18:K18"/>
    <mergeCell ref="H19:K19"/>
    <mergeCell ref="I24:J24"/>
    <mergeCell ref="H5:K5"/>
    <mergeCell ref="B11:F12"/>
    <mergeCell ref="G6:I7"/>
    <mergeCell ref="B9:K9"/>
    <mergeCell ref="B14:D14"/>
    <mergeCell ref="B15:D15"/>
    <mergeCell ref="B16:D16"/>
    <mergeCell ref="J6:K7"/>
    <mergeCell ref="G13:I13"/>
    <mergeCell ref="B8:C8"/>
    <mergeCell ref="H8:K8"/>
    <mergeCell ref="H11:K12"/>
    <mergeCell ref="F1:K4"/>
    <mergeCell ref="R9:W9"/>
    <mergeCell ref="U12:V12"/>
    <mergeCell ref="R12:S12"/>
    <mergeCell ref="I27:J27"/>
    <mergeCell ref="R10:W10"/>
    <mergeCell ref="R19:W19"/>
    <mergeCell ref="I25:J25"/>
    <mergeCell ref="I26:J26"/>
    <mergeCell ref="N25:P25"/>
    <mergeCell ref="B10:K10"/>
    <mergeCell ref="N10:P10"/>
    <mergeCell ref="C19:F19"/>
    <mergeCell ref="J13:K13"/>
    <mergeCell ref="N9:P9"/>
    <mergeCell ref="C20:D20"/>
  </mergeCells>
  <conditionalFormatting sqref="B9:B10">
    <cfRule type="expression" dxfId="159" priority="37">
      <formula>$H$5= "Holiday Inn Express"</formula>
    </cfRule>
    <cfRule type="expression" dxfId="158" priority="38">
      <formula>$H$5="Sleep Inn"</formula>
    </cfRule>
  </conditionalFormatting>
  <conditionalFormatting sqref="B18">
    <cfRule type="expression" dxfId="157" priority="33">
      <formula>$H$5= "Holiday Inn Express"</formula>
    </cfRule>
    <cfRule type="expression" dxfId="156" priority="34">
      <formula>$H$5="Sleep Inn"</formula>
    </cfRule>
  </conditionalFormatting>
  <conditionalFormatting sqref="B9:K9">
    <cfRule type="expression" dxfId="155" priority="20">
      <formula>$H$5="Quality Inn"</formula>
    </cfRule>
  </conditionalFormatting>
  <conditionalFormatting sqref="B10:K10">
    <cfRule type="expression" dxfId="154" priority="40">
      <formula>$H$5="Quality Inn"</formula>
    </cfRule>
  </conditionalFormatting>
  <conditionalFormatting sqref="B18:K18">
    <cfRule type="expression" dxfId="153" priority="36">
      <formula>$H$5="Quality Inn"</formula>
    </cfRule>
  </conditionalFormatting>
  <conditionalFormatting sqref="H5">
    <cfRule type="cellIs" dxfId="152" priority="41" operator="equal">
      <formula>"""Quality Inn"""</formula>
    </cfRule>
  </conditionalFormatting>
  <conditionalFormatting sqref="H5:K5">
    <cfRule type="containsText" dxfId="151" priority="13" operator="containsText" text="Quality Inn">
      <formula>NOT(ISERROR(SEARCH("Quality Inn",H5)))</formula>
    </cfRule>
    <cfRule type="containsText" dxfId="150" priority="14" operator="containsText" text="Sleep Inn">
      <formula>NOT(ISERROR(SEARCH("Sleep Inn",H5)))</formula>
    </cfRule>
    <cfRule type="containsText" dxfId="149" priority="15" operator="containsText" text="Holiday Inn Express">
      <formula>NOT(ISERROR(SEARCH("Holiday Inn Express",H5)))</formula>
    </cfRule>
  </conditionalFormatting>
  <conditionalFormatting sqref="N9:N10">
    <cfRule type="expression" dxfId="148" priority="16">
      <formula>$H$5= "Holiday Inn Express"</formula>
    </cfRule>
    <cfRule type="expression" dxfId="147" priority="17">
      <formula>$H$5="Sleep Inn"</formula>
    </cfRule>
  </conditionalFormatting>
  <conditionalFormatting sqref="N10">
    <cfRule type="expression" dxfId="146" priority="19">
      <formula>$H$5="Quality Inn"</formula>
    </cfRule>
  </conditionalFormatting>
  <conditionalFormatting sqref="N25">
    <cfRule type="expression" dxfId="145" priority="21">
      <formula>$H$5= "Holiday Inn Express"</formula>
    </cfRule>
    <cfRule type="expression" dxfId="144" priority="22">
      <formula>$H$5="Sleep Inn"</formula>
    </cfRule>
  </conditionalFormatting>
  <conditionalFormatting sqref="N9:P9">
    <cfRule type="expression" dxfId="143" priority="28">
      <formula>$H$5="Quality Inn"</formula>
    </cfRule>
  </conditionalFormatting>
  <conditionalFormatting sqref="N25:P25">
    <cfRule type="expression" dxfId="142" priority="24">
      <formula>$H$5="Quality Inn"</formula>
    </cfRule>
  </conditionalFormatting>
  <conditionalFormatting sqref="R9:R10">
    <cfRule type="expression" dxfId="141" priority="5">
      <formula>$H$5= "Holiday Inn Express"</formula>
    </cfRule>
    <cfRule type="expression" dxfId="140" priority="6">
      <formula>$H$5="Sleep Inn"</formula>
    </cfRule>
    <cfRule type="expression" dxfId="139" priority="8">
      <formula>$H$5="Quality Inn"</formula>
    </cfRule>
  </conditionalFormatting>
  <conditionalFormatting sqref="R19">
    <cfRule type="expression" dxfId="138" priority="1">
      <formula>$H$5= "Holiday Inn Express"</formula>
    </cfRule>
    <cfRule type="expression" dxfId="137" priority="2">
      <formula>$H$5="Sleep Inn"</formula>
    </cfRule>
    <cfRule type="expression" dxfId="136" priority="4">
      <formula>$H$5="Quality Inn"</formula>
    </cfRule>
  </conditionalFormatting>
  <dataValidations count="2">
    <dataValidation type="list" allowBlank="1" showInputMessage="1" showErrorMessage="1" sqref="J6:K7" xr:uid="{8897DFF3-F2BE-4AF3-8268-BB674ECB3497}">
      <formula1>$AF$10:$AF$13</formula1>
    </dataValidation>
    <dataValidation type="list" allowBlank="1" showInputMessage="1" showErrorMessage="1" sqref="H5:K5" xr:uid="{43930F2D-EDC8-4EB8-B074-9C84152A4DBC}">
      <formula1>$AF$6:$AF$8</formula1>
    </dataValidation>
  </dataValidations>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9E7BB-2E35-43D0-9D8E-769948A359B2}">
  <sheetPr codeName="Sheet1">
    <tabColor theme="4" tint="0.39997558519241921"/>
    <pageSetUpPr fitToPage="1"/>
  </sheetPr>
  <dimension ref="A1:AR455"/>
  <sheetViews>
    <sheetView showGridLines="0" tabSelected="1" zoomScaleNormal="100" zoomScalePageLayoutView="70" workbookViewId="0">
      <selection activeCell="L7" sqref="L7"/>
    </sheetView>
  </sheetViews>
  <sheetFormatPr defaultColWidth="8.85546875" defaultRowHeight="15.75" x14ac:dyDescent="0.25"/>
  <cols>
    <col min="1" max="12" width="12.7109375" style="97" customWidth="1"/>
    <col min="13" max="13" width="8.85546875" style="97" customWidth="1"/>
    <col min="14" max="14" width="8.85546875" style="97"/>
    <col min="15" max="15" width="8.85546875" style="97" customWidth="1"/>
    <col min="16" max="16" width="8.85546875" style="97"/>
    <col min="17" max="18" width="8.85546875" style="97" customWidth="1"/>
    <col min="19" max="16384" width="8.85546875" style="97"/>
  </cols>
  <sheetData>
    <row r="1" spans="1:43" ht="58.9" customHeight="1" x14ac:dyDescent="0.25">
      <c r="A1" s="729" t="s">
        <v>244</v>
      </c>
      <c r="B1" s="729"/>
      <c r="C1" s="729"/>
      <c r="D1" s="729"/>
      <c r="E1" s="729"/>
      <c r="F1" s="729"/>
      <c r="G1" s="729"/>
    </row>
    <row r="2" spans="1:43" ht="30" customHeight="1" x14ac:dyDescent="0.25">
      <c r="A2" s="633" t="s">
        <v>226</v>
      </c>
      <c r="B2" s="686" t="s">
        <v>38</v>
      </c>
      <c r="C2" s="4"/>
      <c r="D2"/>
      <c r="E2" s="4"/>
      <c r="F2" s="633" t="s">
        <v>240</v>
      </c>
      <c r="G2" s="686" t="s">
        <v>241</v>
      </c>
      <c r="H2" s="4"/>
      <c r="I2" s="4"/>
      <c r="J2" s="4"/>
      <c r="K2" s="4"/>
      <c r="L2" s="4"/>
      <c r="M2" s="4"/>
      <c r="N2" s="4"/>
      <c r="O2" s="4"/>
      <c r="P2" s="4"/>
      <c r="Q2" s="4"/>
      <c r="R2" s="4"/>
    </row>
    <row r="3" spans="1:43" ht="14.45" customHeight="1" x14ac:dyDescent="0.25">
      <c r="A3" s="4"/>
      <c r="B3" s="4"/>
      <c r="C3" s="4"/>
      <c r="D3" s="4"/>
      <c r="E3" s="4"/>
      <c r="F3" s="4"/>
      <c r="G3" s="4"/>
      <c r="H3" s="4"/>
      <c r="I3" s="4"/>
      <c r="J3" s="4"/>
      <c r="K3" s="4"/>
      <c r="L3" s="4"/>
      <c r="M3" s="4"/>
      <c r="N3" s="4"/>
      <c r="O3" s="4"/>
      <c r="P3" s="4"/>
      <c r="Q3" s="4"/>
      <c r="R3" s="4"/>
    </row>
    <row r="4" spans="1:43" ht="30" customHeight="1" x14ac:dyDescent="0.25">
      <c r="A4" s="730" t="s">
        <v>227</v>
      </c>
      <c r="B4" s="730"/>
      <c r="C4" s="730"/>
      <c r="D4"/>
      <c r="E4" s="731" t="s">
        <v>229</v>
      </c>
      <c r="F4" s="731"/>
      <c r="G4" s="731"/>
      <c r="H4"/>
      <c r="I4" s="732" t="s">
        <v>242</v>
      </c>
      <c r="J4" s="732"/>
      <c r="K4" s="732"/>
      <c r="L4"/>
      <c r="M4"/>
      <c r="N4"/>
      <c r="O4"/>
      <c r="P4"/>
      <c r="Q4"/>
      <c r="R4"/>
      <c r="S4"/>
      <c r="T4"/>
      <c r="U4"/>
      <c r="V4"/>
      <c r="W4"/>
      <c r="X4"/>
      <c r="Y4"/>
      <c r="Z4"/>
      <c r="AA4"/>
      <c r="AB4"/>
      <c r="AC4"/>
      <c r="AD4"/>
      <c r="AE4"/>
      <c r="AF4"/>
      <c r="AG4"/>
      <c r="AH4"/>
      <c r="AI4"/>
      <c r="AJ4"/>
      <c r="AK4"/>
      <c r="AL4"/>
      <c r="AM4"/>
      <c r="AN4"/>
      <c r="AO4"/>
      <c r="AP4"/>
      <c r="AQ4"/>
    </row>
    <row r="5" spans="1:43" ht="30" customHeight="1" x14ac:dyDescent="0.25">
      <c r="A5" s="687" t="s">
        <v>228</v>
      </c>
      <c r="B5" s="687" t="s">
        <v>222</v>
      </c>
      <c r="C5" s="687" t="s">
        <v>108</v>
      </c>
      <c r="D5"/>
      <c r="E5" s="689" t="s">
        <v>228</v>
      </c>
      <c r="F5" s="689" t="s">
        <v>222</v>
      </c>
      <c r="G5" s="689" t="s">
        <v>230</v>
      </c>
      <c r="H5"/>
      <c r="I5" s="688" t="s">
        <v>222</v>
      </c>
      <c r="J5" s="688" t="s">
        <v>215</v>
      </c>
      <c r="K5" s="688" t="s">
        <v>243</v>
      </c>
      <c r="L5"/>
      <c r="M5"/>
      <c r="N5"/>
      <c r="O5"/>
      <c r="P5"/>
      <c r="Q5"/>
      <c r="R5"/>
      <c r="S5"/>
      <c r="T5"/>
      <c r="U5"/>
      <c r="V5"/>
      <c r="W5"/>
      <c r="X5"/>
      <c r="Y5"/>
      <c r="Z5"/>
      <c r="AA5"/>
      <c r="AB5"/>
      <c r="AC5"/>
      <c r="AD5"/>
      <c r="AE5"/>
      <c r="AF5"/>
      <c r="AG5"/>
      <c r="AH5"/>
      <c r="AI5"/>
      <c r="AJ5"/>
      <c r="AK5"/>
      <c r="AL5"/>
      <c r="AM5"/>
      <c r="AN5"/>
      <c r="AO5"/>
      <c r="AP5"/>
      <c r="AQ5"/>
    </row>
    <row r="6" spans="1:43" ht="30" customHeight="1" x14ac:dyDescent="0.25">
      <c r="A6" s="683">
        <v>1</v>
      </c>
      <c r="B6" s="683" t="s">
        <v>27</v>
      </c>
      <c r="C6" s="684">
        <v>481.00000000000011</v>
      </c>
      <c r="D6"/>
      <c r="E6" s="683">
        <v>1</v>
      </c>
      <c r="F6" s="683" t="s">
        <v>27</v>
      </c>
      <c r="G6" s="685">
        <v>0.39449541284403672</v>
      </c>
      <c r="H6"/>
      <c r="I6" s="683" t="s">
        <v>27</v>
      </c>
      <c r="J6" s="684">
        <v>109</v>
      </c>
      <c r="K6" s="685">
        <v>4.4128440366972486</v>
      </c>
      <c r="L6"/>
      <c r="M6"/>
      <c r="N6"/>
      <c r="O6"/>
      <c r="P6"/>
      <c r="Q6"/>
      <c r="R6"/>
      <c r="S6"/>
      <c r="T6"/>
      <c r="U6"/>
      <c r="V6"/>
      <c r="W6"/>
      <c r="X6"/>
      <c r="Y6"/>
      <c r="Z6"/>
      <c r="AA6"/>
      <c r="AB6"/>
      <c r="AC6"/>
      <c r="AD6"/>
      <c r="AE6"/>
      <c r="AF6"/>
      <c r="AG6"/>
      <c r="AH6"/>
      <c r="AI6"/>
      <c r="AJ6"/>
      <c r="AK6"/>
      <c r="AL6"/>
      <c r="AM6"/>
      <c r="AN6"/>
      <c r="AO6"/>
      <c r="AP6"/>
      <c r="AQ6"/>
    </row>
    <row r="7" spans="1:43" ht="30" customHeight="1" x14ac:dyDescent="0.25">
      <c r="A7" s="683">
        <v>2</v>
      </c>
      <c r="B7" s="683" t="s">
        <v>31</v>
      </c>
      <c r="C7" s="684">
        <v>-362.99999999999994</v>
      </c>
      <c r="D7"/>
      <c r="E7" s="683">
        <v>2</v>
      </c>
      <c r="F7" s="683" t="s">
        <v>21</v>
      </c>
      <c r="G7" s="685">
        <v>0.55339805825242716</v>
      </c>
      <c r="H7"/>
      <c r="I7" s="683" t="s">
        <v>31</v>
      </c>
      <c r="J7" s="684">
        <v>104</v>
      </c>
      <c r="K7" s="685">
        <v>-3.490384615384615</v>
      </c>
      <c r="L7"/>
      <c r="M7"/>
      <c r="N7"/>
      <c r="O7"/>
      <c r="P7"/>
      <c r="Q7"/>
      <c r="R7"/>
      <c r="S7"/>
      <c r="T7"/>
      <c r="U7"/>
      <c r="V7"/>
      <c r="W7"/>
      <c r="X7"/>
      <c r="Y7"/>
      <c r="Z7"/>
      <c r="AA7"/>
      <c r="AB7"/>
      <c r="AC7"/>
      <c r="AD7"/>
      <c r="AE7"/>
      <c r="AF7"/>
      <c r="AG7"/>
      <c r="AH7"/>
      <c r="AI7"/>
      <c r="AJ7"/>
      <c r="AK7"/>
      <c r="AL7"/>
      <c r="AM7"/>
      <c r="AN7"/>
      <c r="AO7"/>
      <c r="AP7"/>
      <c r="AQ7"/>
    </row>
    <row r="8" spans="1:43" ht="30" customHeight="1" x14ac:dyDescent="0.25">
      <c r="A8" s="683">
        <v>3</v>
      </c>
      <c r="B8" s="683" t="s">
        <v>21</v>
      </c>
      <c r="C8" s="684">
        <v>-432</v>
      </c>
      <c r="D8"/>
      <c r="E8" s="683">
        <v>3</v>
      </c>
      <c r="F8" s="683" t="s">
        <v>31</v>
      </c>
      <c r="G8" s="685">
        <v>0.55769230769230771</v>
      </c>
      <c r="H8"/>
      <c r="I8" s="683" t="s">
        <v>21</v>
      </c>
      <c r="J8" s="684">
        <v>103</v>
      </c>
      <c r="K8" s="685">
        <v>-4.1941747572815533</v>
      </c>
      <c r="L8"/>
      <c r="M8"/>
      <c r="N8"/>
      <c r="O8"/>
      <c r="P8"/>
      <c r="Q8"/>
      <c r="R8"/>
      <c r="S8"/>
      <c r="T8"/>
      <c r="U8"/>
      <c r="V8"/>
      <c r="W8"/>
      <c r="X8"/>
      <c r="Y8"/>
      <c r="Z8"/>
      <c r="AA8"/>
      <c r="AB8"/>
      <c r="AC8"/>
      <c r="AD8"/>
      <c r="AE8"/>
      <c r="AF8"/>
      <c r="AG8"/>
      <c r="AH8"/>
      <c r="AI8"/>
      <c r="AJ8"/>
      <c r="AK8"/>
      <c r="AL8"/>
      <c r="AM8"/>
      <c r="AN8"/>
      <c r="AO8"/>
      <c r="AP8"/>
      <c r="AQ8"/>
    </row>
    <row r="9" spans="1:43" ht="30" customHeight="1" x14ac:dyDescent="0.25">
      <c r="A9"/>
      <c r="B9"/>
      <c r="C9"/>
      <c r="D9"/>
      <c r="E9"/>
      <c r="F9"/>
      <c r="G9"/>
      <c r="H9"/>
      <c r="I9"/>
      <c r="J9"/>
      <c r="K9"/>
      <c r="L9"/>
      <c r="M9"/>
      <c r="N9"/>
      <c r="O9"/>
      <c r="P9"/>
      <c r="Q9"/>
      <c r="R9"/>
      <c r="S9"/>
      <c r="T9"/>
      <c r="U9"/>
      <c r="V9"/>
      <c r="W9"/>
      <c r="X9"/>
      <c r="Y9"/>
      <c r="Z9"/>
      <c r="AA9"/>
      <c r="AB9"/>
      <c r="AC9"/>
      <c r="AD9"/>
      <c r="AE9"/>
      <c r="AF9"/>
      <c r="AG9"/>
      <c r="AH9"/>
      <c r="AI9"/>
      <c r="AJ9"/>
      <c r="AK9"/>
      <c r="AL9"/>
      <c r="AM9"/>
      <c r="AN9"/>
      <c r="AO9"/>
      <c r="AP9"/>
      <c r="AQ9"/>
    </row>
    <row r="10" spans="1:43" ht="30" customHeight="1" x14ac:dyDescent="0.25">
      <c r="A10"/>
      <c r="B10" s="734" t="s">
        <v>245</v>
      </c>
      <c r="C10" s="734"/>
      <c r="D10" s="734"/>
      <c r="E10" s="734"/>
      <c r="F10" s="734"/>
      <c r="G10" s="734"/>
      <c r="H10" s="734"/>
      <c r="I10" s="734"/>
      <c r="J10" s="734"/>
      <c r="K10" s="734"/>
      <c r="L10"/>
      <c r="M10"/>
      <c r="N10"/>
      <c r="O10"/>
      <c r="P10"/>
      <c r="Q10"/>
      <c r="R10"/>
      <c r="S10"/>
      <c r="T10"/>
      <c r="U10"/>
      <c r="V10"/>
      <c r="W10"/>
      <c r="X10"/>
      <c r="Y10"/>
      <c r="Z10"/>
      <c r="AA10"/>
      <c r="AB10"/>
      <c r="AC10"/>
      <c r="AD10"/>
      <c r="AE10"/>
      <c r="AF10"/>
      <c r="AG10"/>
      <c r="AH10"/>
      <c r="AI10"/>
      <c r="AJ10"/>
      <c r="AK10"/>
      <c r="AL10"/>
      <c r="AM10"/>
      <c r="AN10"/>
      <c r="AO10"/>
      <c r="AP10"/>
      <c r="AQ10"/>
    </row>
    <row r="11" spans="1:43" ht="30" customHeight="1" x14ac:dyDescent="0.25">
      <c r="A11"/>
      <c r="B11" s="733" t="s">
        <v>69</v>
      </c>
      <c r="C11" s="733"/>
      <c r="D11" s="733" t="s">
        <v>71</v>
      </c>
      <c r="E11" s="733"/>
      <c r="F11" s="733" t="s">
        <v>72</v>
      </c>
      <c r="G11" s="733"/>
      <c r="H11" s="733" t="s">
        <v>73</v>
      </c>
      <c r="I11" s="733"/>
      <c r="J11" s="733" t="s">
        <v>232</v>
      </c>
      <c r="K11" s="733"/>
      <c r="L11"/>
      <c r="M11"/>
      <c r="N11"/>
      <c r="O11"/>
      <c r="P11"/>
      <c r="Q11"/>
      <c r="R11"/>
      <c r="S11"/>
      <c r="T11"/>
      <c r="U11"/>
      <c r="V11"/>
      <c r="W11"/>
      <c r="X11"/>
      <c r="Y11"/>
      <c r="Z11"/>
      <c r="AA11"/>
      <c r="AB11"/>
      <c r="AC11"/>
      <c r="AD11"/>
      <c r="AE11"/>
      <c r="AF11"/>
      <c r="AG11"/>
      <c r="AH11"/>
      <c r="AI11"/>
      <c r="AJ11"/>
      <c r="AK11"/>
      <c r="AL11"/>
      <c r="AM11"/>
      <c r="AN11"/>
      <c r="AO11"/>
      <c r="AP11"/>
      <c r="AQ11"/>
    </row>
    <row r="12" spans="1:43" ht="30" customHeight="1" x14ac:dyDescent="0.25">
      <c r="A12" s="682" t="s">
        <v>222</v>
      </c>
      <c r="B12" s="682" t="s">
        <v>120</v>
      </c>
      <c r="C12" s="682" t="s">
        <v>231</v>
      </c>
      <c r="D12" s="682" t="s">
        <v>120</v>
      </c>
      <c r="E12" s="682" t="s">
        <v>231</v>
      </c>
      <c r="F12" s="682" t="s">
        <v>120</v>
      </c>
      <c r="G12" s="682" t="s">
        <v>231</v>
      </c>
      <c r="H12" s="682" t="s">
        <v>120</v>
      </c>
      <c r="I12" s="682" t="s">
        <v>231</v>
      </c>
      <c r="J12" s="682" t="s">
        <v>120</v>
      </c>
      <c r="K12" s="682" t="s">
        <v>231</v>
      </c>
      <c r="L12"/>
      <c r="M12"/>
      <c r="N12"/>
      <c r="O12"/>
      <c r="P12"/>
      <c r="Q12"/>
      <c r="R12"/>
      <c r="S12"/>
      <c r="T12"/>
      <c r="U12"/>
      <c r="V12"/>
      <c r="W12"/>
      <c r="X12"/>
      <c r="Y12"/>
      <c r="Z12"/>
      <c r="AA12"/>
      <c r="AB12"/>
      <c r="AC12"/>
      <c r="AD12"/>
      <c r="AE12"/>
      <c r="AF12"/>
      <c r="AG12"/>
      <c r="AH12"/>
      <c r="AI12"/>
      <c r="AJ12"/>
      <c r="AK12"/>
      <c r="AL12"/>
      <c r="AM12"/>
      <c r="AN12"/>
      <c r="AO12"/>
      <c r="AP12"/>
      <c r="AQ12"/>
    </row>
    <row r="13" spans="1:43" ht="30" customHeight="1" x14ac:dyDescent="0.25">
      <c r="A13" s="683" t="s">
        <v>27</v>
      </c>
      <c r="B13" s="684">
        <v>20.000000000000057</v>
      </c>
      <c r="C13" s="685">
        <v>0.58823529411764708</v>
      </c>
      <c r="D13" s="684">
        <v>176.00000000000011</v>
      </c>
      <c r="E13" s="685">
        <v>0.35294117647058826</v>
      </c>
      <c r="F13" s="684">
        <v>143.99999999999997</v>
      </c>
      <c r="G13" s="685">
        <v>0.51851851851851849</v>
      </c>
      <c r="H13" s="684">
        <v>141</v>
      </c>
      <c r="I13" s="685">
        <v>0.22580645161290322</v>
      </c>
      <c r="J13" s="684">
        <v>481.00000000000011</v>
      </c>
      <c r="K13" s="685">
        <v>0.39449541284403672</v>
      </c>
      <c r="L13"/>
      <c r="M13"/>
      <c r="N13"/>
      <c r="O13"/>
      <c r="P13"/>
      <c r="Q13"/>
      <c r="R13"/>
      <c r="S13"/>
      <c r="T13"/>
      <c r="U13"/>
      <c r="V13"/>
      <c r="W13"/>
      <c r="X13"/>
      <c r="Y13"/>
      <c r="Z13"/>
      <c r="AA13"/>
      <c r="AB13"/>
      <c r="AC13"/>
      <c r="AD13"/>
      <c r="AE13"/>
      <c r="AF13"/>
      <c r="AG13"/>
      <c r="AH13"/>
      <c r="AI13"/>
      <c r="AJ13"/>
      <c r="AK13"/>
      <c r="AL13"/>
      <c r="AM13"/>
      <c r="AN13"/>
      <c r="AO13"/>
      <c r="AP13"/>
      <c r="AQ13"/>
    </row>
    <row r="14" spans="1:43" ht="30" customHeight="1" x14ac:dyDescent="0.25">
      <c r="A14" s="683" t="s">
        <v>31</v>
      </c>
      <c r="B14" s="684">
        <v>-89.000000000000085</v>
      </c>
      <c r="C14" s="685">
        <v>0.66666666666666663</v>
      </c>
      <c r="D14" s="684">
        <v>-136.99999999999997</v>
      </c>
      <c r="E14" s="685">
        <v>0.72727272727272729</v>
      </c>
      <c r="F14" s="684">
        <v>-58.999999999999943</v>
      </c>
      <c r="G14" s="685">
        <v>0.40740740740740738</v>
      </c>
      <c r="H14" s="684">
        <v>-77.999999999999972</v>
      </c>
      <c r="I14" s="685">
        <v>0.52500000000000002</v>
      </c>
      <c r="J14" s="684">
        <v>-362.99999999999994</v>
      </c>
      <c r="K14" s="685">
        <v>0.55769230769230771</v>
      </c>
      <c r="L14"/>
      <c r="M14"/>
      <c r="N14"/>
      <c r="O14"/>
      <c r="P14"/>
      <c r="Q14"/>
      <c r="R14"/>
      <c r="S14"/>
      <c r="T14"/>
      <c r="U14"/>
      <c r="V14"/>
      <c r="W14"/>
      <c r="X14"/>
      <c r="Y14"/>
      <c r="Z14"/>
      <c r="AA14"/>
      <c r="AB14"/>
      <c r="AC14"/>
      <c r="AD14"/>
      <c r="AE14"/>
      <c r="AF14"/>
      <c r="AG14"/>
      <c r="AH14"/>
      <c r="AI14"/>
      <c r="AJ14"/>
      <c r="AK14"/>
      <c r="AL14"/>
      <c r="AM14"/>
      <c r="AN14"/>
      <c r="AO14"/>
      <c r="AP14"/>
      <c r="AQ14"/>
    </row>
    <row r="15" spans="1:43" ht="30" customHeight="1" x14ac:dyDescent="0.25">
      <c r="A15" s="683" t="s">
        <v>21</v>
      </c>
      <c r="B15" s="684">
        <v>39</v>
      </c>
      <c r="C15" s="685">
        <v>0.5</v>
      </c>
      <c r="D15" s="684">
        <v>-238.99999999999994</v>
      </c>
      <c r="E15" s="685">
        <v>0.875</v>
      </c>
      <c r="F15" s="684">
        <v>-66</v>
      </c>
      <c r="G15" s="685">
        <v>0.3235294117647059</v>
      </c>
      <c r="H15" s="684">
        <v>-166.00000000000003</v>
      </c>
      <c r="I15" s="685">
        <v>0.56097560975609762</v>
      </c>
      <c r="J15" s="684">
        <v>-432</v>
      </c>
      <c r="K15" s="685">
        <v>0.55339805825242716</v>
      </c>
      <c r="L15"/>
      <c r="M15"/>
      <c r="N15"/>
      <c r="O15"/>
      <c r="P15"/>
      <c r="Q15"/>
      <c r="R15"/>
      <c r="S15"/>
      <c r="T15"/>
      <c r="U15"/>
      <c r="V15"/>
      <c r="W15"/>
      <c r="X15"/>
      <c r="Y15"/>
      <c r="Z15"/>
      <c r="AA15"/>
      <c r="AB15"/>
      <c r="AC15"/>
      <c r="AD15"/>
      <c r="AE15"/>
      <c r="AF15"/>
      <c r="AG15"/>
      <c r="AH15"/>
      <c r="AI15"/>
      <c r="AJ15"/>
      <c r="AK15"/>
      <c r="AL15"/>
      <c r="AM15"/>
      <c r="AN15"/>
      <c r="AO15"/>
      <c r="AP15"/>
      <c r="AQ15"/>
    </row>
    <row r="16" spans="1:43" ht="30" customHeight="1"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c r="AL16"/>
      <c r="AM16"/>
      <c r="AN16"/>
      <c r="AO16"/>
      <c r="AP16"/>
      <c r="AQ16"/>
    </row>
    <row r="17" spans="1:44" ht="30" customHeight="1"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c r="AN17"/>
      <c r="AO17"/>
      <c r="AP17"/>
      <c r="AQ17"/>
    </row>
    <row r="18" spans="1:44" ht="30" customHeight="1"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row>
    <row r="19" spans="1:44" ht="30" customHeight="1"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c r="AO19"/>
      <c r="AP19"/>
      <c r="AQ19"/>
    </row>
    <row r="20" spans="1:44" ht="30" customHeight="1"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c r="AL20"/>
      <c r="AM20"/>
      <c r="AN20"/>
      <c r="AO20"/>
      <c r="AP20"/>
      <c r="AQ20"/>
    </row>
    <row r="21" spans="1:44" ht="30" customHeight="1"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c r="AL21"/>
      <c r="AM21"/>
      <c r="AN21"/>
      <c r="AO21"/>
      <c r="AP21"/>
      <c r="AQ21"/>
    </row>
    <row r="22" spans="1:44" ht="30" customHeight="1"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c r="AL22"/>
      <c r="AM22"/>
      <c r="AN22"/>
      <c r="AO22"/>
      <c r="AP22"/>
      <c r="AQ22"/>
    </row>
    <row r="23" spans="1:44" ht="30" customHeight="1"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c r="AN23"/>
      <c r="AO23"/>
      <c r="AP23"/>
      <c r="AQ23"/>
    </row>
    <row r="24" spans="1:44" ht="30" customHeight="1"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c r="AL24"/>
      <c r="AM24"/>
      <c r="AN24"/>
      <c r="AO24"/>
      <c r="AP24"/>
      <c r="AQ24"/>
    </row>
    <row r="25" spans="1:44" ht="30" customHeight="1"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c r="AL25"/>
      <c r="AM25"/>
      <c r="AN25"/>
      <c r="AO25"/>
      <c r="AP25"/>
      <c r="AQ25"/>
    </row>
    <row r="26" spans="1:44" ht="30" customHeight="1"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c r="AL26"/>
      <c r="AM26"/>
      <c r="AN26"/>
      <c r="AO26"/>
      <c r="AP26"/>
      <c r="AQ26"/>
    </row>
    <row r="27" spans="1:44" ht="30" customHeight="1"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c r="AL27"/>
      <c r="AM27"/>
      <c r="AN27"/>
      <c r="AO27"/>
      <c r="AP27"/>
      <c r="AQ27"/>
    </row>
    <row r="28" spans="1:44" ht="30" customHeight="1"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c r="AL28"/>
      <c r="AM28"/>
      <c r="AN28"/>
      <c r="AO28"/>
      <c r="AP28"/>
      <c r="AQ28"/>
    </row>
    <row r="29" spans="1:44" ht="30" customHeight="1"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c r="AN29"/>
      <c r="AO29"/>
      <c r="AP29"/>
      <c r="AQ29"/>
      <c r="AR29"/>
    </row>
    <row r="30" spans="1:44" ht="30" customHeight="1"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c r="AN30"/>
      <c r="AO30"/>
      <c r="AP30"/>
      <c r="AQ30"/>
      <c r="AR30"/>
    </row>
    <row r="31" spans="1:44" ht="30" customHeight="1"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c r="AN31"/>
      <c r="AO31"/>
      <c r="AP31"/>
      <c r="AQ31"/>
      <c r="AR31"/>
    </row>
    <row r="32" spans="1:44" ht="30" customHeight="1"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c r="AN32"/>
      <c r="AO32"/>
      <c r="AP32"/>
      <c r="AQ32"/>
      <c r="AR32"/>
    </row>
    <row r="33" spans="1:44" ht="30" customHeight="1"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c r="AN33"/>
      <c r="AO33"/>
      <c r="AP33"/>
      <c r="AQ33"/>
      <c r="AR33"/>
    </row>
    <row r="34" spans="1:44" ht="30" customHeight="1"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c r="AO34"/>
      <c r="AP34"/>
      <c r="AQ34"/>
      <c r="AR34"/>
    </row>
    <row r="35" spans="1:44" ht="30" customHeight="1"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c r="AP35"/>
      <c r="AQ35"/>
      <c r="AR35"/>
    </row>
    <row r="36" spans="1:44" ht="30" customHeight="1"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c r="AL36"/>
      <c r="AM36"/>
      <c r="AN36"/>
      <c r="AO36"/>
      <c r="AP36"/>
      <c r="AQ36"/>
      <c r="AR36"/>
    </row>
    <row r="37" spans="1:44" ht="30" customHeight="1"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c r="AL37"/>
      <c r="AM37"/>
      <c r="AN37"/>
      <c r="AO37"/>
      <c r="AP37"/>
      <c r="AQ37"/>
      <c r="AR37"/>
    </row>
    <row r="38" spans="1:44" ht="30" customHeight="1"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c r="AN38"/>
      <c r="AO38"/>
      <c r="AP38"/>
      <c r="AQ38"/>
      <c r="AR38"/>
    </row>
    <row r="39" spans="1:44" ht="30" customHeight="1"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c r="AO39"/>
      <c r="AP39"/>
      <c r="AQ39"/>
      <c r="AR39"/>
    </row>
    <row r="40" spans="1:44" ht="30" customHeight="1"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c r="AN40"/>
      <c r="AO40"/>
      <c r="AP40"/>
      <c r="AQ40"/>
      <c r="AR40"/>
    </row>
    <row r="41" spans="1:44" ht="30" customHeight="1"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c r="AL41"/>
      <c r="AM41"/>
      <c r="AN41"/>
      <c r="AO41"/>
      <c r="AP41"/>
      <c r="AQ41"/>
      <c r="AR41"/>
    </row>
    <row r="42" spans="1:44" ht="30" customHeight="1"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c r="AL42"/>
      <c r="AM42"/>
      <c r="AN42"/>
      <c r="AO42"/>
      <c r="AP42"/>
      <c r="AQ42"/>
      <c r="AR42"/>
    </row>
    <row r="43" spans="1:44" ht="30" customHeight="1"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c r="AN43"/>
      <c r="AO43"/>
      <c r="AP43"/>
      <c r="AQ43"/>
      <c r="AR43"/>
    </row>
    <row r="44" spans="1:44" ht="30" customHeight="1"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c r="AL44"/>
      <c r="AM44"/>
      <c r="AN44"/>
      <c r="AO44"/>
      <c r="AP44"/>
      <c r="AQ44"/>
      <c r="AR44"/>
    </row>
    <row r="45" spans="1:44" ht="30" customHeight="1"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c r="AL45"/>
      <c r="AM45"/>
      <c r="AN45"/>
      <c r="AO45"/>
      <c r="AP45"/>
      <c r="AQ45"/>
      <c r="AR45"/>
    </row>
    <row r="46" spans="1:44" ht="30" customHeight="1"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c r="AN46"/>
      <c r="AO46"/>
      <c r="AP46"/>
      <c r="AQ46"/>
      <c r="AR46"/>
    </row>
    <row r="47" spans="1:44" ht="30" customHeight="1"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c r="AN47"/>
      <c r="AO47"/>
      <c r="AP47"/>
      <c r="AQ47"/>
      <c r="AR47"/>
    </row>
    <row r="48" spans="1:44" ht="30" customHeight="1"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c r="AN48"/>
      <c r="AO48"/>
      <c r="AP48"/>
      <c r="AQ48"/>
      <c r="AR48"/>
    </row>
    <row r="49" spans="1:44" ht="30" customHeight="1"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c r="AN49"/>
      <c r="AO49"/>
      <c r="AP49"/>
      <c r="AQ49"/>
      <c r="AR49"/>
    </row>
    <row r="50" spans="1:44" ht="30" customHeight="1"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c r="AN50"/>
      <c r="AO50"/>
      <c r="AP50"/>
      <c r="AQ50"/>
      <c r="AR50"/>
    </row>
    <row r="51" spans="1:44" ht="30" customHeight="1"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c r="AN51"/>
      <c r="AO51"/>
      <c r="AP51"/>
      <c r="AQ51"/>
      <c r="AR51"/>
    </row>
    <row r="52" spans="1:44" ht="30" customHeight="1"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c r="AN52"/>
      <c r="AO52"/>
      <c r="AP52"/>
      <c r="AQ52"/>
      <c r="AR52"/>
    </row>
    <row r="53" spans="1:44" ht="30" customHeight="1"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c r="AO53"/>
      <c r="AP53"/>
      <c r="AQ53"/>
      <c r="AR53"/>
    </row>
    <row r="54" spans="1:44" ht="30" customHeight="1"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c r="AO54"/>
      <c r="AP54"/>
      <c r="AQ54"/>
      <c r="AR54"/>
    </row>
    <row r="55" spans="1:44" ht="30" customHeight="1"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c r="AO55"/>
      <c r="AP55"/>
      <c r="AQ55"/>
      <c r="AR55"/>
    </row>
    <row r="56" spans="1:44" ht="30" customHeight="1"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c r="AL56"/>
      <c r="AM56"/>
      <c r="AN56"/>
      <c r="AO56"/>
      <c r="AP56"/>
      <c r="AQ56"/>
      <c r="AR56"/>
    </row>
    <row r="57" spans="1:44" ht="30" customHeight="1"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c r="AN57"/>
      <c r="AO57"/>
      <c r="AP57"/>
      <c r="AQ57"/>
      <c r="AR57"/>
    </row>
    <row r="58" spans="1:44" ht="30" customHeight="1"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c r="AP58"/>
      <c r="AQ58"/>
      <c r="AR58"/>
    </row>
    <row r="59" spans="1:44" ht="30" customHeight="1"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c r="AL59"/>
      <c r="AM59"/>
      <c r="AN59"/>
      <c r="AO59"/>
      <c r="AP59"/>
      <c r="AQ59"/>
      <c r="AR59"/>
    </row>
    <row r="60" spans="1:44" ht="30" customHeight="1"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c r="AN60"/>
      <c r="AO60"/>
      <c r="AP60"/>
      <c r="AQ60"/>
      <c r="AR60"/>
    </row>
    <row r="61" spans="1:44" ht="15.6" customHeight="1"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c r="AN61"/>
      <c r="AO61"/>
      <c r="AP61"/>
      <c r="AQ61"/>
      <c r="AR61"/>
    </row>
    <row r="62" spans="1:44" ht="15.6" customHeight="1"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c r="AN62"/>
      <c r="AO62"/>
      <c r="AP62"/>
      <c r="AQ62"/>
      <c r="AR62"/>
    </row>
    <row r="63" spans="1:44" ht="15.6" customHeight="1"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c r="AN63"/>
      <c r="AO63"/>
      <c r="AP63"/>
      <c r="AQ63"/>
      <c r="AR63"/>
    </row>
    <row r="64" spans="1:44" ht="15.6" customHeight="1"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c r="AN64"/>
      <c r="AO64"/>
      <c r="AP64"/>
      <c r="AQ64"/>
      <c r="AR64"/>
    </row>
    <row r="65" spans="1:44" ht="15.6" customHeight="1"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c r="AN65"/>
      <c r="AO65"/>
      <c r="AP65"/>
      <c r="AQ65"/>
      <c r="AR65"/>
    </row>
    <row r="66" spans="1:44" ht="15.6" customHeight="1"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c r="AN66"/>
      <c r="AO66"/>
      <c r="AP66"/>
      <c r="AQ66"/>
      <c r="AR66"/>
    </row>
    <row r="67" spans="1:44"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c r="AN67"/>
      <c r="AO67"/>
      <c r="AP67"/>
      <c r="AQ67"/>
      <c r="AR67"/>
    </row>
    <row r="68" spans="1:44"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c r="AN68"/>
      <c r="AO68"/>
      <c r="AP68"/>
      <c r="AQ68"/>
      <c r="AR68"/>
    </row>
    <row r="69" spans="1:44"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c r="AN69"/>
      <c r="AO69"/>
      <c r="AP69"/>
      <c r="AQ69"/>
      <c r="AR69"/>
    </row>
    <row r="70" spans="1:44"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c r="AN70"/>
      <c r="AO70"/>
      <c r="AP70"/>
      <c r="AQ70"/>
      <c r="AR70"/>
    </row>
    <row r="71" spans="1:44"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c r="AL71"/>
      <c r="AM71"/>
      <c r="AN71"/>
      <c r="AO71"/>
      <c r="AP71"/>
      <c r="AQ71"/>
      <c r="AR71"/>
    </row>
    <row r="72" spans="1:44"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c r="AN72"/>
      <c r="AO72"/>
      <c r="AP72"/>
      <c r="AQ72"/>
      <c r="AR72"/>
    </row>
    <row r="73" spans="1:44"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c r="AO73"/>
      <c r="AP73"/>
      <c r="AQ73"/>
      <c r="AR73"/>
    </row>
    <row r="74" spans="1:44"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c r="AL74"/>
      <c r="AM74"/>
      <c r="AN74"/>
      <c r="AO74"/>
      <c r="AP74"/>
      <c r="AQ74"/>
      <c r="AR74"/>
    </row>
    <row r="75" spans="1:44"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c r="AN75"/>
      <c r="AO75"/>
      <c r="AP75"/>
      <c r="AQ75"/>
      <c r="AR75"/>
    </row>
    <row r="76" spans="1:44"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c r="AO76"/>
      <c r="AP76"/>
      <c r="AQ76"/>
      <c r="AR76"/>
    </row>
    <row r="77" spans="1:44"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c r="AO77"/>
      <c r="AP77"/>
      <c r="AQ77"/>
      <c r="AR77"/>
    </row>
    <row r="78" spans="1:44"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c r="AN78"/>
      <c r="AO78"/>
      <c r="AP78"/>
      <c r="AQ78"/>
      <c r="AR78"/>
    </row>
    <row r="79" spans="1:44"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c r="AL79"/>
      <c r="AM79"/>
      <c r="AN79"/>
      <c r="AO79"/>
      <c r="AP79"/>
      <c r="AQ79"/>
      <c r="AR79"/>
    </row>
    <row r="80" spans="1:44"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c r="AN80"/>
      <c r="AO80"/>
      <c r="AP80"/>
      <c r="AQ80"/>
      <c r="AR80"/>
    </row>
    <row r="81" spans="1:44"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c r="AN81"/>
      <c r="AO81"/>
      <c r="AP81"/>
      <c r="AQ81"/>
      <c r="AR81"/>
    </row>
    <row r="82" spans="1:44"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c r="AN82"/>
      <c r="AO82"/>
      <c r="AP82"/>
      <c r="AQ82"/>
      <c r="AR82"/>
    </row>
    <row r="83" spans="1:44"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c r="AN83"/>
      <c r="AO83"/>
      <c r="AP83"/>
      <c r="AQ83"/>
      <c r="AR83"/>
    </row>
    <row r="84" spans="1:44"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c r="AN84"/>
      <c r="AO84"/>
      <c r="AP84"/>
      <c r="AQ84"/>
      <c r="AR84"/>
    </row>
    <row r="85" spans="1:44"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c r="AN85"/>
      <c r="AO85"/>
      <c r="AP85"/>
      <c r="AQ85"/>
      <c r="AR85"/>
    </row>
    <row r="86" spans="1:44"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c r="AN86"/>
      <c r="AO86"/>
      <c r="AP86"/>
      <c r="AQ86"/>
      <c r="AR86"/>
    </row>
    <row r="87" spans="1:44"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c r="AN87"/>
      <c r="AO87"/>
      <c r="AP87"/>
      <c r="AQ87"/>
      <c r="AR87"/>
    </row>
    <row r="88" spans="1:44"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c r="AN88"/>
      <c r="AO88"/>
      <c r="AP88"/>
      <c r="AQ88"/>
      <c r="AR88"/>
    </row>
    <row r="89" spans="1:44"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c r="AN89"/>
      <c r="AO89"/>
      <c r="AP89"/>
      <c r="AQ89"/>
      <c r="AR89"/>
    </row>
    <row r="90" spans="1:44"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c r="AN90"/>
      <c r="AO90"/>
      <c r="AP90"/>
      <c r="AQ90"/>
      <c r="AR90"/>
    </row>
    <row r="91" spans="1:44"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c r="AN91"/>
      <c r="AO91"/>
      <c r="AP91"/>
      <c r="AQ91"/>
      <c r="AR91"/>
    </row>
    <row r="92" spans="1:44"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c r="AN92"/>
      <c r="AO92"/>
      <c r="AP92"/>
      <c r="AQ92"/>
      <c r="AR92"/>
    </row>
    <row r="93" spans="1:44"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c r="AN93"/>
      <c r="AO93"/>
      <c r="AP93"/>
      <c r="AQ93"/>
      <c r="AR93"/>
    </row>
    <row r="94" spans="1:44"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c r="AL94"/>
      <c r="AM94"/>
      <c r="AN94"/>
      <c r="AO94"/>
      <c r="AP94"/>
      <c r="AQ94"/>
      <c r="AR94"/>
    </row>
    <row r="95" spans="1:44"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c r="AL95"/>
      <c r="AM95"/>
      <c r="AN95"/>
      <c r="AO95"/>
      <c r="AP95"/>
      <c r="AQ95"/>
      <c r="AR95"/>
    </row>
    <row r="96" spans="1:44"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c r="AO96"/>
      <c r="AP96"/>
      <c r="AQ96"/>
      <c r="AR96"/>
    </row>
    <row r="97" spans="1:44"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c r="AP97"/>
      <c r="AQ97"/>
      <c r="AR97"/>
    </row>
    <row r="98" spans="1:44"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c r="AO98"/>
      <c r="AP98"/>
      <c r="AQ98"/>
      <c r="AR98"/>
    </row>
    <row r="99" spans="1:44"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c r="AL99"/>
      <c r="AM99"/>
      <c r="AN99"/>
      <c r="AO99"/>
      <c r="AP99"/>
      <c r="AQ99"/>
      <c r="AR99"/>
    </row>
    <row r="100" spans="1:44"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c r="AL100"/>
      <c r="AM100"/>
      <c r="AN100"/>
      <c r="AO100"/>
      <c r="AP100"/>
      <c r="AQ100"/>
      <c r="AR100"/>
    </row>
    <row r="101" spans="1:44"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c r="AN101"/>
      <c r="AO101"/>
      <c r="AP101"/>
      <c r="AQ101"/>
      <c r="AR101"/>
    </row>
    <row r="102" spans="1:44"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c r="AN102"/>
      <c r="AO102"/>
      <c r="AP102"/>
      <c r="AQ102"/>
      <c r="AR102"/>
    </row>
    <row r="103" spans="1:44"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c r="AN103"/>
      <c r="AO103"/>
      <c r="AP103"/>
      <c r="AQ103"/>
      <c r="AR103"/>
    </row>
    <row r="104" spans="1:44"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c r="AL104"/>
      <c r="AM104"/>
      <c r="AN104"/>
      <c r="AO104"/>
      <c r="AP104"/>
      <c r="AQ104"/>
      <c r="AR104"/>
    </row>
    <row r="105" spans="1:44"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c r="AN105"/>
      <c r="AO105"/>
      <c r="AP105"/>
      <c r="AQ105"/>
      <c r="AR105"/>
    </row>
    <row r="106" spans="1:44"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c r="AL106"/>
      <c r="AM106"/>
      <c r="AN106"/>
      <c r="AO106"/>
      <c r="AP106"/>
      <c r="AQ106"/>
      <c r="AR106"/>
    </row>
    <row r="107" spans="1:44"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c r="AO107"/>
      <c r="AP107"/>
      <c r="AQ107"/>
      <c r="AR107"/>
    </row>
    <row r="108" spans="1:44"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c r="AN108"/>
      <c r="AO108"/>
      <c r="AP108"/>
      <c r="AQ108"/>
      <c r="AR108"/>
    </row>
    <row r="109" spans="1:44"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c r="AP109"/>
      <c r="AQ109"/>
      <c r="AR109"/>
    </row>
    <row r="110" spans="1:44"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c r="AP110"/>
      <c r="AQ110"/>
      <c r="AR110"/>
    </row>
    <row r="111" spans="1:44"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c r="AN111"/>
      <c r="AO111"/>
      <c r="AP111"/>
      <c r="AQ111"/>
      <c r="AR111"/>
    </row>
    <row r="112" spans="1:44"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c r="AN112"/>
      <c r="AO112"/>
      <c r="AP112"/>
      <c r="AQ112"/>
      <c r="AR112"/>
    </row>
    <row r="113" spans="1:44"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c r="AN113"/>
      <c r="AO113"/>
      <c r="AP113"/>
      <c r="AQ113"/>
      <c r="AR113"/>
    </row>
    <row r="114" spans="1:44"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c r="AN114"/>
      <c r="AO114"/>
      <c r="AP114"/>
      <c r="AQ114"/>
      <c r="AR114"/>
    </row>
    <row r="115" spans="1:44"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c r="AN115"/>
      <c r="AO115"/>
      <c r="AP115"/>
      <c r="AQ115"/>
      <c r="AR115"/>
    </row>
    <row r="116" spans="1:44"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c r="AN116"/>
      <c r="AO116"/>
      <c r="AP116"/>
      <c r="AQ116"/>
      <c r="AR116"/>
    </row>
    <row r="117" spans="1:44"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c r="AN117"/>
      <c r="AO117"/>
      <c r="AP117"/>
      <c r="AQ117"/>
      <c r="AR117"/>
    </row>
    <row r="118" spans="1:44"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c r="AN118"/>
      <c r="AO118"/>
      <c r="AP118"/>
      <c r="AQ118"/>
      <c r="AR118"/>
    </row>
    <row r="119" spans="1:44"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c r="AN119"/>
      <c r="AO119"/>
      <c r="AP119"/>
      <c r="AQ119"/>
      <c r="AR119"/>
    </row>
    <row r="120" spans="1:44"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c r="AN120"/>
      <c r="AO120"/>
      <c r="AP120"/>
      <c r="AQ120"/>
      <c r="AR120"/>
    </row>
    <row r="121" spans="1:44"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c r="AN121"/>
      <c r="AO121"/>
      <c r="AP121"/>
      <c r="AQ121"/>
      <c r="AR121"/>
    </row>
    <row r="122" spans="1:44"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c r="AN122"/>
      <c r="AO122"/>
      <c r="AP122"/>
      <c r="AQ122"/>
      <c r="AR122"/>
    </row>
    <row r="123" spans="1:44"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c r="AN123"/>
      <c r="AO123"/>
      <c r="AP123"/>
      <c r="AQ123"/>
      <c r="AR123"/>
    </row>
    <row r="124" spans="1:44"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c r="AN124"/>
      <c r="AO124"/>
      <c r="AP124"/>
      <c r="AQ124"/>
      <c r="AR124"/>
    </row>
    <row r="125" spans="1:44"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c r="AN125"/>
      <c r="AO125"/>
      <c r="AP125"/>
      <c r="AQ125"/>
      <c r="AR125"/>
    </row>
    <row r="126" spans="1:44"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c r="AN126"/>
      <c r="AO126"/>
      <c r="AP126"/>
      <c r="AQ126"/>
      <c r="AR126"/>
    </row>
    <row r="127" spans="1:44"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c r="AN127"/>
      <c r="AO127"/>
      <c r="AP127"/>
      <c r="AQ127"/>
      <c r="AR127"/>
    </row>
    <row r="128" spans="1:44"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c r="AN128"/>
      <c r="AO128"/>
      <c r="AP128"/>
      <c r="AQ128"/>
      <c r="AR128"/>
    </row>
    <row r="129" spans="1:44"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c r="AN129"/>
      <c r="AO129"/>
      <c r="AP129"/>
      <c r="AQ129"/>
      <c r="AR129"/>
    </row>
    <row r="130" spans="1:44"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c r="AN130"/>
      <c r="AO130"/>
      <c r="AP130"/>
      <c r="AQ130"/>
      <c r="AR130"/>
    </row>
    <row r="131" spans="1:44"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c r="AN131"/>
      <c r="AO131"/>
      <c r="AP131"/>
      <c r="AQ131"/>
      <c r="AR131"/>
    </row>
    <row r="132" spans="1:44"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c r="AR132"/>
    </row>
    <row r="133" spans="1:44"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c r="AN133"/>
      <c r="AO133"/>
      <c r="AP133"/>
      <c r="AQ133"/>
      <c r="AR133"/>
    </row>
    <row r="134" spans="1:44"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c r="AN134"/>
      <c r="AO134"/>
      <c r="AP134"/>
      <c r="AQ134"/>
      <c r="AR134"/>
    </row>
    <row r="135" spans="1:44"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c r="AL135"/>
      <c r="AM135"/>
      <c r="AN135"/>
      <c r="AO135"/>
      <c r="AP135"/>
      <c r="AQ135"/>
      <c r="AR135"/>
    </row>
    <row r="136" spans="1:44"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c r="AL136"/>
      <c r="AM136"/>
      <c r="AN136"/>
      <c r="AO136"/>
      <c r="AP136"/>
      <c r="AQ136"/>
      <c r="AR136"/>
    </row>
    <row r="137" spans="1:44"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c r="AL137"/>
      <c r="AM137"/>
      <c r="AN137"/>
      <c r="AO137"/>
      <c r="AP137"/>
      <c r="AQ137"/>
      <c r="AR137"/>
    </row>
    <row r="138" spans="1:44"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c r="AL138"/>
      <c r="AM138"/>
      <c r="AN138"/>
      <c r="AO138"/>
      <c r="AP138"/>
      <c r="AQ138"/>
      <c r="AR138"/>
    </row>
    <row r="139" spans="1:44"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c r="AL139"/>
      <c r="AM139"/>
      <c r="AN139"/>
      <c r="AO139"/>
      <c r="AP139"/>
      <c r="AQ139"/>
      <c r="AR139"/>
    </row>
    <row r="140" spans="1:44"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c r="AL140"/>
      <c r="AM140"/>
      <c r="AN140"/>
      <c r="AO140"/>
      <c r="AP140"/>
      <c r="AQ140"/>
      <c r="AR140"/>
    </row>
    <row r="141" spans="1:44"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c r="AN141"/>
      <c r="AO141"/>
      <c r="AP141"/>
      <c r="AQ141"/>
      <c r="AR141"/>
    </row>
    <row r="142" spans="1:44"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c r="AN142"/>
      <c r="AO142"/>
      <c r="AP142"/>
      <c r="AQ142"/>
      <c r="AR142"/>
    </row>
    <row r="143" spans="1:44"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c r="AL143"/>
      <c r="AM143"/>
      <c r="AN143"/>
      <c r="AO143"/>
      <c r="AP143"/>
      <c r="AQ143"/>
      <c r="AR143"/>
    </row>
    <row r="144" spans="1:44"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c r="AN144"/>
      <c r="AO144"/>
      <c r="AP144"/>
      <c r="AQ144"/>
      <c r="AR144"/>
    </row>
    <row r="145" spans="1:44"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c r="AL145"/>
      <c r="AM145"/>
      <c r="AN145"/>
      <c r="AO145"/>
      <c r="AP145"/>
      <c r="AQ145"/>
      <c r="AR145"/>
    </row>
    <row r="146" spans="1:44"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c r="AL146"/>
      <c r="AM146"/>
      <c r="AN146"/>
      <c r="AO146"/>
      <c r="AP146"/>
      <c r="AQ146"/>
      <c r="AR146"/>
    </row>
    <row r="147" spans="1:44"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c r="AL147"/>
      <c r="AM147"/>
      <c r="AN147"/>
      <c r="AO147"/>
      <c r="AP147"/>
      <c r="AQ147"/>
      <c r="AR147"/>
    </row>
    <row r="148" spans="1:44"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c r="AL148"/>
      <c r="AM148"/>
      <c r="AN148"/>
      <c r="AO148"/>
      <c r="AP148"/>
      <c r="AQ148"/>
      <c r="AR148"/>
    </row>
    <row r="149" spans="1:44"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c r="AN149"/>
      <c r="AO149"/>
      <c r="AP149"/>
      <c r="AQ149"/>
      <c r="AR149"/>
    </row>
    <row r="150" spans="1:44"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c r="AN150"/>
      <c r="AO150"/>
      <c r="AP150"/>
      <c r="AQ150"/>
      <c r="AR150"/>
    </row>
    <row r="151" spans="1:44"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c r="AN151"/>
      <c r="AO151"/>
      <c r="AP151"/>
      <c r="AQ151"/>
      <c r="AR151"/>
    </row>
    <row r="152" spans="1:44"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c r="AN152"/>
      <c r="AO152"/>
      <c r="AP152"/>
      <c r="AQ152"/>
      <c r="AR152"/>
    </row>
    <row r="153" spans="1:44"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c r="AN153"/>
      <c r="AO153"/>
      <c r="AP153"/>
      <c r="AQ153"/>
      <c r="AR153"/>
    </row>
    <row r="154" spans="1:44"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c r="AN154"/>
      <c r="AO154"/>
      <c r="AP154"/>
      <c r="AQ154"/>
      <c r="AR154"/>
    </row>
    <row r="155" spans="1:44"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c r="AN155"/>
      <c r="AO155"/>
      <c r="AP155"/>
      <c r="AQ155"/>
      <c r="AR155"/>
    </row>
    <row r="156" spans="1:44"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c r="AN156"/>
      <c r="AO156"/>
      <c r="AP156"/>
      <c r="AQ156"/>
      <c r="AR156"/>
    </row>
    <row r="157" spans="1:44"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c r="AN157"/>
      <c r="AO157"/>
      <c r="AP157"/>
      <c r="AQ157"/>
      <c r="AR157"/>
    </row>
    <row r="158" spans="1:44"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c r="AN158"/>
      <c r="AO158"/>
      <c r="AP158"/>
      <c r="AQ158"/>
      <c r="AR158"/>
    </row>
    <row r="159" spans="1:44"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c r="AN159"/>
      <c r="AO159"/>
      <c r="AP159"/>
      <c r="AQ159"/>
      <c r="AR159"/>
    </row>
    <row r="160" spans="1:44"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c r="AN160"/>
      <c r="AO160"/>
      <c r="AP160"/>
      <c r="AQ160"/>
      <c r="AR160"/>
    </row>
    <row r="161" spans="1:44"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c r="AN161"/>
      <c r="AO161"/>
      <c r="AP161"/>
      <c r="AQ161"/>
      <c r="AR161"/>
    </row>
    <row r="162" spans="1:44"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c r="AN162"/>
      <c r="AO162"/>
      <c r="AP162"/>
      <c r="AQ162"/>
      <c r="AR162"/>
    </row>
    <row r="163" spans="1:44"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c r="AL163"/>
      <c r="AM163"/>
      <c r="AN163"/>
      <c r="AO163"/>
      <c r="AP163"/>
      <c r="AQ163"/>
      <c r="AR163"/>
    </row>
    <row r="164" spans="1:44"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c r="AL164"/>
      <c r="AM164"/>
      <c r="AN164"/>
      <c r="AO164"/>
      <c r="AP164"/>
      <c r="AQ164"/>
      <c r="AR164"/>
    </row>
    <row r="165" spans="1:44"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c r="AN165"/>
      <c r="AO165"/>
      <c r="AP165"/>
      <c r="AQ165"/>
      <c r="AR165"/>
    </row>
    <row r="166" spans="1:44"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c r="AL166"/>
      <c r="AM166"/>
      <c r="AN166"/>
      <c r="AO166"/>
      <c r="AP166"/>
      <c r="AQ166"/>
      <c r="AR166"/>
    </row>
    <row r="167" spans="1:44"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c r="AL167"/>
      <c r="AM167"/>
      <c r="AN167"/>
      <c r="AO167"/>
      <c r="AP167"/>
      <c r="AQ167"/>
      <c r="AR167"/>
    </row>
    <row r="168" spans="1:44"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c r="AN168"/>
      <c r="AO168"/>
      <c r="AP168"/>
      <c r="AQ168"/>
      <c r="AR168"/>
    </row>
    <row r="169" spans="1:44"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c r="AL169"/>
      <c r="AM169"/>
      <c r="AN169"/>
      <c r="AO169"/>
      <c r="AP169"/>
      <c r="AQ169"/>
      <c r="AR169"/>
    </row>
    <row r="170" spans="1:44"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c r="AO170"/>
      <c r="AP170"/>
      <c r="AQ170"/>
      <c r="AR170"/>
    </row>
    <row r="171" spans="1:44"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c r="AO171"/>
      <c r="AP171"/>
      <c r="AQ171"/>
      <c r="AR171"/>
    </row>
    <row r="172" spans="1:44"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c r="AP172"/>
      <c r="AQ172"/>
      <c r="AR172"/>
    </row>
    <row r="173" spans="1:44"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c r="AP173"/>
      <c r="AQ173"/>
      <c r="AR173"/>
    </row>
    <row r="174" spans="1:44"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c r="AO174"/>
      <c r="AP174"/>
      <c r="AQ174"/>
      <c r="AR174"/>
    </row>
    <row r="175" spans="1:44"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c r="AO175"/>
      <c r="AP175"/>
      <c r="AQ175"/>
      <c r="AR175"/>
    </row>
    <row r="176" spans="1:44"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c r="AO176"/>
      <c r="AP176"/>
      <c r="AQ176"/>
      <c r="AR176"/>
    </row>
    <row r="177" spans="1:44"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c r="AP177"/>
      <c r="AQ177"/>
      <c r="AR177"/>
    </row>
    <row r="178" spans="1:44"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c r="AP178"/>
      <c r="AQ178"/>
      <c r="AR178"/>
    </row>
    <row r="179" spans="1:44"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c r="AO179"/>
      <c r="AP179"/>
      <c r="AQ179"/>
      <c r="AR179"/>
    </row>
    <row r="180" spans="1:44"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c r="AO180"/>
      <c r="AP180"/>
      <c r="AQ180"/>
      <c r="AR180"/>
    </row>
    <row r="181" spans="1:44"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c r="AO181"/>
      <c r="AP181"/>
      <c r="AQ181"/>
      <c r="AR181"/>
    </row>
    <row r="182" spans="1:44"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c r="AO182"/>
      <c r="AP182"/>
      <c r="AQ182"/>
      <c r="AR182"/>
    </row>
    <row r="183" spans="1:44"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c r="AO183"/>
      <c r="AP183"/>
      <c r="AQ183"/>
      <c r="AR183"/>
    </row>
    <row r="184" spans="1:44"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c r="AL184"/>
      <c r="AM184"/>
      <c r="AN184"/>
      <c r="AO184"/>
      <c r="AP184"/>
      <c r="AQ184"/>
      <c r="AR184"/>
    </row>
    <row r="185" spans="1:44"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c r="AN185"/>
      <c r="AO185"/>
      <c r="AP185"/>
      <c r="AQ185"/>
      <c r="AR185"/>
    </row>
    <row r="186" spans="1:44"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c r="AN186"/>
      <c r="AO186"/>
      <c r="AP186"/>
      <c r="AQ186"/>
      <c r="AR186"/>
    </row>
    <row r="187" spans="1:44"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c r="AN187"/>
      <c r="AO187"/>
      <c r="AP187"/>
      <c r="AQ187"/>
      <c r="AR187"/>
    </row>
    <row r="188" spans="1:44"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c r="AL188"/>
      <c r="AM188"/>
      <c r="AN188"/>
      <c r="AO188"/>
      <c r="AP188"/>
      <c r="AQ188"/>
      <c r="AR188"/>
    </row>
    <row r="189" spans="1:44"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c r="AN189"/>
      <c r="AO189"/>
      <c r="AP189"/>
      <c r="AQ189"/>
      <c r="AR189"/>
    </row>
    <row r="190" spans="1:44"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c r="AN190"/>
      <c r="AO190"/>
      <c r="AP190"/>
      <c r="AQ190"/>
      <c r="AR190"/>
    </row>
    <row r="191" spans="1:44"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c r="AN191"/>
      <c r="AO191"/>
      <c r="AP191"/>
      <c r="AQ191"/>
      <c r="AR191"/>
    </row>
    <row r="192" spans="1:44"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c r="AN192"/>
      <c r="AO192"/>
      <c r="AP192"/>
      <c r="AQ192"/>
      <c r="AR192"/>
    </row>
    <row r="193" spans="1:44"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c r="AN193"/>
      <c r="AO193"/>
      <c r="AP193"/>
      <c r="AQ193"/>
      <c r="AR193"/>
    </row>
    <row r="194" spans="1:44"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c r="AN194"/>
      <c r="AO194"/>
      <c r="AP194"/>
      <c r="AQ194"/>
      <c r="AR194"/>
    </row>
    <row r="195" spans="1:44"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c r="AN195"/>
      <c r="AO195"/>
      <c r="AP195"/>
      <c r="AQ195"/>
      <c r="AR195"/>
    </row>
    <row r="196" spans="1:44"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c r="AN196"/>
      <c r="AO196"/>
      <c r="AP196"/>
      <c r="AQ196"/>
      <c r="AR196"/>
    </row>
    <row r="197" spans="1:44"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c r="AN197"/>
      <c r="AO197"/>
      <c r="AP197"/>
      <c r="AQ197"/>
      <c r="AR197"/>
    </row>
    <row r="198" spans="1:44"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c r="AN198"/>
      <c r="AO198"/>
      <c r="AP198"/>
      <c r="AQ198"/>
      <c r="AR198"/>
    </row>
    <row r="199" spans="1:44"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c r="AL199"/>
      <c r="AM199"/>
      <c r="AN199"/>
      <c r="AO199"/>
      <c r="AP199"/>
      <c r="AQ199"/>
      <c r="AR199"/>
    </row>
    <row r="200" spans="1:44"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row>
    <row r="201" spans="1:44"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row>
    <row r="202" spans="1:44"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row>
    <row r="203" spans="1:44"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row>
    <row r="204" spans="1:44"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c r="AN204"/>
      <c r="AO204"/>
      <c r="AP204"/>
      <c r="AQ204"/>
      <c r="AR204"/>
    </row>
    <row r="205" spans="1:44"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c r="AN205"/>
      <c r="AO205"/>
      <c r="AP205"/>
      <c r="AQ205"/>
      <c r="AR205"/>
    </row>
    <row r="206" spans="1:44"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c r="AL206"/>
      <c r="AM206"/>
      <c r="AN206"/>
      <c r="AO206"/>
      <c r="AP206"/>
      <c r="AQ206"/>
      <c r="AR206"/>
    </row>
    <row r="207" spans="1:44"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c r="AL207"/>
      <c r="AM207"/>
      <c r="AN207"/>
      <c r="AO207"/>
      <c r="AP207"/>
      <c r="AQ207"/>
      <c r="AR207"/>
    </row>
    <row r="208" spans="1:44"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M208"/>
      <c r="AN208"/>
      <c r="AO208"/>
      <c r="AP208"/>
      <c r="AQ208"/>
      <c r="AR208"/>
    </row>
    <row r="209" spans="1:44"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M209"/>
      <c r="AN209"/>
      <c r="AO209"/>
      <c r="AP209"/>
      <c r="AQ209"/>
      <c r="AR209"/>
    </row>
    <row r="210" spans="1:44"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M210"/>
      <c r="AN210"/>
      <c r="AO210"/>
      <c r="AP210"/>
      <c r="AQ210"/>
      <c r="AR210"/>
    </row>
    <row r="211" spans="1:44"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c r="AN211"/>
      <c r="AO211"/>
      <c r="AP211"/>
      <c r="AQ211"/>
      <c r="AR211"/>
    </row>
    <row r="212" spans="1:44"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M212"/>
      <c r="AN212"/>
      <c r="AO212"/>
      <c r="AP212"/>
      <c r="AQ212"/>
      <c r="AR212"/>
    </row>
    <row r="213" spans="1:44"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M213"/>
      <c r="AN213"/>
      <c r="AO213"/>
      <c r="AP213"/>
      <c r="AQ213"/>
      <c r="AR213"/>
    </row>
    <row r="214" spans="1:44"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c r="AN214"/>
      <c r="AO214"/>
      <c r="AP214"/>
      <c r="AQ214"/>
      <c r="AR214"/>
    </row>
    <row r="215" spans="1:44"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c r="AN215"/>
      <c r="AO215"/>
      <c r="AP215"/>
      <c r="AQ215"/>
      <c r="AR215"/>
    </row>
    <row r="216" spans="1:44"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c r="AN216"/>
      <c r="AO216"/>
      <c r="AP216"/>
      <c r="AQ216"/>
      <c r="AR216"/>
    </row>
    <row r="217" spans="1:44"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c r="AN217"/>
      <c r="AO217"/>
      <c r="AP217"/>
      <c r="AQ217"/>
      <c r="AR217"/>
    </row>
    <row r="218" spans="1:44"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c r="AN218"/>
      <c r="AO218"/>
      <c r="AP218"/>
      <c r="AQ218"/>
      <c r="AR218"/>
    </row>
    <row r="219" spans="1:44"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c r="AN219"/>
      <c r="AO219"/>
      <c r="AP219"/>
      <c r="AQ219"/>
      <c r="AR219"/>
    </row>
    <row r="220" spans="1:44"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c r="AN220"/>
      <c r="AO220"/>
      <c r="AP220"/>
      <c r="AQ220"/>
      <c r="AR220"/>
    </row>
    <row r="221" spans="1:44"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c r="AN221"/>
      <c r="AO221"/>
      <c r="AP221"/>
      <c r="AQ221"/>
      <c r="AR221"/>
    </row>
    <row r="222" spans="1:44"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c r="AN222"/>
      <c r="AO222"/>
      <c r="AP222"/>
      <c r="AQ222"/>
      <c r="AR222"/>
    </row>
    <row r="223" spans="1:44"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c r="AN223"/>
      <c r="AO223"/>
      <c r="AP223"/>
      <c r="AQ223"/>
      <c r="AR223"/>
    </row>
    <row r="224" spans="1:44"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c r="AN224"/>
      <c r="AO224"/>
      <c r="AP224"/>
      <c r="AQ224"/>
      <c r="AR224"/>
    </row>
    <row r="225" spans="1:44"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c r="AN225"/>
      <c r="AO225"/>
      <c r="AP225"/>
      <c r="AQ225"/>
      <c r="AR225"/>
    </row>
    <row r="226" spans="1:44"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c r="AN226"/>
      <c r="AO226"/>
      <c r="AP226"/>
      <c r="AQ226"/>
      <c r="AR226"/>
    </row>
    <row r="227" spans="1:44"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c r="AN227"/>
      <c r="AO227"/>
      <c r="AP227"/>
      <c r="AQ227"/>
      <c r="AR227"/>
    </row>
    <row r="228" spans="1:44"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c r="AN228"/>
      <c r="AO228"/>
      <c r="AP228"/>
      <c r="AQ228"/>
      <c r="AR228"/>
    </row>
    <row r="229" spans="1:44"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c r="AN229"/>
      <c r="AO229"/>
      <c r="AP229"/>
      <c r="AQ229"/>
      <c r="AR229"/>
    </row>
    <row r="230" spans="1:44"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c r="AN230"/>
      <c r="AO230"/>
      <c r="AP230"/>
      <c r="AQ230"/>
      <c r="AR230"/>
    </row>
    <row r="231" spans="1:44"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c r="AN231"/>
      <c r="AO231"/>
      <c r="AP231"/>
      <c r="AQ231"/>
      <c r="AR231"/>
    </row>
    <row r="232" spans="1:44"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c r="AN232"/>
      <c r="AO232"/>
      <c r="AP232"/>
      <c r="AQ232"/>
      <c r="AR232"/>
    </row>
    <row r="233" spans="1:44"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c r="AN233"/>
      <c r="AO233"/>
      <c r="AP233"/>
      <c r="AQ233"/>
      <c r="AR233"/>
    </row>
    <row r="234" spans="1:44"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c r="AN234"/>
      <c r="AO234"/>
      <c r="AP234"/>
      <c r="AQ234"/>
      <c r="AR234"/>
    </row>
    <row r="235" spans="1:44"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c r="AN235"/>
      <c r="AO235"/>
      <c r="AP235"/>
      <c r="AQ235"/>
      <c r="AR235"/>
    </row>
    <row r="236" spans="1:44"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c r="AN236"/>
      <c r="AO236"/>
      <c r="AP236"/>
      <c r="AQ236"/>
      <c r="AR236"/>
    </row>
    <row r="237" spans="1:44"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c r="AN237"/>
      <c r="AO237"/>
      <c r="AP237"/>
      <c r="AQ237"/>
      <c r="AR237"/>
    </row>
    <row r="238" spans="1:44"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row>
    <row r="239" spans="1:44"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row>
    <row r="240" spans="1:44"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row>
    <row r="241" spans="1:44"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c r="AN241"/>
      <c r="AO241"/>
      <c r="AP241"/>
      <c r="AQ241"/>
      <c r="AR241"/>
    </row>
    <row r="242" spans="1:44"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c r="AN242"/>
      <c r="AO242"/>
      <c r="AP242"/>
      <c r="AQ242"/>
      <c r="AR242"/>
    </row>
    <row r="243" spans="1:44"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c r="AN243"/>
      <c r="AO243"/>
      <c r="AP243"/>
      <c r="AQ243"/>
      <c r="AR243"/>
    </row>
    <row r="244" spans="1:44"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c r="AN244"/>
      <c r="AO244"/>
      <c r="AP244"/>
      <c r="AQ244"/>
      <c r="AR244"/>
    </row>
    <row r="245" spans="1:44"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c r="AL245"/>
      <c r="AM245"/>
      <c r="AN245"/>
      <c r="AO245"/>
      <c r="AP245"/>
      <c r="AQ245"/>
      <c r="AR245"/>
    </row>
    <row r="246" spans="1:44"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c r="AL246"/>
      <c r="AM246"/>
      <c r="AN246"/>
      <c r="AO246"/>
      <c r="AP246"/>
      <c r="AQ246"/>
      <c r="AR246"/>
    </row>
    <row r="247" spans="1:44"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c r="AL247"/>
      <c r="AM247"/>
      <c r="AN247"/>
      <c r="AO247"/>
      <c r="AP247"/>
      <c r="AQ247"/>
      <c r="AR247"/>
    </row>
    <row r="248" spans="1:44"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c r="AN248"/>
      <c r="AO248"/>
      <c r="AP248"/>
      <c r="AQ248"/>
      <c r="AR248"/>
    </row>
    <row r="249" spans="1:44"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c r="AN249"/>
      <c r="AO249"/>
      <c r="AP249"/>
      <c r="AQ249"/>
      <c r="AR249"/>
    </row>
    <row r="250" spans="1:44"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c r="AN250"/>
      <c r="AO250"/>
      <c r="AP250"/>
      <c r="AQ250"/>
      <c r="AR250"/>
    </row>
    <row r="251" spans="1:44"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c r="AN251"/>
      <c r="AO251"/>
      <c r="AP251"/>
      <c r="AQ251"/>
      <c r="AR251"/>
    </row>
    <row r="252" spans="1:44"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c r="AN252"/>
      <c r="AO252"/>
      <c r="AP252"/>
      <c r="AQ252"/>
      <c r="AR252"/>
    </row>
    <row r="253" spans="1:44"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c r="AN253"/>
      <c r="AO253"/>
      <c r="AP253"/>
      <c r="AQ253"/>
      <c r="AR253"/>
    </row>
    <row r="254" spans="1:44"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c r="AN254"/>
      <c r="AO254"/>
      <c r="AP254"/>
      <c r="AQ254"/>
      <c r="AR254"/>
    </row>
    <row r="255" spans="1:44"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c r="AN255"/>
      <c r="AO255"/>
      <c r="AP255"/>
      <c r="AQ255"/>
      <c r="AR255"/>
    </row>
    <row r="256" spans="1:44"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c r="AN256"/>
      <c r="AO256"/>
      <c r="AP256"/>
      <c r="AQ256"/>
      <c r="AR256"/>
    </row>
    <row r="257" spans="1:44"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c r="AN257"/>
      <c r="AO257"/>
      <c r="AP257"/>
      <c r="AQ257"/>
      <c r="AR257"/>
    </row>
    <row r="258" spans="1:44"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c r="AN258"/>
      <c r="AO258"/>
      <c r="AP258"/>
      <c r="AQ258"/>
      <c r="AR258"/>
    </row>
    <row r="259" spans="1:44"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c r="AN259"/>
      <c r="AO259"/>
      <c r="AP259"/>
      <c r="AQ259"/>
      <c r="AR259"/>
    </row>
    <row r="260" spans="1:44"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c r="AL260"/>
      <c r="AM260"/>
      <c r="AN260"/>
      <c r="AO260"/>
      <c r="AP260"/>
      <c r="AQ260"/>
      <c r="AR260"/>
    </row>
    <row r="261" spans="1:44"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c r="AN261"/>
      <c r="AO261"/>
      <c r="AP261"/>
      <c r="AQ261"/>
      <c r="AR261"/>
    </row>
    <row r="262" spans="1:44"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c r="AN262"/>
      <c r="AO262"/>
      <c r="AP262"/>
      <c r="AQ262"/>
      <c r="AR262"/>
    </row>
    <row r="263" spans="1:44"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c r="AN263"/>
      <c r="AO263"/>
      <c r="AP263"/>
      <c r="AQ263"/>
      <c r="AR263"/>
    </row>
    <row r="264" spans="1:44"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c r="AN264"/>
      <c r="AO264"/>
      <c r="AP264"/>
      <c r="AQ264"/>
      <c r="AR264"/>
    </row>
    <row r="265" spans="1:44"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c r="AN265"/>
      <c r="AO265"/>
      <c r="AP265"/>
      <c r="AQ265"/>
      <c r="AR265"/>
    </row>
    <row r="266" spans="1:44"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c r="AN266"/>
      <c r="AO266"/>
      <c r="AP266"/>
      <c r="AQ266"/>
      <c r="AR266"/>
    </row>
    <row r="267" spans="1:44"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c r="AN267"/>
      <c r="AO267"/>
      <c r="AP267"/>
      <c r="AQ267"/>
      <c r="AR267"/>
    </row>
    <row r="268" spans="1:44"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c r="AN268"/>
      <c r="AO268"/>
      <c r="AP268"/>
      <c r="AQ268"/>
      <c r="AR268"/>
    </row>
    <row r="269" spans="1:44"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c r="AN269"/>
      <c r="AO269"/>
      <c r="AP269"/>
      <c r="AQ269"/>
      <c r="AR269"/>
    </row>
    <row r="270" spans="1:44"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c r="AN270"/>
      <c r="AO270"/>
      <c r="AP270"/>
      <c r="AQ270"/>
      <c r="AR270"/>
    </row>
    <row r="271" spans="1:44"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c r="AN271"/>
      <c r="AO271"/>
      <c r="AP271"/>
      <c r="AQ271"/>
      <c r="AR271"/>
    </row>
    <row r="272" spans="1:44"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c r="AN272"/>
      <c r="AO272"/>
      <c r="AP272"/>
      <c r="AQ272"/>
      <c r="AR272"/>
    </row>
    <row r="273" spans="1:44"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c r="AN273"/>
      <c r="AO273"/>
      <c r="AP273"/>
      <c r="AQ273"/>
      <c r="AR273"/>
    </row>
    <row r="274" spans="1:44"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c r="AN274"/>
      <c r="AO274"/>
      <c r="AP274"/>
      <c r="AQ274"/>
      <c r="AR274"/>
    </row>
    <row r="275" spans="1:44"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c r="AN275"/>
      <c r="AO275"/>
      <c r="AP275"/>
      <c r="AQ275"/>
      <c r="AR275"/>
    </row>
    <row r="276" spans="1:44"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c r="AL276"/>
      <c r="AM276"/>
      <c r="AN276"/>
      <c r="AO276"/>
      <c r="AP276"/>
      <c r="AQ276"/>
      <c r="AR276"/>
    </row>
    <row r="277" spans="1:44"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c r="AL277"/>
      <c r="AM277"/>
      <c r="AN277"/>
      <c r="AO277"/>
      <c r="AP277"/>
      <c r="AQ277"/>
      <c r="AR277"/>
    </row>
    <row r="278" spans="1:44"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c r="AN278"/>
      <c r="AO278"/>
      <c r="AP278"/>
      <c r="AQ278"/>
      <c r="AR278"/>
    </row>
    <row r="279" spans="1:44"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c r="AO279"/>
      <c r="AP279"/>
      <c r="AQ279"/>
      <c r="AR279"/>
    </row>
    <row r="280" spans="1:44"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N280"/>
      <c r="AO280"/>
      <c r="AP280"/>
      <c r="AQ280"/>
      <c r="AR280"/>
    </row>
    <row r="281" spans="1:44"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c r="AN281"/>
      <c r="AO281"/>
      <c r="AP281"/>
      <c r="AQ281"/>
      <c r="AR281"/>
    </row>
    <row r="282" spans="1:44"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c r="AN282"/>
      <c r="AO282"/>
      <c r="AP282"/>
      <c r="AQ282"/>
      <c r="AR282"/>
    </row>
    <row r="283" spans="1:44"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c r="AN283"/>
      <c r="AO283"/>
      <c r="AP283"/>
      <c r="AQ283"/>
      <c r="AR283"/>
    </row>
    <row r="284" spans="1:44"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c r="AN284"/>
      <c r="AO284"/>
      <c r="AP284"/>
      <c r="AQ284"/>
      <c r="AR284"/>
    </row>
    <row r="285" spans="1:44"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c r="AN285"/>
      <c r="AO285"/>
      <c r="AP285"/>
      <c r="AQ285"/>
      <c r="AR285"/>
    </row>
    <row r="286" spans="1:44"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c r="AN286"/>
      <c r="AO286"/>
      <c r="AP286"/>
      <c r="AQ286"/>
      <c r="AR286"/>
    </row>
    <row r="287" spans="1:44"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c r="AN287"/>
      <c r="AO287"/>
      <c r="AP287"/>
      <c r="AQ287"/>
      <c r="AR287"/>
    </row>
    <row r="288" spans="1:44"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c r="AN288"/>
      <c r="AO288"/>
      <c r="AP288"/>
      <c r="AQ288"/>
      <c r="AR288"/>
    </row>
    <row r="289" spans="1:44"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c r="AN289"/>
      <c r="AO289"/>
      <c r="AP289"/>
      <c r="AQ289"/>
      <c r="AR289"/>
    </row>
    <row r="290" spans="1:44"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c r="AN290"/>
      <c r="AO290"/>
      <c r="AP290"/>
      <c r="AQ290"/>
      <c r="AR290"/>
    </row>
    <row r="291" spans="1:44"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c r="AN291"/>
      <c r="AO291"/>
      <c r="AP291"/>
      <c r="AQ291"/>
      <c r="AR291"/>
    </row>
    <row r="292" spans="1:44"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c r="AN292"/>
      <c r="AO292"/>
      <c r="AP292"/>
      <c r="AQ292"/>
      <c r="AR292"/>
    </row>
    <row r="293" spans="1:44"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c r="AN293"/>
      <c r="AO293"/>
      <c r="AP293"/>
      <c r="AQ293"/>
      <c r="AR293"/>
    </row>
    <row r="294" spans="1:44"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c r="AN294"/>
      <c r="AO294"/>
      <c r="AP294"/>
      <c r="AQ294"/>
      <c r="AR294"/>
    </row>
    <row r="295" spans="1:44"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c r="AN295"/>
      <c r="AO295"/>
      <c r="AP295"/>
      <c r="AQ295"/>
      <c r="AR295"/>
    </row>
    <row r="296" spans="1:44"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c r="AN296"/>
      <c r="AO296"/>
      <c r="AP296"/>
      <c r="AQ296"/>
      <c r="AR296"/>
    </row>
    <row r="297" spans="1:44"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c r="AO297"/>
      <c r="AP297"/>
      <c r="AQ297"/>
      <c r="AR297"/>
    </row>
    <row r="298" spans="1:44"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N298"/>
      <c r="AO298"/>
      <c r="AP298"/>
      <c r="AQ298"/>
      <c r="AR298"/>
    </row>
    <row r="299" spans="1:44"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c r="AN299"/>
      <c r="AO299"/>
      <c r="AP299"/>
      <c r="AQ299"/>
      <c r="AR299"/>
    </row>
    <row r="300" spans="1:44"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c r="AN300"/>
      <c r="AO300"/>
      <c r="AP300"/>
      <c r="AQ300"/>
      <c r="AR300"/>
    </row>
    <row r="301" spans="1:44"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c r="AN301"/>
      <c r="AO301"/>
      <c r="AP301"/>
      <c r="AQ301"/>
      <c r="AR301"/>
    </row>
    <row r="302" spans="1:44"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c r="AN302"/>
      <c r="AO302"/>
      <c r="AP302"/>
      <c r="AQ302"/>
      <c r="AR302"/>
    </row>
    <row r="303" spans="1:44"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c r="AN303"/>
      <c r="AO303"/>
      <c r="AP303"/>
      <c r="AQ303"/>
      <c r="AR303"/>
    </row>
    <row r="304" spans="1:44"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c r="AL304"/>
      <c r="AM304"/>
      <c r="AN304"/>
      <c r="AO304"/>
      <c r="AP304"/>
      <c r="AQ304"/>
      <c r="AR304"/>
    </row>
    <row r="305" spans="1:44"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row>
    <row r="306" spans="1:44"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c r="AN306"/>
      <c r="AO306"/>
      <c r="AP306"/>
      <c r="AQ306"/>
      <c r="AR306"/>
    </row>
    <row r="307" spans="1:44"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c r="AN307"/>
      <c r="AO307"/>
      <c r="AP307"/>
      <c r="AQ307"/>
      <c r="AR307"/>
    </row>
    <row r="308" spans="1:44"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c r="AN308"/>
      <c r="AO308"/>
      <c r="AP308"/>
      <c r="AQ308"/>
      <c r="AR308"/>
    </row>
    <row r="309" spans="1:44"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c r="AN309"/>
      <c r="AO309"/>
      <c r="AP309"/>
      <c r="AQ309"/>
      <c r="AR309"/>
    </row>
    <row r="310" spans="1:44"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c r="AN310"/>
      <c r="AO310"/>
      <c r="AP310"/>
      <c r="AQ310"/>
      <c r="AR310"/>
    </row>
    <row r="311" spans="1:44"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c r="AL311"/>
      <c r="AM311"/>
      <c r="AN311"/>
      <c r="AO311"/>
      <c r="AP311"/>
      <c r="AQ311"/>
      <c r="AR311"/>
    </row>
    <row r="312" spans="1:44"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c r="AL312"/>
      <c r="AM312"/>
      <c r="AN312"/>
      <c r="AO312"/>
      <c r="AP312"/>
      <c r="AQ312"/>
      <c r="AR312"/>
    </row>
    <row r="313" spans="1:44"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c r="AL313"/>
      <c r="AM313"/>
      <c r="AN313"/>
      <c r="AO313"/>
      <c r="AP313"/>
      <c r="AQ313"/>
      <c r="AR313"/>
    </row>
    <row r="314" spans="1:44"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c r="AN314"/>
      <c r="AO314"/>
      <c r="AP314"/>
      <c r="AQ314"/>
      <c r="AR314"/>
    </row>
    <row r="315" spans="1:44"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c r="AN315"/>
      <c r="AO315"/>
      <c r="AP315"/>
      <c r="AQ315"/>
      <c r="AR315"/>
    </row>
    <row r="316" spans="1:44"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c r="AN316"/>
      <c r="AO316"/>
      <c r="AP316"/>
      <c r="AQ316"/>
      <c r="AR316"/>
    </row>
    <row r="317" spans="1:44"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c r="AN317"/>
      <c r="AO317"/>
      <c r="AP317"/>
      <c r="AQ317"/>
      <c r="AR317"/>
    </row>
    <row r="318" spans="1:44"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c r="AN318"/>
      <c r="AO318"/>
      <c r="AP318"/>
      <c r="AQ318"/>
      <c r="AR318"/>
    </row>
    <row r="319" spans="1:44"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c r="AN319"/>
      <c r="AO319"/>
      <c r="AP319"/>
      <c r="AQ319"/>
      <c r="AR319"/>
    </row>
    <row r="320" spans="1:44"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c r="AN320"/>
      <c r="AO320"/>
      <c r="AP320"/>
      <c r="AQ320"/>
      <c r="AR320"/>
    </row>
    <row r="321" spans="1:44"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c r="AN321"/>
      <c r="AO321"/>
      <c r="AP321"/>
      <c r="AQ321"/>
      <c r="AR321"/>
    </row>
    <row r="322" spans="1:44"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c r="AL322"/>
      <c r="AM322"/>
      <c r="AN322"/>
      <c r="AO322"/>
      <c r="AP322"/>
      <c r="AQ322"/>
      <c r="AR322"/>
    </row>
    <row r="323" spans="1:44"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c r="AN323"/>
      <c r="AO323"/>
      <c r="AP323"/>
      <c r="AQ323"/>
      <c r="AR323"/>
    </row>
    <row r="324" spans="1:44"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c r="AN324"/>
      <c r="AO324"/>
      <c r="AP324"/>
      <c r="AQ324"/>
      <c r="AR324"/>
    </row>
    <row r="325" spans="1:44"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c r="AN325"/>
      <c r="AO325"/>
      <c r="AP325"/>
      <c r="AQ325"/>
      <c r="AR325"/>
    </row>
    <row r="326" spans="1:44"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c r="AN326"/>
      <c r="AO326"/>
      <c r="AP326"/>
      <c r="AQ326"/>
      <c r="AR326"/>
    </row>
    <row r="327" spans="1:44"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c r="AN327"/>
      <c r="AO327"/>
      <c r="AP327"/>
      <c r="AQ327"/>
      <c r="AR327"/>
    </row>
    <row r="328" spans="1:44"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c r="AN328"/>
      <c r="AO328"/>
      <c r="AP328"/>
      <c r="AQ328"/>
      <c r="AR328"/>
    </row>
    <row r="329" spans="1:44"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c r="AN329"/>
      <c r="AO329"/>
      <c r="AP329"/>
      <c r="AQ329"/>
      <c r="AR329"/>
    </row>
    <row r="330" spans="1:44"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c r="AN330"/>
      <c r="AO330"/>
      <c r="AP330"/>
      <c r="AQ330"/>
      <c r="AR330"/>
    </row>
    <row r="331" spans="1:44"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c r="AL331"/>
      <c r="AM331"/>
      <c r="AN331"/>
      <c r="AO331"/>
      <c r="AP331"/>
      <c r="AQ331"/>
      <c r="AR331"/>
    </row>
    <row r="332" spans="1:44"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c r="AN332"/>
      <c r="AO332"/>
      <c r="AP332"/>
      <c r="AQ332"/>
      <c r="AR332"/>
    </row>
    <row r="333" spans="1:44"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c r="AO333"/>
      <c r="AP333"/>
      <c r="AQ333"/>
      <c r="AR333"/>
    </row>
    <row r="334" spans="1:44"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c r="AO334"/>
      <c r="AP334"/>
      <c r="AQ334"/>
      <c r="AR334"/>
    </row>
    <row r="335" spans="1:44"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c r="AN335"/>
      <c r="AO335"/>
      <c r="AP335"/>
      <c r="AQ335"/>
      <c r="AR335"/>
    </row>
    <row r="336" spans="1:44"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N336"/>
      <c r="AO336"/>
      <c r="AP336"/>
      <c r="AQ336"/>
      <c r="AR336"/>
    </row>
    <row r="337" spans="1:44"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c r="AN337"/>
      <c r="AO337"/>
      <c r="AP337"/>
      <c r="AQ337"/>
      <c r="AR337"/>
    </row>
    <row r="338" spans="1:44"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c r="AN338"/>
      <c r="AO338"/>
      <c r="AP338"/>
      <c r="AQ338"/>
      <c r="AR338"/>
    </row>
    <row r="339" spans="1:44"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c r="AN339"/>
      <c r="AO339"/>
      <c r="AP339"/>
      <c r="AQ339"/>
      <c r="AR339"/>
    </row>
    <row r="340" spans="1:44"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c r="AL340"/>
      <c r="AM340"/>
      <c r="AN340"/>
      <c r="AO340"/>
      <c r="AP340"/>
      <c r="AQ340"/>
      <c r="AR340"/>
    </row>
    <row r="341" spans="1:44"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c r="AN341"/>
      <c r="AO341"/>
      <c r="AP341"/>
      <c r="AQ341"/>
      <c r="AR341"/>
    </row>
    <row r="342" spans="1:44"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c r="AN342"/>
      <c r="AO342"/>
      <c r="AP342"/>
      <c r="AQ342"/>
      <c r="AR342"/>
    </row>
    <row r="343" spans="1:44"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c r="AN343"/>
      <c r="AO343"/>
      <c r="AP343"/>
      <c r="AQ343"/>
      <c r="AR343"/>
    </row>
    <row r="344" spans="1:44"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c r="AN344"/>
      <c r="AO344"/>
      <c r="AP344"/>
      <c r="AQ344"/>
      <c r="AR344"/>
    </row>
    <row r="345" spans="1:44"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c r="AN345"/>
      <c r="AO345"/>
      <c r="AP345"/>
      <c r="AQ345"/>
      <c r="AR345"/>
    </row>
    <row r="346" spans="1:44"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c r="AL346"/>
      <c r="AM346"/>
      <c r="AN346"/>
      <c r="AO346"/>
      <c r="AP346"/>
      <c r="AQ346"/>
      <c r="AR346"/>
    </row>
    <row r="347" spans="1:44"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c r="AN347"/>
      <c r="AO347"/>
      <c r="AP347"/>
      <c r="AQ347"/>
      <c r="AR347"/>
    </row>
    <row r="348" spans="1:44"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c r="AN348"/>
      <c r="AO348"/>
      <c r="AP348"/>
      <c r="AQ348"/>
      <c r="AR348"/>
    </row>
    <row r="349" spans="1:44"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c r="AL349"/>
      <c r="AM349"/>
      <c r="AN349"/>
      <c r="AO349"/>
      <c r="AP349"/>
      <c r="AQ349"/>
      <c r="AR349"/>
    </row>
    <row r="350" spans="1:44"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c r="AN350"/>
      <c r="AO350"/>
      <c r="AP350"/>
      <c r="AQ350"/>
      <c r="AR350"/>
    </row>
    <row r="351" spans="1:44"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c r="AN351"/>
      <c r="AO351"/>
      <c r="AP351"/>
      <c r="AQ351"/>
      <c r="AR351"/>
    </row>
    <row r="352" spans="1:44"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c r="AN352"/>
      <c r="AO352"/>
      <c r="AP352"/>
      <c r="AQ352"/>
      <c r="AR352"/>
    </row>
    <row r="353" spans="1:44"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c r="AN353"/>
      <c r="AO353"/>
      <c r="AP353"/>
      <c r="AQ353"/>
      <c r="AR353"/>
    </row>
    <row r="354" spans="1:44"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c r="AN354"/>
      <c r="AO354"/>
      <c r="AP354"/>
      <c r="AQ354"/>
      <c r="AR354"/>
    </row>
    <row r="355" spans="1:44"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c r="AN355"/>
      <c r="AO355"/>
      <c r="AP355"/>
      <c r="AQ355"/>
      <c r="AR355"/>
    </row>
    <row r="356" spans="1:44"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c r="AN356"/>
      <c r="AO356"/>
      <c r="AP356"/>
      <c r="AQ356"/>
      <c r="AR356"/>
    </row>
    <row r="357" spans="1:44"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c r="AN357"/>
      <c r="AO357"/>
      <c r="AP357"/>
      <c r="AQ357"/>
      <c r="AR357"/>
    </row>
    <row r="358" spans="1:44"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c r="AO358"/>
      <c r="AP358"/>
      <c r="AQ358"/>
      <c r="AR358"/>
    </row>
    <row r="359" spans="1:44"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c r="AO359"/>
      <c r="AP359"/>
      <c r="AQ359"/>
      <c r="AR359"/>
    </row>
    <row r="360" spans="1:44"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c r="AN360"/>
      <c r="AO360"/>
      <c r="AP360"/>
      <c r="AQ360"/>
      <c r="AR360"/>
    </row>
    <row r="361" spans="1:44"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N361"/>
      <c r="AO361"/>
      <c r="AP361"/>
      <c r="AQ361"/>
      <c r="AR361"/>
    </row>
    <row r="362" spans="1:44"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c r="AN362"/>
      <c r="AO362"/>
      <c r="AP362"/>
      <c r="AQ362"/>
      <c r="AR362"/>
    </row>
    <row r="363" spans="1:44"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c r="AN363"/>
      <c r="AO363"/>
      <c r="AP363"/>
      <c r="AQ363"/>
      <c r="AR363"/>
    </row>
    <row r="364" spans="1:44"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c r="AN364"/>
      <c r="AO364"/>
      <c r="AP364"/>
      <c r="AQ364"/>
      <c r="AR364"/>
    </row>
    <row r="365" spans="1:44"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c r="AN365"/>
      <c r="AO365"/>
      <c r="AP365"/>
      <c r="AQ365"/>
      <c r="AR365"/>
    </row>
    <row r="366" spans="1:44"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c r="AN366"/>
      <c r="AO366"/>
      <c r="AP366"/>
      <c r="AQ366"/>
      <c r="AR366"/>
    </row>
    <row r="367" spans="1:44"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c r="AN367"/>
      <c r="AO367"/>
      <c r="AP367"/>
      <c r="AQ367"/>
      <c r="AR367"/>
    </row>
    <row r="368" spans="1:44"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c r="AN368"/>
      <c r="AO368"/>
      <c r="AP368"/>
      <c r="AQ368"/>
      <c r="AR368"/>
    </row>
    <row r="369" spans="1:44"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c r="AN369"/>
      <c r="AO369"/>
      <c r="AP369"/>
      <c r="AQ369"/>
      <c r="AR369"/>
    </row>
    <row r="370" spans="1:44"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c r="AN370"/>
      <c r="AO370"/>
      <c r="AP370"/>
      <c r="AQ370"/>
      <c r="AR370"/>
    </row>
    <row r="371" spans="1:44"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c r="AN371"/>
      <c r="AO371"/>
      <c r="AP371"/>
      <c r="AQ371"/>
      <c r="AR371"/>
    </row>
    <row r="372" spans="1:44"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row>
    <row r="373" spans="1:44"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c r="AL373"/>
      <c r="AM373"/>
      <c r="AN373"/>
      <c r="AO373"/>
      <c r="AP373"/>
      <c r="AQ373"/>
      <c r="AR373"/>
    </row>
    <row r="374" spans="1:44"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c r="AL374"/>
      <c r="AM374"/>
      <c r="AN374"/>
      <c r="AO374"/>
      <c r="AP374"/>
      <c r="AQ374"/>
      <c r="AR374"/>
    </row>
    <row r="375" spans="1:44"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c r="AN375"/>
      <c r="AO375"/>
      <c r="AP375"/>
      <c r="AQ375"/>
      <c r="AR375"/>
    </row>
    <row r="376" spans="1:44"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c r="AN376"/>
      <c r="AO376"/>
      <c r="AP376"/>
      <c r="AQ376"/>
      <c r="AR376"/>
    </row>
    <row r="377" spans="1:44"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c r="AN377"/>
      <c r="AO377"/>
      <c r="AP377"/>
      <c r="AQ377"/>
      <c r="AR377"/>
    </row>
    <row r="378" spans="1:44"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c r="AL378"/>
      <c r="AM378"/>
      <c r="AN378"/>
      <c r="AO378"/>
      <c r="AP378"/>
      <c r="AQ378"/>
      <c r="AR378"/>
    </row>
    <row r="379" spans="1:44"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c r="AL379"/>
      <c r="AM379"/>
      <c r="AN379"/>
      <c r="AO379"/>
      <c r="AP379"/>
      <c r="AQ379"/>
      <c r="AR379"/>
    </row>
    <row r="380" spans="1:44"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c r="AL380"/>
      <c r="AM380"/>
      <c r="AN380"/>
      <c r="AO380"/>
      <c r="AP380"/>
      <c r="AQ380"/>
      <c r="AR380"/>
    </row>
    <row r="381" spans="1:44"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c r="AN381"/>
      <c r="AO381"/>
      <c r="AP381"/>
      <c r="AQ381"/>
      <c r="AR381"/>
    </row>
    <row r="382" spans="1:44"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c r="AN382"/>
      <c r="AO382"/>
      <c r="AP382"/>
      <c r="AQ382"/>
      <c r="AR382"/>
    </row>
    <row r="383" spans="1:44"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c r="AL383"/>
      <c r="AM383"/>
      <c r="AN383"/>
      <c r="AO383"/>
      <c r="AP383"/>
      <c r="AQ383"/>
      <c r="AR383"/>
    </row>
    <row r="384" spans="1:44"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c r="AN384"/>
      <c r="AO384"/>
      <c r="AP384"/>
      <c r="AQ384"/>
      <c r="AR384"/>
    </row>
    <row r="385" spans="1:44"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c r="AL385"/>
      <c r="AM385"/>
      <c r="AN385"/>
      <c r="AO385"/>
      <c r="AP385"/>
      <c r="AQ385"/>
      <c r="AR385"/>
    </row>
    <row r="386" spans="1:44"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c r="AL386"/>
      <c r="AM386"/>
      <c r="AN386"/>
      <c r="AO386"/>
      <c r="AP386"/>
      <c r="AQ386"/>
      <c r="AR386"/>
    </row>
    <row r="387" spans="1:44"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c r="AL387"/>
      <c r="AM387"/>
      <c r="AN387"/>
      <c r="AO387"/>
      <c r="AP387"/>
      <c r="AQ387"/>
      <c r="AR387"/>
    </row>
    <row r="388" spans="1:44"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c r="AN388"/>
      <c r="AO388"/>
      <c r="AP388"/>
      <c r="AQ388"/>
      <c r="AR388"/>
    </row>
    <row r="389" spans="1:44"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c r="AN389"/>
      <c r="AO389"/>
      <c r="AP389"/>
      <c r="AQ389"/>
      <c r="AR389"/>
    </row>
    <row r="390" spans="1:44"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c r="AN390"/>
      <c r="AO390"/>
      <c r="AP390"/>
      <c r="AQ390"/>
      <c r="AR390"/>
    </row>
    <row r="391" spans="1:44"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c r="AN391"/>
      <c r="AO391"/>
      <c r="AP391"/>
      <c r="AQ391"/>
      <c r="AR391"/>
    </row>
    <row r="392" spans="1:44"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c r="AN392"/>
      <c r="AO392"/>
      <c r="AP392"/>
      <c r="AQ392"/>
      <c r="AR392"/>
    </row>
    <row r="393" spans="1:44"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c r="AN393"/>
      <c r="AO393"/>
      <c r="AP393"/>
      <c r="AQ393"/>
      <c r="AR393"/>
    </row>
    <row r="394" spans="1:44"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c r="AL394"/>
      <c r="AM394"/>
      <c r="AN394"/>
      <c r="AO394"/>
      <c r="AP394"/>
      <c r="AQ394"/>
      <c r="AR394"/>
    </row>
    <row r="395" spans="1:44"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c r="AL395"/>
      <c r="AM395"/>
      <c r="AN395"/>
      <c r="AO395"/>
      <c r="AP395"/>
      <c r="AQ395"/>
      <c r="AR395"/>
    </row>
    <row r="396" spans="1:44"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c r="AO396"/>
      <c r="AP396"/>
      <c r="AQ396"/>
      <c r="AR396"/>
    </row>
    <row r="397" spans="1:44"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c r="AN397"/>
      <c r="AO397"/>
      <c r="AP397"/>
      <c r="AQ397"/>
      <c r="AR397"/>
    </row>
    <row r="398" spans="1:44"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c r="AO398"/>
      <c r="AP398"/>
      <c r="AQ398"/>
      <c r="AR398"/>
    </row>
    <row r="399" spans="1:44"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N399"/>
      <c r="AO399"/>
      <c r="AP399"/>
      <c r="AQ399"/>
      <c r="AR399"/>
    </row>
    <row r="400" spans="1:44"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c r="AL400"/>
      <c r="AM400"/>
      <c r="AN400"/>
      <c r="AO400"/>
      <c r="AP400"/>
      <c r="AQ400"/>
      <c r="AR400"/>
    </row>
    <row r="401" spans="1:44"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c r="AL401"/>
      <c r="AM401"/>
      <c r="AN401"/>
      <c r="AO401"/>
      <c r="AP401"/>
      <c r="AQ401"/>
      <c r="AR401"/>
    </row>
    <row r="402" spans="1:44"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c r="AN402"/>
      <c r="AO402"/>
      <c r="AP402"/>
      <c r="AQ402"/>
      <c r="AR402"/>
    </row>
    <row r="403" spans="1:44"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c r="AL403"/>
      <c r="AM403"/>
      <c r="AN403"/>
      <c r="AO403"/>
      <c r="AP403"/>
      <c r="AQ403"/>
      <c r="AR403"/>
    </row>
    <row r="404" spans="1:44"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c r="AL404"/>
      <c r="AM404"/>
      <c r="AN404"/>
      <c r="AO404"/>
      <c r="AP404"/>
      <c r="AQ404"/>
      <c r="AR404"/>
    </row>
    <row r="405" spans="1:44"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c r="AL405"/>
      <c r="AM405"/>
      <c r="AN405"/>
      <c r="AO405"/>
      <c r="AP405"/>
      <c r="AQ405"/>
      <c r="AR405"/>
    </row>
    <row r="406" spans="1:44"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c r="AL406"/>
      <c r="AM406"/>
      <c r="AN406"/>
      <c r="AO406"/>
      <c r="AP406"/>
      <c r="AQ406"/>
      <c r="AR406"/>
    </row>
    <row r="407" spans="1:44"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c r="AL407"/>
      <c r="AM407"/>
      <c r="AN407"/>
      <c r="AO407"/>
      <c r="AP407"/>
      <c r="AQ407"/>
      <c r="AR407"/>
    </row>
    <row r="408" spans="1:44"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c r="AL408"/>
      <c r="AM408"/>
      <c r="AN408"/>
      <c r="AO408"/>
      <c r="AP408"/>
      <c r="AQ408"/>
      <c r="AR408"/>
    </row>
    <row r="409" spans="1:44"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c r="AL409"/>
      <c r="AM409"/>
      <c r="AN409"/>
      <c r="AO409"/>
      <c r="AP409"/>
      <c r="AQ409"/>
      <c r="AR409"/>
    </row>
    <row r="410" spans="1:44"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c r="AL410"/>
      <c r="AM410"/>
      <c r="AN410"/>
      <c r="AO410"/>
      <c r="AP410"/>
      <c r="AQ410"/>
      <c r="AR410"/>
    </row>
    <row r="411" spans="1:44"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c r="AL411"/>
      <c r="AM411"/>
      <c r="AN411"/>
      <c r="AO411"/>
      <c r="AP411"/>
      <c r="AQ411"/>
      <c r="AR411"/>
    </row>
    <row r="412" spans="1:44"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c r="AN412"/>
      <c r="AO412"/>
      <c r="AP412"/>
      <c r="AQ412"/>
      <c r="AR412"/>
    </row>
    <row r="413" spans="1:44"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c r="AN413"/>
      <c r="AO413"/>
      <c r="AP413"/>
      <c r="AQ413"/>
      <c r="AR413"/>
    </row>
    <row r="414" spans="1:44"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c r="AL414"/>
      <c r="AM414"/>
      <c r="AN414"/>
      <c r="AO414"/>
      <c r="AP414"/>
      <c r="AQ414"/>
      <c r="AR414"/>
    </row>
    <row r="415" spans="1:44"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c r="AL415"/>
      <c r="AM415"/>
      <c r="AN415"/>
      <c r="AO415"/>
      <c r="AP415"/>
      <c r="AQ415"/>
      <c r="AR415"/>
    </row>
    <row r="416" spans="1:44"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c r="AN416"/>
      <c r="AO416"/>
      <c r="AP416"/>
      <c r="AQ416"/>
      <c r="AR416"/>
    </row>
    <row r="417" spans="1:44"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c r="AN417"/>
      <c r="AO417"/>
      <c r="AP417"/>
      <c r="AQ417"/>
      <c r="AR417"/>
    </row>
    <row r="418" spans="1:44"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c r="AN418"/>
      <c r="AO418"/>
      <c r="AP418"/>
      <c r="AQ418"/>
      <c r="AR418"/>
    </row>
    <row r="419" spans="1:44"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c r="AN419"/>
      <c r="AO419"/>
      <c r="AP419"/>
      <c r="AQ419"/>
      <c r="AR419"/>
    </row>
    <row r="420" spans="1:44"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c r="AN420"/>
      <c r="AO420"/>
      <c r="AP420"/>
      <c r="AQ420"/>
      <c r="AR420"/>
    </row>
    <row r="421" spans="1:44"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c r="AN421"/>
      <c r="AO421"/>
      <c r="AP421"/>
      <c r="AQ421"/>
      <c r="AR421"/>
    </row>
    <row r="422" spans="1:44"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c r="AN422"/>
      <c r="AO422"/>
      <c r="AP422"/>
      <c r="AQ422"/>
      <c r="AR422"/>
    </row>
    <row r="423" spans="1:44"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c r="AN423"/>
      <c r="AO423"/>
      <c r="AP423"/>
      <c r="AQ423"/>
      <c r="AR423"/>
    </row>
    <row r="424" spans="1:44"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c r="AN424"/>
      <c r="AO424"/>
      <c r="AP424"/>
      <c r="AQ424"/>
      <c r="AR424"/>
    </row>
    <row r="425" spans="1:44"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c r="AN425"/>
      <c r="AO425"/>
      <c r="AP425"/>
      <c r="AQ425"/>
      <c r="AR425"/>
    </row>
    <row r="426" spans="1:44"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c r="AN426"/>
      <c r="AO426"/>
      <c r="AP426"/>
      <c r="AQ426"/>
      <c r="AR426"/>
    </row>
    <row r="427" spans="1:44"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c r="AN427"/>
      <c r="AO427"/>
      <c r="AP427"/>
      <c r="AQ427"/>
      <c r="AR427"/>
    </row>
    <row r="428" spans="1:44"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c r="AN428"/>
      <c r="AO428"/>
      <c r="AP428"/>
      <c r="AQ428"/>
      <c r="AR428"/>
    </row>
    <row r="429" spans="1:44"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c r="AN429"/>
      <c r="AO429"/>
      <c r="AP429"/>
      <c r="AQ429"/>
      <c r="AR429"/>
    </row>
    <row r="430" spans="1:44"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c r="AN430"/>
      <c r="AO430"/>
      <c r="AP430"/>
      <c r="AQ430"/>
    </row>
    <row r="431" spans="1:44"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c r="AN431"/>
      <c r="AO431"/>
      <c r="AP431"/>
      <c r="AQ431"/>
    </row>
    <row r="432" spans="1:44"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c r="AN432"/>
      <c r="AO432"/>
      <c r="AP432"/>
      <c r="AQ432"/>
    </row>
    <row r="433" spans="1:43"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c r="AN433"/>
      <c r="AO433"/>
      <c r="AP433"/>
      <c r="AQ433"/>
    </row>
    <row r="434" spans="1:43"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c r="AN434"/>
      <c r="AO434"/>
      <c r="AP434"/>
      <c r="AQ434"/>
    </row>
    <row r="435" spans="1:43"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c r="AN435"/>
      <c r="AO435"/>
      <c r="AP435"/>
      <c r="AQ435"/>
    </row>
    <row r="436" spans="1:43"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c r="AN436"/>
      <c r="AO436"/>
      <c r="AP436"/>
      <c r="AQ436"/>
    </row>
    <row r="437" spans="1:43"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c r="AL437"/>
      <c r="AM437"/>
      <c r="AN437"/>
      <c r="AO437"/>
      <c r="AP437"/>
      <c r="AQ437"/>
    </row>
    <row r="438" spans="1:43"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row>
    <row r="439" spans="1:43"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c r="AL439"/>
      <c r="AM439"/>
      <c r="AN439"/>
      <c r="AO439"/>
      <c r="AP439"/>
      <c r="AQ439"/>
    </row>
    <row r="440" spans="1:43"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c r="AL440"/>
      <c r="AM440"/>
      <c r="AN440"/>
      <c r="AO440"/>
      <c r="AP440"/>
      <c r="AQ440"/>
    </row>
    <row r="441" spans="1:43"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c r="AL441"/>
      <c r="AM441"/>
      <c r="AN441"/>
      <c r="AO441"/>
      <c r="AP441"/>
      <c r="AQ441"/>
    </row>
    <row r="442" spans="1:43"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c r="AL442"/>
      <c r="AM442"/>
      <c r="AN442"/>
      <c r="AO442"/>
      <c r="AP442"/>
      <c r="AQ442"/>
    </row>
    <row r="443" spans="1:43"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c r="AL443"/>
      <c r="AM443"/>
      <c r="AN443"/>
      <c r="AO443"/>
      <c r="AP443"/>
      <c r="AQ443"/>
    </row>
    <row r="444" spans="1:43"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c r="AL444"/>
      <c r="AM444"/>
      <c r="AN444"/>
      <c r="AO444"/>
      <c r="AP444"/>
      <c r="AQ444"/>
    </row>
    <row r="445" spans="1:43"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c r="AL445"/>
      <c r="AM445"/>
      <c r="AN445"/>
      <c r="AO445"/>
      <c r="AP445"/>
      <c r="AQ445"/>
    </row>
    <row r="446" spans="1:43"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c r="AL446"/>
      <c r="AM446"/>
      <c r="AN446"/>
      <c r="AO446"/>
      <c r="AP446"/>
      <c r="AQ446"/>
    </row>
    <row r="447" spans="1:43"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c r="AL447"/>
      <c r="AM447"/>
      <c r="AN447"/>
      <c r="AO447"/>
      <c r="AP447"/>
      <c r="AQ447"/>
    </row>
    <row r="448" spans="1:43"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c r="AL448"/>
      <c r="AM448"/>
      <c r="AN448"/>
      <c r="AO448"/>
      <c r="AP448"/>
      <c r="AQ448"/>
    </row>
    <row r="449" spans="1:43"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c r="AL449"/>
      <c r="AM449"/>
      <c r="AN449"/>
      <c r="AO449"/>
      <c r="AP449"/>
      <c r="AQ449"/>
    </row>
    <row r="450" spans="1:43"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c r="AL450"/>
      <c r="AM450"/>
      <c r="AN450"/>
      <c r="AO450"/>
      <c r="AP450"/>
      <c r="AQ450"/>
    </row>
    <row r="451" spans="1:43"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c r="AL451"/>
      <c r="AM451"/>
      <c r="AN451"/>
      <c r="AO451"/>
      <c r="AP451"/>
      <c r="AQ451"/>
    </row>
    <row r="452" spans="1:43"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c r="AL452"/>
      <c r="AM452"/>
      <c r="AN452"/>
      <c r="AO452"/>
      <c r="AP452"/>
      <c r="AQ452"/>
    </row>
    <row r="453" spans="1:43"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c r="AL453"/>
      <c r="AM453"/>
      <c r="AN453"/>
      <c r="AO453"/>
      <c r="AP453"/>
      <c r="AQ453"/>
    </row>
    <row r="454" spans="1:43"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c r="AL454"/>
      <c r="AM454"/>
      <c r="AN454"/>
      <c r="AO454"/>
      <c r="AP454"/>
      <c r="AQ454"/>
    </row>
    <row r="455" spans="1:43"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c r="AL455"/>
      <c r="AM455"/>
      <c r="AN455"/>
      <c r="AO455"/>
      <c r="AP455"/>
      <c r="AQ455"/>
    </row>
  </sheetData>
  <autoFilter ref="A12:K15" xr:uid="{B619E7BB-2E35-43D0-9D8E-769948A359B2}"/>
  <mergeCells count="10">
    <mergeCell ref="A1:G1"/>
    <mergeCell ref="A4:C4"/>
    <mergeCell ref="E4:G4"/>
    <mergeCell ref="I4:K4"/>
    <mergeCell ref="B11:C11"/>
    <mergeCell ref="D11:E11"/>
    <mergeCell ref="F11:G11"/>
    <mergeCell ref="H11:I11"/>
    <mergeCell ref="J11:K11"/>
    <mergeCell ref="B10:K10"/>
  </mergeCells>
  <conditionalFormatting sqref="B13:B15">
    <cfRule type="cellIs" dxfId="170" priority="1" stopIfTrue="1" operator="greaterThan">
      <formula>0</formula>
    </cfRule>
    <cfRule type="cellIs" dxfId="169" priority="2" stopIfTrue="1" operator="lessThan">
      <formula>0</formula>
    </cfRule>
  </conditionalFormatting>
  <conditionalFormatting sqref="D13:D15">
    <cfRule type="cellIs" dxfId="168" priority="3" stopIfTrue="1" operator="greaterThan">
      <formula>0</formula>
    </cfRule>
    <cfRule type="cellIs" dxfId="167" priority="4" stopIfTrue="1" operator="lessThan">
      <formula>0</formula>
    </cfRule>
  </conditionalFormatting>
  <conditionalFormatting sqref="F13:F15">
    <cfRule type="cellIs" dxfId="166" priority="5" stopIfTrue="1" operator="greaterThan">
      <formula>0</formula>
    </cfRule>
    <cfRule type="cellIs" dxfId="165" priority="6" stopIfTrue="1" operator="lessThan">
      <formula>0</formula>
    </cfRule>
  </conditionalFormatting>
  <conditionalFormatting sqref="H13:H15">
    <cfRule type="cellIs" dxfId="164" priority="7" stopIfTrue="1" operator="greaterThan">
      <formula>0</formula>
    </cfRule>
    <cfRule type="cellIs" dxfId="163" priority="8" stopIfTrue="1" operator="lessThan">
      <formula>0</formula>
    </cfRule>
  </conditionalFormatting>
  <conditionalFormatting sqref="J13:J15">
    <cfRule type="cellIs" dxfId="162" priority="9" stopIfTrue="1" operator="greaterThan">
      <formula>0</formula>
    </cfRule>
    <cfRule type="cellIs" dxfId="161" priority="10" stopIfTrue="1" operator="lessThan">
      <formula>0</formula>
    </cfRule>
  </conditionalFormatting>
  <dataValidations count="2">
    <dataValidation type="list" allowBlank="1" showInputMessage="1" showErrorMessage="1" sqref="B2" xr:uid="{912B908B-5934-417A-BCB1-8E523B5ADFE5}">
      <formula1>"January,February,March"</formula1>
    </dataValidation>
    <dataValidation type="list" allowBlank="1" showInputMessage="1" showErrorMessage="1" sqref="G2" xr:uid="{7E3FBC8A-4EEF-4071-B4E4-084644DB6E2A}">
      <formula1>"All,Jo,Kelsey,Weston"</formula1>
    </dataValidation>
  </dataValidations>
  <printOptions horizontalCentered="1"/>
  <pageMargins left="0.25" right="0.25" top="0.35" bottom="0.35" header="0.2" footer="0.2"/>
  <pageSetup scale="52" orientation="portrait" r:id="rId1"/>
  <colBreaks count="1" manualBreakCount="1">
    <brk id="11" min="34" max="4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256EFB-8A68-4950-A7A1-4420B3523177}">
  <sheetPr codeName="Sheet38">
    <tabColor theme="4" tint="0.39997558519241921"/>
  </sheetPr>
  <dimension ref="A2:K66"/>
  <sheetViews>
    <sheetView topLeftCell="A52" zoomScaleNormal="100" workbookViewId="0">
      <selection activeCell="G2" sqref="G2"/>
    </sheetView>
  </sheetViews>
  <sheetFormatPr defaultRowHeight="15" x14ac:dyDescent="0.25"/>
  <cols>
    <col min="1" max="1" width="30.7109375" customWidth="1"/>
    <col min="2" max="2" width="14.28515625" customWidth="1"/>
    <col min="3" max="3" width="12.7109375" customWidth="1"/>
    <col min="4" max="4" width="22.85546875" customWidth="1"/>
    <col min="5" max="5" width="17.7109375" customWidth="1"/>
    <col min="6" max="8" width="12.7109375" customWidth="1"/>
    <col min="9" max="9" width="8.42578125" customWidth="1"/>
    <col min="10" max="12" width="12.7109375" customWidth="1"/>
  </cols>
  <sheetData>
    <row r="2" spans="1:7" s="621" customFormat="1" ht="30" customHeight="1" x14ac:dyDescent="0.25">
      <c r="A2" s="633" t="s">
        <v>226</v>
      </c>
      <c r="B2" s="692" t="s">
        <v>34</v>
      </c>
      <c r="F2" s="633" t="s">
        <v>259</v>
      </c>
      <c r="G2" s="692" t="s">
        <v>241</v>
      </c>
    </row>
    <row r="3" spans="1:7" ht="14.45" customHeight="1" x14ac:dyDescent="0.25"/>
    <row r="4" spans="1:7" ht="30" customHeight="1" x14ac:dyDescent="0.25"/>
    <row r="5" spans="1:7" ht="30" customHeight="1" x14ac:dyDescent="0.25"/>
    <row r="6" spans="1:7" ht="30" customHeight="1" x14ac:dyDescent="0.25"/>
    <row r="7" spans="1:7" ht="30" customHeight="1" x14ac:dyDescent="0.25"/>
    <row r="8" spans="1:7" ht="30" customHeight="1" x14ac:dyDescent="0.25"/>
    <row r="9" spans="1:7" ht="30" customHeight="1" x14ac:dyDescent="0.25"/>
    <row r="10" spans="1:7" ht="30" customHeight="1" x14ac:dyDescent="0.25"/>
    <row r="11" spans="1:7" ht="30" customHeight="1" x14ac:dyDescent="0.25"/>
    <row r="12" spans="1:7" ht="30" customHeight="1" x14ac:dyDescent="0.25"/>
    <row r="13" spans="1:7" ht="30" customHeight="1" x14ac:dyDescent="0.25"/>
    <row r="14" spans="1:7" ht="30" customHeight="1" x14ac:dyDescent="0.25"/>
    <row r="15" spans="1:7" ht="30" customHeight="1" x14ac:dyDescent="0.25"/>
    <row r="16" spans="1:7" ht="30" customHeight="1" x14ac:dyDescent="0.25"/>
    <row r="17" spans="10:11" ht="30" customHeight="1" x14ac:dyDescent="0.25"/>
    <row r="18" spans="10:11" ht="30" customHeight="1" x14ac:dyDescent="0.25"/>
    <row r="19" spans="10:11" ht="30" customHeight="1" x14ac:dyDescent="0.25"/>
    <row r="20" spans="10:11" ht="30" customHeight="1" x14ac:dyDescent="0.25"/>
    <row r="21" spans="10:11" ht="30" customHeight="1" x14ac:dyDescent="0.25"/>
    <row r="22" spans="10:11" ht="30" customHeight="1" x14ac:dyDescent="0.25"/>
    <row r="23" spans="10:11" ht="30" customHeight="1" x14ac:dyDescent="0.25"/>
    <row r="24" spans="10:11" ht="30" customHeight="1" x14ac:dyDescent="0.25"/>
    <row r="25" spans="10:11" ht="30" customHeight="1" x14ac:dyDescent="0.25"/>
    <row r="26" spans="10:11" ht="30" customHeight="1" x14ac:dyDescent="0.25"/>
    <row r="27" spans="10:11" ht="30" customHeight="1" x14ac:dyDescent="0.25"/>
    <row r="28" spans="10:11" ht="30" customHeight="1" x14ac:dyDescent="0.25"/>
    <row r="29" spans="10:11" ht="30" customHeight="1" x14ac:dyDescent="0.25"/>
    <row r="30" spans="10:11" ht="30" customHeight="1" x14ac:dyDescent="0.25"/>
    <row r="31" spans="10:11" ht="30" customHeight="1" x14ac:dyDescent="0.25"/>
    <row r="32" spans="10:11" ht="30" customHeight="1" x14ac:dyDescent="0.25">
      <c r="J32" s="633" t="s">
        <v>240</v>
      </c>
      <c r="K32" s="692" t="s">
        <v>241</v>
      </c>
    </row>
    <row r="33" ht="30" customHeight="1" x14ac:dyDescent="0.25"/>
    <row r="34" ht="30" customHeight="1" x14ac:dyDescent="0.25"/>
    <row r="35" ht="30" customHeight="1" x14ac:dyDescent="0.25"/>
    <row r="36" ht="30" customHeight="1" x14ac:dyDescent="0.25"/>
    <row r="37" ht="30" customHeight="1" x14ac:dyDescent="0.25"/>
    <row r="38" ht="30" customHeight="1" x14ac:dyDescent="0.25"/>
    <row r="39" ht="30" customHeight="1" x14ac:dyDescent="0.25"/>
    <row r="40" ht="30" customHeight="1" x14ac:dyDescent="0.25"/>
    <row r="41" ht="30" customHeight="1" x14ac:dyDescent="0.25"/>
    <row r="42" ht="41.45" customHeight="1" x14ac:dyDescent="0.25"/>
    <row r="43" ht="30" customHeight="1" x14ac:dyDescent="0.25"/>
    <row r="44" ht="30" customHeight="1" x14ac:dyDescent="0.25"/>
    <row r="45" ht="30" customHeight="1" x14ac:dyDescent="0.25"/>
    <row r="46" ht="30" customHeight="1" x14ac:dyDescent="0.25"/>
    <row r="47" ht="30" customHeight="1" x14ac:dyDescent="0.25"/>
    <row r="48" ht="30" customHeight="1" x14ac:dyDescent="0.25"/>
    <row r="49" spans="1:5" ht="30" customHeight="1" x14ac:dyDescent="0.25"/>
    <row r="50" spans="1:5" ht="30" customHeight="1" x14ac:dyDescent="0.25"/>
    <row r="51" spans="1:5" ht="30" customHeight="1" x14ac:dyDescent="0.25"/>
    <row r="52" spans="1:5" ht="30" customHeight="1" x14ac:dyDescent="0.25"/>
    <row r="53" spans="1:5" ht="46.15" customHeight="1" x14ac:dyDescent="0.25"/>
    <row r="54" spans="1:5" ht="30" customHeight="1" x14ac:dyDescent="0.25">
      <c r="A54" s="798" t="s">
        <v>268</v>
      </c>
      <c r="B54" s="798"/>
      <c r="D54" s="799" t="s">
        <v>269</v>
      </c>
      <c r="E54" s="799"/>
    </row>
    <row r="55" spans="1:5" ht="30" customHeight="1" x14ac:dyDescent="0.25">
      <c r="A55" s="687" t="s">
        <v>267</v>
      </c>
      <c r="B55" s="687" t="s">
        <v>115</v>
      </c>
      <c r="D55" s="687" t="s">
        <v>266</v>
      </c>
      <c r="E55" s="687" t="s">
        <v>136</v>
      </c>
    </row>
    <row r="56" spans="1:5" ht="30" customHeight="1" x14ac:dyDescent="0.25">
      <c r="A56" s="683" t="s">
        <v>25</v>
      </c>
      <c r="B56" s="684">
        <v>0</v>
      </c>
      <c r="D56" s="683" t="s">
        <v>247</v>
      </c>
      <c r="E56" s="685">
        <v>3</v>
      </c>
    </row>
    <row r="57" spans="1:5" ht="30" customHeight="1" x14ac:dyDescent="0.25">
      <c r="A57" s="683" t="s">
        <v>262</v>
      </c>
      <c r="B57" s="684">
        <v>0</v>
      </c>
      <c r="D57" s="683" t="s">
        <v>249</v>
      </c>
      <c r="E57" s="685">
        <v>2</v>
      </c>
    </row>
    <row r="58" spans="1:5" ht="30" customHeight="1" x14ac:dyDescent="0.25">
      <c r="A58" s="683" t="s">
        <v>263</v>
      </c>
      <c r="B58" s="684">
        <v>0</v>
      </c>
    </row>
    <row r="59" spans="1:5" ht="30" customHeight="1" x14ac:dyDescent="0.25">
      <c r="A59" s="683" t="s">
        <v>264</v>
      </c>
      <c r="B59" s="684">
        <v>0</v>
      </c>
    </row>
    <row r="60" spans="1:5" ht="30" customHeight="1" x14ac:dyDescent="0.25">
      <c r="A60" s="683" t="s">
        <v>35</v>
      </c>
      <c r="B60" s="684">
        <v>0</v>
      </c>
    </row>
    <row r="61" spans="1:5" ht="30" customHeight="1" x14ac:dyDescent="0.25">
      <c r="A61" s="683" t="s">
        <v>265</v>
      </c>
      <c r="B61" s="684">
        <v>0</v>
      </c>
    </row>
    <row r="62" spans="1:5" ht="30" customHeight="1" x14ac:dyDescent="0.25"/>
    <row r="63" spans="1:5" ht="30" customHeight="1" x14ac:dyDescent="0.25"/>
    <row r="64" spans="1:5" ht="30" customHeight="1" x14ac:dyDescent="0.25"/>
    <row r="65" ht="30" customHeight="1" x14ac:dyDescent="0.25"/>
    <row r="66" ht="30" customHeight="1" x14ac:dyDescent="0.25"/>
  </sheetData>
  <mergeCells count="2">
    <mergeCell ref="A54:B54"/>
    <mergeCell ref="D54:E54"/>
  </mergeCells>
  <dataValidations count="3">
    <dataValidation type="list" allowBlank="1" showInputMessage="1" showErrorMessage="1" sqref="B2" xr:uid="{6F0B0B8B-EA22-413E-A175-231ABF3947DF}">
      <formula1>"January,February,March"</formula1>
    </dataValidation>
    <dataValidation type="list" allowBlank="1" showInputMessage="1" showErrorMessage="1" sqref="K32" xr:uid="{4DBDD014-F6A1-4F2C-B161-700C9CED1B4C}">
      <formula1>"All,Jo,Kelsey,Weston"</formula1>
    </dataValidation>
    <dataValidation type="list" allowBlank="1" showInputMessage="1" showErrorMessage="1" sqref="G2" xr:uid="{4D071C05-9128-4279-8017-F234EB33420C}">
      <formula1>"All,Amie"</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D8D5CA-4EF1-49A2-BEFD-2F939DF91EB1}">
  <sheetPr>
    <tabColor rgb="FF7030A0"/>
    <pageSetUpPr fitToPage="1"/>
  </sheetPr>
  <dimension ref="A1:T37"/>
  <sheetViews>
    <sheetView topLeftCell="A3" workbookViewId="0">
      <selection activeCell="X8" sqref="X8"/>
    </sheetView>
  </sheetViews>
  <sheetFormatPr defaultRowHeight="15" x14ac:dyDescent="0.25"/>
  <cols>
    <col min="1" max="1" width="4" customWidth="1"/>
    <col min="2" max="2" width="3.85546875" customWidth="1"/>
    <col min="3" max="3" width="5.5703125" style="1" customWidth="1"/>
    <col min="4" max="4" width="5.28515625" customWidth="1"/>
    <col min="5" max="5" width="1" customWidth="1"/>
    <col min="6" max="6" width="5.7109375" customWidth="1"/>
    <col min="7" max="7" width="4" customWidth="1"/>
    <col min="8" max="8" width="2" customWidth="1"/>
    <col min="9" max="9" width="8.5703125" customWidth="1"/>
    <col min="10" max="10" width="3.42578125" customWidth="1"/>
    <col min="11" max="11" width="5.85546875" customWidth="1"/>
    <col min="12" max="12" width="3.5703125" customWidth="1"/>
    <col min="13" max="13" width="2.140625" customWidth="1"/>
    <col min="14" max="14" width="11.85546875" customWidth="1"/>
    <col min="15" max="15" width="3.42578125" customWidth="1"/>
    <col min="16" max="16" width="11.28515625" customWidth="1"/>
    <col min="17" max="17" width="3.42578125" customWidth="1"/>
    <col min="18" max="18" width="11.28515625" customWidth="1"/>
    <col min="19" max="19" width="2.28515625" customWidth="1"/>
    <col min="20" max="20" width="18.7109375" customWidth="1"/>
  </cols>
  <sheetData>
    <row r="1" spans="1:20" hidden="1" x14ac:dyDescent="0.25"/>
    <row r="2" spans="1:20" hidden="1" x14ac:dyDescent="0.25"/>
    <row r="3" spans="1:20" ht="23.25" x14ac:dyDescent="0.25">
      <c r="B3" s="20"/>
      <c r="C3" s="20"/>
      <c r="D3" s="850" t="s">
        <v>198</v>
      </c>
      <c r="E3" s="850"/>
      <c r="F3" s="850"/>
      <c r="G3" s="850"/>
      <c r="H3" s="850"/>
      <c r="I3" s="850"/>
      <c r="J3" s="850"/>
      <c r="K3" s="850"/>
      <c r="L3" s="850"/>
      <c r="M3" s="850"/>
      <c r="N3" s="20"/>
      <c r="O3" s="20"/>
      <c r="P3" s="20"/>
      <c r="Q3" s="20"/>
      <c r="R3" s="20"/>
      <c r="S3" s="20"/>
      <c r="T3" s="20"/>
    </row>
    <row r="4" spans="1:20" ht="21.75" thickBot="1" x14ac:dyDescent="0.4">
      <c r="B4" s="695" t="s">
        <v>199</v>
      </c>
      <c r="D4" s="696"/>
      <c r="E4" s="2"/>
      <c r="F4" s="2"/>
      <c r="G4" s="2"/>
      <c r="H4" s="2"/>
      <c r="I4" s="2"/>
      <c r="K4" s="837" t="s">
        <v>274</v>
      </c>
      <c r="L4" s="837"/>
      <c r="M4" s="697"/>
      <c r="N4" s="2"/>
      <c r="O4" s="2"/>
    </row>
    <row r="5" spans="1:20" ht="21.75" thickBot="1" x14ac:dyDescent="0.4">
      <c r="A5" s="695"/>
    </row>
    <row r="6" spans="1:20" ht="21.75" thickBot="1" x14ac:dyDescent="0.4">
      <c r="A6" s="695"/>
      <c r="E6" s="838" t="s">
        <v>275</v>
      </c>
      <c r="F6" s="839"/>
      <c r="G6" s="839"/>
      <c r="H6" s="839"/>
      <c r="I6" s="839"/>
      <c r="J6" s="839"/>
      <c r="K6" s="839"/>
      <c r="L6" s="839"/>
      <c r="M6" s="839"/>
      <c r="N6" s="839"/>
      <c r="O6" s="839"/>
      <c r="P6" s="839"/>
      <c r="Q6" s="839"/>
      <c r="R6" s="840"/>
    </row>
    <row r="7" spans="1:20" s="3" customFormat="1" ht="45.75" thickBot="1" x14ac:dyDescent="0.3">
      <c r="A7" s="802" t="s">
        <v>276</v>
      </c>
      <c r="B7" s="802"/>
      <c r="C7" s="802"/>
      <c r="D7" s="802"/>
      <c r="E7" s="841"/>
      <c r="F7" s="842"/>
      <c r="G7" s="843"/>
      <c r="H7" s="699"/>
      <c r="I7" s="700" t="s">
        <v>277</v>
      </c>
      <c r="N7" s="701" t="s">
        <v>278</v>
      </c>
      <c r="O7" s="633"/>
      <c r="P7" s="299" t="s">
        <v>279</v>
      </c>
      <c r="Q7" s="633"/>
      <c r="R7" s="844" t="s">
        <v>280</v>
      </c>
      <c r="S7" s="633"/>
      <c r="T7" s="633"/>
    </row>
    <row r="8" spans="1:20" s="3" customFormat="1" ht="24" thickBot="1" x14ac:dyDescent="0.3">
      <c r="A8" s="802" t="s">
        <v>281</v>
      </c>
      <c r="B8" s="802"/>
      <c r="C8" s="802"/>
      <c r="D8" s="802"/>
      <c r="E8" s="841"/>
      <c r="F8" s="842"/>
      <c r="G8" s="843"/>
      <c r="H8" s="702"/>
      <c r="I8" s="703"/>
      <c r="J8" s="704" t="s">
        <v>282</v>
      </c>
      <c r="K8" s="694">
        <v>60</v>
      </c>
      <c r="L8" s="845" t="s">
        <v>283</v>
      </c>
      <c r="M8" s="846"/>
      <c r="N8" s="703"/>
      <c r="O8" s="705" t="s">
        <v>284</v>
      </c>
      <c r="P8" s="706"/>
      <c r="Q8" s="847" t="s">
        <v>283</v>
      </c>
      <c r="R8" s="844"/>
      <c r="S8" s="621"/>
      <c r="T8" s="621"/>
    </row>
    <row r="9" spans="1:20" s="3" customFormat="1" ht="24" thickBot="1" x14ac:dyDescent="0.3">
      <c r="A9" s="698"/>
      <c r="B9" s="698"/>
      <c r="C9" s="698"/>
      <c r="D9" s="698"/>
      <c r="E9" s="699"/>
      <c r="F9" s="699"/>
      <c r="G9" s="699"/>
      <c r="H9" s="707"/>
      <c r="I9" s="707"/>
      <c r="J9" s="708"/>
      <c r="K9" s="708"/>
      <c r="L9" s="693"/>
      <c r="M9" s="693"/>
      <c r="N9" s="621"/>
      <c r="O9" s="621"/>
      <c r="P9" s="828" t="s">
        <v>284</v>
      </c>
      <c r="Q9" s="848"/>
      <c r="R9" s="830"/>
      <c r="S9" s="621"/>
      <c r="T9" s="621"/>
    </row>
    <row r="10" spans="1:20" s="711" customFormat="1" ht="32.25" thickBot="1" x14ac:dyDescent="0.3">
      <c r="A10" s="802" t="s">
        <v>285</v>
      </c>
      <c r="B10" s="802"/>
      <c r="C10" s="802"/>
      <c r="D10" s="802"/>
      <c r="E10" s="832"/>
      <c r="F10" s="833"/>
      <c r="G10" s="834"/>
      <c r="H10" s="709"/>
      <c r="I10" s="298" t="s">
        <v>277</v>
      </c>
      <c r="J10" s="708"/>
      <c r="K10" s="708"/>
      <c r="L10" s="708"/>
      <c r="M10" s="708"/>
      <c r="N10" s="710"/>
      <c r="P10" s="829"/>
      <c r="Q10" s="848"/>
      <c r="R10" s="831"/>
    </row>
    <row r="11" spans="1:20" s="3" customFormat="1" ht="27" thickBot="1" x14ac:dyDescent="0.3">
      <c r="A11" s="802" t="s">
        <v>286</v>
      </c>
      <c r="B11" s="802"/>
      <c r="C11" s="802"/>
      <c r="D11" s="802"/>
      <c r="E11" s="832"/>
      <c r="F11" s="833"/>
      <c r="G11" s="834"/>
      <c r="H11" s="712"/>
      <c r="I11" s="703"/>
      <c r="J11" s="713" t="s">
        <v>287</v>
      </c>
      <c r="K11" s="714">
        <v>60</v>
      </c>
      <c r="L11" s="835" t="s">
        <v>283</v>
      </c>
      <c r="M11" s="836"/>
      <c r="N11" s="703"/>
      <c r="O11" s="715" t="s">
        <v>284</v>
      </c>
      <c r="P11" s="706"/>
      <c r="Q11" s="849"/>
      <c r="R11" s="716"/>
      <c r="S11" s="621"/>
      <c r="T11" s="621"/>
    </row>
    <row r="12" spans="1:20" s="3" customFormat="1" ht="19.5" thickBot="1" x14ac:dyDescent="0.3">
      <c r="A12" s="709"/>
      <c r="B12" s="707"/>
      <c r="C12" s="707"/>
      <c r="P12" s="717"/>
    </row>
    <row r="13" spans="1:20" s="3" customFormat="1" ht="19.5" thickBot="1" x14ac:dyDescent="0.3">
      <c r="A13" s="709"/>
      <c r="B13" s="707"/>
      <c r="C13" s="707"/>
      <c r="E13" s="819" t="s">
        <v>288</v>
      </c>
      <c r="F13" s="820"/>
      <c r="G13" s="820"/>
      <c r="H13" s="820"/>
      <c r="I13" s="820"/>
      <c r="J13" s="820"/>
      <c r="K13" s="820"/>
      <c r="L13" s="821"/>
      <c r="M13" s="718"/>
      <c r="N13" s="819" t="s">
        <v>289</v>
      </c>
      <c r="O13" s="820"/>
      <c r="P13" s="820"/>
      <c r="Q13" s="820"/>
      <c r="R13" s="821"/>
    </row>
    <row r="14" spans="1:20" s="3" customFormat="1" ht="19.5" thickBot="1" x14ac:dyDescent="0.3">
      <c r="A14" s="709"/>
      <c r="B14" s="707"/>
      <c r="C14" s="707"/>
      <c r="E14" s="719"/>
      <c r="H14" s="822" t="s">
        <v>290</v>
      </c>
      <c r="I14" s="822"/>
      <c r="K14" s="823" t="s">
        <v>137</v>
      </c>
      <c r="L14" s="824"/>
      <c r="M14" s="299"/>
      <c r="N14" s="825" t="s">
        <v>291</v>
      </c>
      <c r="O14" s="825"/>
      <c r="P14" s="825"/>
      <c r="Q14" s="826"/>
      <c r="R14" s="827"/>
    </row>
    <row r="15" spans="1:20" s="3" customFormat="1" ht="23.25" x14ac:dyDescent="0.25">
      <c r="A15" s="816" t="s">
        <v>292</v>
      </c>
      <c r="B15" s="816"/>
      <c r="C15" s="816"/>
      <c r="D15" s="816"/>
      <c r="E15" s="719"/>
      <c r="F15" s="720">
        <f>+Setup_and_Criteria!F13</f>
        <v>29</v>
      </c>
      <c r="G15" s="694" t="s">
        <v>287</v>
      </c>
      <c r="H15" s="803"/>
      <c r="I15" s="803"/>
      <c r="J15" s="705" t="s">
        <v>283</v>
      </c>
      <c r="K15" s="817"/>
      <c r="L15" s="818"/>
      <c r="M15" s="721"/>
      <c r="N15" s="711" t="s">
        <v>293</v>
      </c>
      <c r="O15" s="722"/>
    </row>
    <row r="16" spans="1:20" s="3" customFormat="1" ht="24" thickBot="1" x14ac:dyDescent="0.3">
      <c r="A16" s="816" t="s">
        <v>35</v>
      </c>
      <c r="B16" s="816"/>
      <c r="C16" s="816"/>
      <c r="D16" s="816"/>
      <c r="E16" s="719"/>
      <c r="F16" s="720">
        <f>+Setup_and_Criteria!F14</f>
        <v>35</v>
      </c>
      <c r="G16" s="694" t="s">
        <v>287</v>
      </c>
      <c r="H16" s="803"/>
      <c r="I16" s="803"/>
      <c r="J16" s="705" t="s">
        <v>283</v>
      </c>
      <c r="K16" s="803"/>
      <c r="L16" s="804"/>
      <c r="M16" s="621"/>
      <c r="N16" s="711" t="s">
        <v>294</v>
      </c>
      <c r="O16" s="723"/>
      <c r="P16" s="3" t="s">
        <v>295</v>
      </c>
      <c r="Q16" s="722"/>
      <c r="T16" s="724"/>
    </row>
    <row r="17" spans="1:20" s="3" customFormat="1" ht="24" thickBot="1" x14ac:dyDescent="0.3">
      <c r="A17" s="802" t="s">
        <v>296</v>
      </c>
      <c r="B17" s="802"/>
      <c r="C17" s="802"/>
      <c r="D17" s="802"/>
      <c r="E17" s="719"/>
      <c r="F17" s="720">
        <f>+Setup_and_Criteria!F15</f>
        <v>40</v>
      </c>
      <c r="G17" s="694" t="s">
        <v>287</v>
      </c>
      <c r="H17" s="803"/>
      <c r="I17" s="803"/>
      <c r="J17" s="705" t="s">
        <v>283</v>
      </c>
      <c r="K17" s="803"/>
      <c r="L17" s="804"/>
      <c r="M17" s="621"/>
      <c r="N17" s="805" t="s">
        <v>297</v>
      </c>
      <c r="O17" s="806"/>
      <c r="P17" s="806"/>
      <c r="Q17" s="806"/>
      <c r="R17" s="807"/>
      <c r="T17" s="724"/>
    </row>
    <row r="18" spans="1:20" s="3" customFormat="1" ht="24" thickBot="1" x14ac:dyDescent="0.3">
      <c r="A18" s="802" t="s">
        <v>29</v>
      </c>
      <c r="B18" s="802"/>
      <c r="C18" s="802"/>
      <c r="D18" s="802"/>
      <c r="E18" s="25"/>
      <c r="F18" s="720">
        <f>+Setup_and_Criteria!F16</f>
        <v>22</v>
      </c>
      <c r="G18" s="714" t="s">
        <v>287</v>
      </c>
      <c r="H18" s="808"/>
      <c r="I18" s="808"/>
      <c r="J18" s="727" t="s">
        <v>283</v>
      </c>
      <c r="K18" s="808"/>
      <c r="L18" s="809"/>
      <c r="M18" s="621"/>
      <c r="N18" s="810"/>
      <c r="O18" s="811"/>
      <c r="P18" s="811"/>
      <c r="Q18" s="811"/>
      <c r="R18" s="812"/>
      <c r="T18" s="4"/>
    </row>
    <row r="19" spans="1:20" s="3" customFormat="1" ht="19.5" thickBot="1" x14ac:dyDescent="0.3">
      <c r="E19" s="802" t="s">
        <v>216</v>
      </c>
      <c r="F19" s="802"/>
      <c r="G19" s="802"/>
      <c r="H19" s="814"/>
      <c r="I19" s="815"/>
      <c r="K19" s="800"/>
      <c r="L19" s="801"/>
      <c r="M19" s="621"/>
      <c r="N19" s="800"/>
      <c r="O19" s="813"/>
      <c r="P19" s="813"/>
      <c r="Q19" s="813"/>
      <c r="R19" s="801"/>
      <c r="T19" s="4"/>
    </row>
    <row r="20" spans="1:20" s="3" customFormat="1" ht="19.5" customHeight="1" x14ac:dyDescent="0.25"/>
    <row r="21" spans="1:20" s="3" customFormat="1" ht="23.25" x14ac:dyDescent="0.25">
      <c r="A21"/>
      <c r="B21" s="20"/>
      <c r="C21" s="20"/>
      <c r="D21" s="728" t="s">
        <v>198</v>
      </c>
      <c r="E21" s="728"/>
      <c r="F21" s="728"/>
      <c r="G21" s="728"/>
      <c r="H21" s="728"/>
      <c r="I21" s="728"/>
      <c r="J21" s="728"/>
      <c r="K21" s="728"/>
      <c r="L21" s="728"/>
      <c r="M21" s="20"/>
      <c r="N21" s="20"/>
      <c r="O21" s="20"/>
      <c r="P21" s="20"/>
      <c r="Q21" s="20"/>
      <c r="R21" s="20"/>
    </row>
    <row r="22" spans="1:20" ht="21.75" thickBot="1" x14ac:dyDescent="0.4">
      <c r="B22" s="695" t="s">
        <v>199</v>
      </c>
      <c r="D22" s="696"/>
      <c r="E22" s="2"/>
      <c r="F22" s="2"/>
      <c r="G22" s="2"/>
      <c r="H22" s="2"/>
      <c r="I22" s="2"/>
      <c r="K22" s="837" t="s">
        <v>274</v>
      </c>
      <c r="L22" s="837"/>
      <c r="M22" s="697"/>
      <c r="N22" s="2"/>
      <c r="O22" s="2"/>
    </row>
    <row r="23" spans="1:20" ht="21.75" thickBot="1" x14ac:dyDescent="0.4">
      <c r="A23" s="695"/>
    </row>
    <row r="24" spans="1:20" ht="21.75" thickBot="1" x14ac:dyDescent="0.4">
      <c r="A24" s="695"/>
      <c r="E24" s="838" t="s">
        <v>275</v>
      </c>
      <c r="F24" s="839"/>
      <c r="G24" s="839"/>
      <c r="H24" s="839"/>
      <c r="I24" s="839"/>
      <c r="J24" s="839"/>
      <c r="K24" s="839"/>
      <c r="L24" s="839"/>
      <c r="M24" s="839"/>
      <c r="N24" s="839"/>
      <c r="O24" s="839"/>
      <c r="P24" s="839"/>
      <c r="Q24" s="839"/>
      <c r="R24" s="840"/>
    </row>
    <row r="25" spans="1:20" ht="45.75" thickBot="1" x14ac:dyDescent="0.3">
      <c r="A25" s="802" t="s">
        <v>276</v>
      </c>
      <c r="B25" s="802"/>
      <c r="C25" s="802"/>
      <c r="D25" s="802"/>
      <c r="E25" s="841"/>
      <c r="F25" s="842"/>
      <c r="G25" s="843"/>
      <c r="H25" s="699"/>
      <c r="I25" s="700" t="s">
        <v>277</v>
      </c>
      <c r="J25" s="3"/>
      <c r="K25" s="3"/>
      <c r="L25" s="3"/>
      <c r="M25" s="3"/>
      <c r="N25" s="701" t="s">
        <v>278</v>
      </c>
      <c r="O25" s="633"/>
      <c r="P25" s="299" t="s">
        <v>279</v>
      </c>
      <c r="Q25" s="633"/>
      <c r="R25" s="844" t="s">
        <v>280</v>
      </c>
    </row>
    <row r="26" spans="1:20" ht="24" thickBot="1" x14ac:dyDescent="0.3">
      <c r="A26" s="802" t="s">
        <v>281</v>
      </c>
      <c r="B26" s="802"/>
      <c r="C26" s="802"/>
      <c r="D26" s="802"/>
      <c r="E26" s="841"/>
      <c r="F26" s="842"/>
      <c r="G26" s="843"/>
      <c r="H26" s="702"/>
      <c r="I26" s="703"/>
      <c r="J26" s="704" t="s">
        <v>282</v>
      </c>
      <c r="K26" s="694">
        <v>60</v>
      </c>
      <c r="L26" s="845" t="s">
        <v>283</v>
      </c>
      <c r="M26" s="846"/>
      <c r="N26" s="703"/>
      <c r="O26" s="705" t="s">
        <v>284</v>
      </c>
      <c r="P26" s="706"/>
      <c r="Q26" s="847" t="s">
        <v>283</v>
      </c>
      <c r="R26" s="844"/>
    </row>
    <row r="27" spans="1:20" ht="24" thickBot="1" x14ac:dyDescent="0.3">
      <c r="A27" s="698"/>
      <c r="B27" s="698"/>
      <c r="C27" s="698"/>
      <c r="D27" s="698"/>
      <c r="E27" s="699"/>
      <c r="F27" s="699"/>
      <c r="G27" s="699"/>
      <c r="H27" s="707"/>
      <c r="I27" s="707"/>
      <c r="J27" s="708"/>
      <c r="K27" s="708"/>
      <c r="L27" s="693"/>
      <c r="M27" s="693"/>
      <c r="N27" s="621"/>
      <c r="O27" s="621"/>
      <c r="P27" s="828" t="s">
        <v>284</v>
      </c>
      <c r="Q27" s="848"/>
      <c r="R27" s="830"/>
    </row>
    <row r="28" spans="1:20" ht="32.25" thickBot="1" x14ac:dyDescent="0.3">
      <c r="A28" s="802" t="s">
        <v>285</v>
      </c>
      <c r="B28" s="802"/>
      <c r="C28" s="802"/>
      <c r="D28" s="802"/>
      <c r="E28" s="832"/>
      <c r="F28" s="833"/>
      <c r="G28" s="834"/>
      <c r="H28" s="709"/>
      <c r="I28" s="298" t="s">
        <v>277</v>
      </c>
      <c r="J28" s="708"/>
      <c r="K28" s="708"/>
      <c r="L28" s="708"/>
      <c r="M28" s="708"/>
      <c r="N28" s="710"/>
      <c r="O28" s="711"/>
      <c r="P28" s="829"/>
      <c r="Q28" s="848"/>
      <c r="R28" s="831"/>
    </row>
    <row r="29" spans="1:20" ht="27" thickBot="1" x14ac:dyDescent="0.3">
      <c r="A29" s="802" t="s">
        <v>286</v>
      </c>
      <c r="B29" s="802"/>
      <c r="C29" s="802"/>
      <c r="D29" s="802"/>
      <c r="E29" s="832"/>
      <c r="F29" s="833"/>
      <c r="G29" s="834"/>
      <c r="H29" s="712"/>
      <c r="I29" s="703"/>
      <c r="J29" s="713" t="s">
        <v>287</v>
      </c>
      <c r="K29" s="714">
        <v>60</v>
      </c>
      <c r="L29" s="835" t="s">
        <v>283</v>
      </c>
      <c r="M29" s="836"/>
      <c r="N29" s="703"/>
      <c r="O29" s="715" t="s">
        <v>284</v>
      </c>
      <c r="P29" s="706"/>
      <c r="Q29" s="849"/>
      <c r="R29" s="716"/>
    </row>
    <row r="30" spans="1:20" ht="19.5" thickBot="1" x14ac:dyDescent="0.3">
      <c r="A30" s="709"/>
      <c r="B30" s="707"/>
      <c r="C30" s="707"/>
      <c r="D30" s="3"/>
      <c r="E30" s="3"/>
      <c r="F30" s="3"/>
      <c r="G30" s="3"/>
      <c r="H30" s="3"/>
      <c r="I30" s="3"/>
      <c r="J30" s="3"/>
      <c r="K30" s="3"/>
      <c r="L30" s="3"/>
      <c r="M30" s="3"/>
      <c r="N30" s="3"/>
      <c r="O30" s="3"/>
      <c r="P30" s="717"/>
      <c r="Q30" s="3"/>
      <c r="R30" s="3"/>
    </row>
    <row r="31" spans="1:20" ht="19.5" thickBot="1" x14ac:dyDescent="0.3">
      <c r="A31" s="709"/>
      <c r="B31" s="707"/>
      <c r="C31" s="707"/>
      <c r="D31" s="3"/>
      <c r="E31" s="819" t="s">
        <v>288</v>
      </c>
      <c r="F31" s="820"/>
      <c r="G31" s="820"/>
      <c r="H31" s="820"/>
      <c r="I31" s="820"/>
      <c r="J31" s="820"/>
      <c r="K31" s="820"/>
      <c r="L31" s="821"/>
      <c r="M31" s="718"/>
      <c r="N31" s="819" t="s">
        <v>289</v>
      </c>
      <c r="O31" s="820"/>
      <c r="P31" s="820"/>
      <c r="Q31" s="820"/>
      <c r="R31" s="821"/>
    </row>
    <row r="32" spans="1:20" ht="19.5" thickBot="1" x14ac:dyDescent="0.3">
      <c r="A32" s="709"/>
      <c r="B32" s="707"/>
      <c r="C32" s="707"/>
      <c r="D32" s="3"/>
      <c r="E32" s="719"/>
      <c r="F32" s="3"/>
      <c r="G32" s="3"/>
      <c r="H32" s="822" t="s">
        <v>290</v>
      </c>
      <c r="I32" s="822"/>
      <c r="J32" s="3"/>
      <c r="K32" s="823" t="s">
        <v>137</v>
      </c>
      <c r="L32" s="824"/>
      <c r="M32" s="299"/>
      <c r="N32" s="825" t="s">
        <v>291</v>
      </c>
      <c r="O32" s="825"/>
      <c r="P32" s="825"/>
      <c r="Q32" s="826"/>
      <c r="R32" s="827"/>
    </row>
    <row r="33" spans="1:18" ht="23.25" x14ac:dyDescent="0.25">
      <c r="A33" s="816" t="s">
        <v>292</v>
      </c>
      <c r="B33" s="816"/>
      <c r="C33" s="816"/>
      <c r="D33" s="816"/>
      <c r="E33" s="719"/>
      <c r="F33" s="720">
        <f>+F15</f>
        <v>29</v>
      </c>
      <c r="G33" s="694" t="s">
        <v>287</v>
      </c>
      <c r="H33" s="803"/>
      <c r="I33" s="803"/>
      <c r="J33" s="705" t="s">
        <v>283</v>
      </c>
      <c r="K33" s="817"/>
      <c r="L33" s="818"/>
      <c r="M33" s="721"/>
      <c r="N33" s="711" t="s">
        <v>293</v>
      </c>
      <c r="O33" s="722"/>
      <c r="P33" s="3"/>
      <c r="Q33" s="3"/>
      <c r="R33" s="3"/>
    </row>
    <row r="34" spans="1:18" ht="24" thickBot="1" x14ac:dyDescent="0.3">
      <c r="A34" s="816" t="s">
        <v>35</v>
      </c>
      <c r="B34" s="816"/>
      <c r="C34" s="816"/>
      <c r="D34" s="816"/>
      <c r="E34" s="719"/>
      <c r="F34" s="720">
        <f>+F16</f>
        <v>35</v>
      </c>
      <c r="G34" s="694" t="s">
        <v>287</v>
      </c>
      <c r="H34" s="803"/>
      <c r="I34" s="803"/>
      <c r="J34" s="705" t="s">
        <v>283</v>
      </c>
      <c r="K34" s="803"/>
      <c r="L34" s="804"/>
      <c r="M34" s="621"/>
      <c r="N34" s="711" t="s">
        <v>294</v>
      </c>
      <c r="O34" s="723"/>
      <c r="P34" s="3" t="s">
        <v>295</v>
      </c>
      <c r="Q34" s="722"/>
      <c r="R34" s="3"/>
    </row>
    <row r="35" spans="1:18" ht="24" thickBot="1" x14ac:dyDescent="0.3">
      <c r="A35" s="802" t="s">
        <v>296</v>
      </c>
      <c r="B35" s="802"/>
      <c r="C35" s="802"/>
      <c r="D35" s="802"/>
      <c r="E35" s="719"/>
      <c r="F35" s="725">
        <f>+F17</f>
        <v>40</v>
      </c>
      <c r="G35" s="694" t="s">
        <v>287</v>
      </c>
      <c r="H35" s="803"/>
      <c r="I35" s="803"/>
      <c r="J35" s="705" t="s">
        <v>283</v>
      </c>
      <c r="K35" s="803"/>
      <c r="L35" s="804"/>
      <c r="M35" s="621"/>
      <c r="N35" s="805" t="s">
        <v>297</v>
      </c>
      <c r="O35" s="806"/>
      <c r="P35" s="806"/>
      <c r="Q35" s="806"/>
      <c r="R35" s="807"/>
    </row>
    <row r="36" spans="1:18" ht="24" thickBot="1" x14ac:dyDescent="0.3">
      <c r="A36" s="802" t="s">
        <v>29</v>
      </c>
      <c r="B36" s="802"/>
      <c r="C36" s="802"/>
      <c r="D36" s="802"/>
      <c r="E36" s="25"/>
      <c r="F36" s="726">
        <f>+F18</f>
        <v>22</v>
      </c>
      <c r="G36" s="714" t="s">
        <v>287</v>
      </c>
      <c r="H36" s="808"/>
      <c r="I36" s="808"/>
      <c r="J36" s="727" t="s">
        <v>283</v>
      </c>
      <c r="K36" s="808"/>
      <c r="L36" s="809"/>
      <c r="M36" s="621"/>
      <c r="N36" s="810"/>
      <c r="O36" s="811"/>
      <c r="P36" s="811"/>
      <c r="Q36" s="811"/>
      <c r="R36" s="812"/>
    </row>
    <row r="37" spans="1:18" ht="19.5" thickBot="1" x14ac:dyDescent="0.3">
      <c r="A37" s="3"/>
      <c r="B37" s="3"/>
      <c r="C37" s="3"/>
      <c r="D37" s="3"/>
      <c r="E37" s="802" t="s">
        <v>216</v>
      </c>
      <c r="F37" s="802"/>
      <c r="G37" s="802"/>
      <c r="H37" s="814"/>
      <c r="I37" s="815"/>
      <c r="J37" s="3"/>
      <c r="K37" s="800"/>
      <c r="L37" s="801"/>
      <c r="M37" s="621"/>
      <c r="N37" s="800"/>
      <c r="O37" s="813"/>
      <c r="P37" s="813"/>
      <c r="Q37" s="813"/>
      <c r="R37" s="801"/>
    </row>
  </sheetData>
  <mergeCells count="79">
    <mergeCell ref="D3:M3"/>
    <mergeCell ref="K4:L4"/>
    <mergeCell ref="E6:R6"/>
    <mergeCell ref="A7:D7"/>
    <mergeCell ref="E7:G7"/>
    <mergeCell ref="R7:R8"/>
    <mergeCell ref="A8:D8"/>
    <mergeCell ref="E8:G8"/>
    <mergeCell ref="L8:M8"/>
    <mergeCell ref="Q8:Q11"/>
    <mergeCell ref="P9:P10"/>
    <mergeCell ref="R9:R10"/>
    <mergeCell ref="A10:D10"/>
    <mergeCell ref="E10:G10"/>
    <mergeCell ref="A11:D11"/>
    <mergeCell ref="E11:G11"/>
    <mergeCell ref="L11:M11"/>
    <mergeCell ref="E13:L13"/>
    <mergeCell ref="N13:R13"/>
    <mergeCell ref="H14:I14"/>
    <mergeCell ref="K14:L14"/>
    <mergeCell ref="N14:P14"/>
    <mergeCell ref="Q14:R14"/>
    <mergeCell ref="A15:D15"/>
    <mergeCell ref="H15:I15"/>
    <mergeCell ref="K15:L15"/>
    <mergeCell ref="A16:D16"/>
    <mergeCell ref="H16:I16"/>
    <mergeCell ref="K16:L16"/>
    <mergeCell ref="A17:D17"/>
    <mergeCell ref="H17:I17"/>
    <mergeCell ref="K17:L17"/>
    <mergeCell ref="N17:R17"/>
    <mergeCell ref="A18:D18"/>
    <mergeCell ref="H18:I18"/>
    <mergeCell ref="K18:L18"/>
    <mergeCell ref="N18:R19"/>
    <mergeCell ref="E19:G19"/>
    <mergeCell ref="H19:I19"/>
    <mergeCell ref="K19:L19"/>
    <mergeCell ref="K22:L22"/>
    <mergeCell ref="E24:R24"/>
    <mergeCell ref="A25:D25"/>
    <mergeCell ref="E25:G25"/>
    <mergeCell ref="R25:R26"/>
    <mergeCell ref="A26:D26"/>
    <mergeCell ref="E26:G26"/>
    <mergeCell ref="L26:M26"/>
    <mergeCell ref="Q26:Q29"/>
    <mergeCell ref="P27:P28"/>
    <mergeCell ref="R27:R28"/>
    <mergeCell ref="A28:D28"/>
    <mergeCell ref="E28:G28"/>
    <mergeCell ref="A29:D29"/>
    <mergeCell ref="E29:G29"/>
    <mergeCell ref="L29:M29"/>
    <mergeCell ref="E31:L31"/>
    <mergeCell ref="N31:R31"/>
    <mergeCell ref="H32:I32"/>
    <mergeCell ref="K32:L32"/>
    <mergeCell ref="N32:P32"/>
    <mergeCell ref="Q32:R32"/>
    <mergeCell ref="A33:D33"/>
    <mergeCell ref="H33:I33"/>
    <mergeCell ref="K33:L33"/>
    <mergeCell ref="A34:D34"/>
    <mergeCell ref="H34:I34"/>
    <mergeCell ref="K34:L34"/>
    <mergeCell ref="K37:L37"/>
    <mergeCell ref="A35:D35"/>
    <mergeCell ref="H35:I35"/>
    <mergeCell ref="K35:L35"/>
    <mergeCell ref="N35:R35"/>
    <mergeCell ref="A36:D36"/>
    <mergeCell ref="H36:I36"/>
    <mergeCell ref="K36:L36"/>
    <mergeCell ref="N36:R37"/>
    <mergeCell ref="E37:G37"/>
    <mergeCell ref="H37:I37"/>
  </mergeCells>
  <pageMargins left="0.25" right="0.25" top="0.75" bottom="0.75" header="0.3" footer="0.3"/>
  <pageSetup scale="83" orientation="portrait"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C6A878-BEAE-4103-AC26-89AAB1B6B230}">
  <sheetPr codeName="Sheet7">
    <tabColor theme="9" tint="0.59999389629810485"/>
  </sheetPr>
  <dimension ref="A2:AI200"/>
  <sheetViews>
    <sheetView topLeftCell="A23" zoomScale="94" zoomScaleNormal="130" workbookViewId="0">
      <selection activeCell="O199" sqref="O199"/>
    </sheetView>
  </sheetViews>
  <sheetFormatPr defaultRowHeight="15" x14ac:dyDescent="0.25"/>
  <cols>
    <col min="1" max="1" width="18.5703125" customWidth="1"/>
    <col min="2" max="2" width="4.85546875" bestFit="1" customWidth="1"/>
    <col min="3" max="3" width="8.7109375" style="1" customWidth="1"/>
    <col min="4" max="4" width="8.140625" style="1" customWidth="1"/>
    <col min="5" max="6" width="7.7109375" style="1" customWidth="1"/>
    <col min="7" max="7" width="7.42578125" style="1" hidden="1" customWidth="1"/>
    <col min="8" max="8" width="9.140625" style="1" hidden="1" customWidth="1"/>
    <col min="9" max="9" width="8.42578125" customWidth="1"/>
    <col min="10" max="10" width="8.42578125" style="1" customWidth="1"/>
    <col min="11" max="11" width="8.5703125" style="1" customWidth="1"/>
    <col min="12" max="12" width="9.140625" style="1"/>
    <col min="13" max="13" width="10.140625" style="1" customWidth="1"/>
    <col min="14" max="14" width="11" style="1" customWidth="1"/>
    <col min="15" max="15" width="9.42578125" style="1" customWidth="1"/>
    <col min="16" max="16" width="10.42578125" style="1" customWidth="1"/>
    <col min="17" max="17" width="9.42578125" customWidth="1"/>
    <col min="18" max="18" width="8.85546875" style="1" customWidth="1"/>
    <col min="19" max="19" width="7.140625" style="1" customWidth="1"/>
    <col min="20" max="27" width="7.7109375" style="1" customWidth="1"/>
    <col min="28" max="28" width="7.7109375" customWidth="1"/>
    <col min="29" max="29" width="11.28515625" customWidth="1"/>
  </cols>
  <sheetData>
    <row r="2" spans="1:35" ht="15" customHeight="1" x14ac:dyDescent="0.25">
      <c r="E2" s="886" t="str">
        <f>+Setup_and_Criteria!J6</f>
        <v>Q2</v>
      </c>
      <c r="F2" s="886"/>
      <c r="G2" s="886"/>
      <c r="H2" s="886"/>
      <c r="I2" s="887">
        <v>2026</v>
      </c>
      <c r="J2" s="887"/>
      <c r="M2" s="856" t="s">
        <v>127</v>
      </c>
      <c r="N2" s="856"/>
      <c r="O2" s="856"/>
      <c r="P2" s="856"/>
      <c r="Q2" s="856"/>
      <c r="R2" s="856"/>
      <c r="S2" s="856"/>
      <c r="T2" s="856"/>
      <c r="U2" s="856"/>
      <c r="V2" s="856"/>
      <c r="W2" s="856"/>
    </row>
    <row r="3" spans="1:35" ht="15" customHeight="1" x14ac:dyDescent="0.25">
      <c r="E3" s="886"/>
      <c r="F3" s="886"/>
      <c r="G3" s="886"/>
      <c r="H3" s="886"/>
      <c r="I3" s="887"/>
      <c r="J3" s="887"/>
      <c r="M3" s="856"/>
      <c r="N3" s="856"/>
      <c r="O3" s="856"/>
      <c r="P3" s="856"/>
      <c r="Q3" s="856"/>
      <c r="R3" s="856"/>
      <c r="S3" s="856"/>
      <c r="T3" s="856"/>
      <c r="U3" s="856"/>
      <c r="V3" s="856"/>
      <c r="W3" s="856"/>
    </row>
    <row r="4" spans="1:35" x14ac:dyDescent="0.25">
      <c r="G4"/>
      <c r="H4"/>
      <c r="L4" s="1" t="s">
        <v>42</v>
      </c>
      <c r="M4" s="856"/>
      <c r="N4" s="856"/>
      <c r="O4" s="856"/>
      <c r="P4" s="856"/>
      <c r="Q4" s="856"/>
      <c r="R4" s="856"/>
      <c r="S4" s="856"/>
      <c r="T4" s="856"/>
      <c r="U4" s="856"/>
      <c r="V4" s="856"/>
      <c r="W4" s="856"/>
    </row>
    <row r="5" spans="1:35" x14ac:dyDescent="0.25">
      <c r="W5" s="1" t="s">
        <v>42</v>
      </c>
    </row>
    <row r="6" spans="1:35" ht="35.25" customHeight="1" x14ac:dyDescent="0.4">
      <c r="A6" s="421" t="str" cm="1">
        <f t="array" ref="A6">+_xlfn.IFS(E2="Q1","January",E2="Q2","April",E2="Q3","July",+E2="Q4","October")</f>
        <v>April</v>
      </c>
      <c r="B6" s="624">
        <v>1</v>
      </c>
      <c r="C6" s="884" t="s">
        <v>128</v>
      </c>
      <c r="D6" s="884"/>
      <c r="E6" s="884"/>
      <c r="F6" s="884"/>
      <c r="G6" s="377"/>
      <c r="H6" s="377"/>
      <c r="I6" s="21"/>
      <c r="J6" s="874" t="s">
        <v>129</v>
      </c>
      <c r="K6" s="875"/>
      <c r="L6" s="875"/>
      <c r="M6" s="875"/>
      <c r="N6" s="876" t="s">
        <v>130</v>
      </c>
      <c r="O6" s="876"/>
      <c r="P6" s="876"/>
      <c r="Q6" s="876"/>
      <c r="R6" s="424" t="s">
        <v>131</v>
      </c>
      <c r="S6" s="424"/>
      <c r="T6" s="424"/>
      <c r="U6" s="424"/>
      <c r="V6" s="424"/>
      <c r="W6" s="424"/>
      <c r="X6" s="424"/>
      <c r="Y6" s="424"/>
      <c r="Z6" s="424"/>
      <c r="AA6" s="424"/>
      <c r="AB6" s="424"/>
      <c r="AC6" s="424"/>
      <c r="AD6" s="851" t="s">
        <v>132</v>
      </c>
      <c r="AE6" s="852"/>
      <c r="AF6" s="852"/>
      <c r="AG6" s="852"/>
      <c r="AH6" s="852"/>
      <c r="AI6" s="853"/>
    </row>
    <row r="7" spans="1:35" ht="59.25" customHeight="1" x14ac:dyDescent="0.25">
      <c r="A7" s="378" t="s">
        <v>133</v>
      </c>
      <c r="C7" s="435" t="s">
        <v>134</v>
      </c>
      <c r="D7" s="435" t="s">
        <v>135</v>
      </c>
      <c r="E7" s="435" t="s">
        <v>134</v>
      </c>
      <c r="F7" s="435" t="s">
        <v>135</v>
      </c>
      <c r="G7" s="1" t="s">
        <v>136</v>
      </c>
      <c r="H7" s="1" t="s">
        <v>108</v>
      </c>
      <c r="I7" s="436"/>
      <c r="J7" s="437" t="str">
        <f>+Setup_and_Criteria!$B$13</f>
        <v>Checkouts</v>
      </c>
      <c r="K7" s="437" t="str">
        <f>+Setup_and_Criteria!$B$14</f>
        <v>Pet Rooms</v>
      </c>
      <c r="L7" s="437" t="str">
        <f>+Setup_and_Criteria!$B$15</f>
        <v>2 Rm &amp; Jac Stes</v>
      </c>
      <c r="M7" s="438" t="str">
        <f>+Setup_and_Criteria!$B$16</f>
        <v>Stayovers</v>
      </c>
      <c r="N7" s="269" t="s">
        <v>137</v>
      </c>
      <c r="O7" s="269" t="s">
        <v>138</v>
      </c>
      <c r="P7" s="439" t="s">
        <v>139</v>
      </c>
      <c r="Q7" s="439" t="s">
        <v>140</v>
      </c>
      <c r="R7" s="440" t="str">
        <f>+Corrections!$C$8</f>
        <v>Vanity</v>
      </c>
      <c r="S7" s="440" t="str">
        <f>+Corrections!$I$8</f>
        <v>Toilet</v>
      </c>
      <c r="T7" s="440" t="str">
        <f>+Corrections!$O$8</f>
        <v>Bed/Pillows</v>
      </c>
      <c r="U7" s="440" t="str">
        <f>+Corrections!$U$8</f>
        <v>Floor</v>
      </c>
      <c r="V7" s="440" t="str">
        <f>+Corrections!$AA$8</f>
        <v>Dusting</v>
      </c>
      <c r="W7" s="440" t="str">
        <f>+Corrections!$AG$8</f>
        <v>Fridge/Micro</v>
      </c>
      <c r="X7" s="440" t="str">
        <f>+Corrections!$AM$8</f>
        <v>Tub</v>
      </c>
      <c r="Y7" s="441" t="str">
        <f>+Corrections!$AS$8</f>
        <v>Mirrors/Glass</v>
      </c>
      <c r="Z7" s="440" t="str">
        <f>+Corrections!$AY$8</f>
        <v>Stocking</v>
      </c>
      <c r="AA7" s="440" t="str">
        <f>+Corrections!$BE$8</f>
        <v>Other</v>
      </c>
      <c r="AB7" s="269" t="s">
        <v>141</v>
      </c>
      <c r="AC7" s="269" t="s">
        <v>142</v>
      </c>
      <c r="AD7" s="889" t="s">
        <v>143</v>
      </c>
      <c r="AE7" s="890"/>
      <c r="AF7" s="890"/>
      <c r="AG7" s="890"/>
      <c r="AH7" s="890"/>
      <c r="AI7" s="891"/>
    </row>
    <row r="8" spans="1:35" x14ac:dyDescent="0.25">
      <c r="A8" s="638"/>
      <c r="C8" s="369"/>
      <c r="D8" s="369"/>
      <c r="E8" s="369"/>
      <c r="F8" s="369"/>
      <c r="G8" s="264">
        <f t="shared" ref="G8:G13" si="0">+(D8-C8)+(F8-E8)</f>
        <v>0</v>
      </c>
      <c r="H8" s="442">
        <f t="shared" ref="H8:H13" si="1">+G8*1440</f>
        <v>0</v>
      </c>
      <c r="J8" s="630"/>
      <c r="K8" s="630"/>
      <c r="L8" s="630"/>
      <c r="M8" s="630"/>
      <c r="N8" s="1">
        <f>IF(C8&gt;0,((J8*Setup_and_Criteria!$F$13)+('M1_1-15th'!K8*Setup_and_Criteria!$F$14)+('M1_1-15th'!L8*Setup_and_Criteria!$F$15)+('M1_1-15th'!M8*Setup_and_Criteria!$F$16)+Setup_and_Criteria!$J$16),0)</f>
        <v>0</v>
      </c>
      <c r="O8" s="442">
        <v>0</v>
      </c>
      <c r="P8" s="443">
        <f t="shared" ref="P8:P14" si="2">+N8-O8</f>
        <v>0</v>
      </c>
      <c r="Q8" s="357" t="e">
        <f t="shared" ref="Q8:Q14" si="3">O8/_xlfn.SINGLE(SUM(J8:M8))</f>
        <v>#DIV/0!</v>
      </c>
      <c r="R8" s="630"/>
      <c r="S8" s="630"/>
      <c r="T8" s="630"/>
      <c r="U8" s="630"/>
      <c r="V8" s="630"/>
      <c r="W8" s="630"/>
      <c r="X8" s="630"/>
      <c r="Y8" s="630"/>
      <c r="Z8" s="630"/>
      <c r="AA8" s="630"/>
      <c r="AB8" s="1">
        <f t="shared" ref="AB8:AB14" si="4">SUM(R8:AA8)</f>
        <v>0</v>
      </c>
      <c r="AC8" s="357" t="e">
        <f t="shared" ref="AC8:AC14" si="5">+AB8/(J8+K8+L8)</f>
        <v>#DIV/0!</v>
      </c>
      <c r="AD8" s="864" t="s">
        <v>144</v>
      </c>
      <c r="AE8" s="865"/>
      <c r="AF8" s="865"/>
      <c r="AG8" s="866"/>
      <c r="AH8" s="866"/>
      <c r="AI8" s="867"/>
    </row>
    <row r="9" spans="1:35" x14ac:dyDescent="0.25">
      <c r="A9" s="638"/>
      <c r="C9" s="369"/>
      <c r="D9" s="369"/>
      <c r="E9" s="630"/>
      <c r="F9" s="630"/>
      <c r="G9" s="264">
        <f t="shared" si="0"/>
        <v>0</v>
      </c>
      <c r="H9" s="442">
        <f t="shared" si="1"/>
        <v>0</v>
      </c>
      <c r="J9" s="630"/>
      <c r="K9" s="630"/>
      <c r="L9" s="630"/>
      <c r="M9" s="630"/>
      <c r="N9" s="1">
        <f>IF(C9&gt;0,((J9*Setup_and_Criteria!$F$13)+('M1_1-15th'!K9*Setup_and_Criteria!$F$14)+('M1_1-15th'!L9*Setup_and_Criteria!$F$15)+('M1_1-15th'!M9*Setup_and_Criteria!$F$16)+Setup_and_Criteria!$J$16),0)</f>
        <v>0</v>
      </c>
      <c r="O9" s="442">
        <v>0</v>
      </c>
      <c r="P9" s="443">
        <f t="shared" si="2"/>
        <v>0</v>
      </c>
      <c r="Q9" s="357" t="e">
        <f t="shared" si="3"/>
        <v>#DIV/0!</v>
      </c>
      <c r="R9" s="630"/>
      <c r="S9" s="630"/>
      <c r="T9" s="630"/>
      <c r="U9" s="630"/>
      <c r="V9" s="630"/>
      <c r="W9" s="630"/>
      <c r="X9" s="630"/>
      <c r="Y9" s="630"/>
      <c r="Z9" s="630"/>
      <c r="AA9" s="630"/>
      <c r="AB9" s="1">
        <f t="shared" si="4"/>
        <v>0</v>
      </c>
      <c r="AC9" s="357" t="e">
        <f t="shared" si="5"/>
        <v>#DIV/0!</v>
      </c>
      <c r="AD9" s="864"/>
      <c r="AE9" s="865"/>
      <c r="AF9" s="865"/>
      <c r="AG9" s="866"/>
      <c r="AH9" s="866"/>
      <c r="AI9" s="867"/>
    </row>
    <row r="10" spans="1:35" x14ac:dyDescent="0.25">
      <c r="A10" s="638"/>
      <c r="C10" s="369"/>
      <c r="D10" s="369"/>
      <c r="E10" s="630"/>
      <c r="F10" s="630"/>
      <c r="G10" s="264">
        <f t="shared" si="0"/>
        <v>0</v>
      </c>
      <c r="H10" s="442">
        <f t="shared" si="1"/>
        <v>0</v>
      </c>
      <c r="J10" s="630"/>
      <c r="K10" s="630"/>
      <c r="L10" s="630"/>
      <c r="M10" s="630"/>
      <c r="N10" s="1">
        <f>IF(C10&gt;0,((J10*Setup_and_Criteria!$F$13)+('M1_1-15th'!K10*Setup_and_Criteria!$F$14)+('M1_1-15th'!L10*Setup_and_Criteria!$F$15)+('M1_1-15th'!M10*Setup_and_Criteria!$F$16)+Setup_and_Criteria!$J$16),0)</f>
        <v>0</v>
      </c>
      <c r="O10" s="442">
        <v>0</v>
      </c>
      <c r="P10" s="443">
        <f t="shared" si="2"/>
        <v>0</v>
      </c>
      <c r="Q10" s="357" t="e">
        <f t="shared" si="3"/>
        <v>#DIV/0!</v>
      </c>
      <c r="R10" s="630"/>
      <c r="S10" s="630"/>
      <c r="T10" s="630"/>
      <c r="U10" s="630"/>
      <c r="V10" s="630"/>
      <c r="W10" s="630"/>
      <c r="X10" s="630"/>
      <c r="Y10" s="630"/>
      <c r="Z10" s="630"/>
      <c r="AA10" s="630"/>
      <c r="AB10" s="1">
        <f t="shared" si="4"/>
        <v>0</v>
      </c>
      <c r="AC10" s="357" t="e">
        <f t="shared" si="5"/>
        <v>#DIV/0!</v>
      </c>
      <c r="AD10" s="864"/>
      <c r="AE10" s="865"/>
      <c r="AF10" s="865"/>
      <c r="AG10" s="866"/>
      <c r="AH10" s="866"/>
      <c r="AI10" s="867"/>
    </row>
    <row r="11" spans="1:35" x14ac:dyDescent="0.25">
      <c r="A11" s="638"/>
      <c r="C11" s="630"/>
      <c r="D11" s="630"/>
      <c r="E11" s="630"/>
      <c r="F11" s="630"/>
      <c r="G11" s="264">
        <f t="shared" si="0"/>
        <v>0</v>
      </c>
      <c r="H11" s="442">
        <f t="shared" si="1"/>
        <v>0</v>
      </c>
      <c r="J11" s="630"/>
      <c r="K11" s="630"/>
      <c r="L11" s="630"/>
      <c r="M11" s="630"/>
      <c r="N11" s="1">
        <f>IF(C11&gt;0,((J11*Setup_and_Criteria!$F$13)+('M1_1-15th'!K11*Setup_and_Criteria!$F$14)+('M1_1-15th'!L11*Setup_and_Criteria!$F$15)+('M1_1-15th'!M11*Setup_and_Criteria!$F$16)+Setup_and_Criteria!$J$16),0)</f>
        <v>0</v>
      </c>
      <c r="O11" s="442">
        <v>0</v>
      </c>
      <c r="P11" s="443">
        <f t="shared" si="2"/>
        <v>0</v>
      </c>
      <c r="Q11" s="357" t="e">
        <f t="shared" si="3"/>
        <v>#DIV/0!</v>
      </c>
      <c r="R11" s="630"/>
      <c r="S11" s="630"/>
      <c r="T11" s="630"/>
      <c r="U11" s="630"/>
      <c r="V11" s="630"/>
      <c r="W11" s="630"/>
      <c r="X11" s="630"/>
      <c r="Y11" s="630"/>
      <c r="Z11" s="630"/>
      <c r="AA11" s="630"/>
      <c r="AB11" s="1">
        <f t="shared" si="4"/>
        <v>0</v>
      </c>
      <c r="AC11" s="357" t="e">
        <f t="shared" si="5"/>
        <v>#DIV/0!</v>
      </c>
      <c r="AD11" s="864"/>
      <c r="AE11" s="865"/>
      <c r="AF11" s="865"/>
      <c r="AG11" s="866"/>
      <c r="AH11" s="866"/>
      <c r="AI11" s="867"/>
    </row>
    <row r="12" spans="1:35" x14ac:dyDescent="0.25">
      <c r="A12" s="638"/>
      <c r="C12" s="630"/>
      <c r="D12" s="630"/>
      <c r="E12" s="630"/>
      <c r="F12" s="630"/>
      <c r="G12" s="264">
        <f t="shared" si="0"/>
        <v>0</v>
      </c>
      <c r="H12" s="442">
        <f t="shared" si="1"/>
        <v>0</v>
      </c>
      <c r="J12" s="630"/>
      <c r="K12" s="630"/>
      <c r="L12" s="630"/>
      <c r="M12" s="630"/>
      <c r="N12" s="1">
        <f>IF(C12&gt;0,((J12*Setup_and_Criteria!$F$13)+('M1_1-15th'!K12*Setup_and_Criteria!$F$14)+('M1_1-15th'!L12*Setup_and_Criteria!$F$15)+('M1_1-15th'!M12*Setup_and_Criteria!$F$16)+Setup_and_Criteria!$J$16),0)</f>
        <v>0</v>
      </c>
      <c r="O12" s="442">
        <v>0</v>
      </c>
      <c r="P12" s="443">
        <f t="shared" si="2"/>
        <v>0</v>
      </c>
      <c r="Q12" s="357" t="e">
        <f t="shared" si="3"/>
        <v>#DIV/0!</v>
      </c>
      <c r="R12" s="630"/>
      <c r="S12" s="630"/>
      <c r="T12" s="630"/>
      <c r="U12" s="630"/>
      <c r="V12" s="630"/>
      <c r="W12" s="630"/>
      <c r="X12" s="630"/>
      <c r="Y12" s="630"/>
      <c r="Z12" s="630"/>
      <c r="AA12" s="630"/>
      <c r="AB12" s="1">
        <f t="shared" si="4"/>
        <v>0</v>
      </c>
      <c r="AC12" s="357" t="e">
        <f t="shared" si="5"/>
        <v>#DIV/0!</v>
      </c>
      <c r="AD12" s="864"/>
      <c r="AE12" s="865"/>
      <c r="AF12" s="865"/>
      <c r="AG12" s="866"/>
      <c r="AH12" s="866"/>
      <c r="AI12" s="867"/>
    </row>
    <row r="13" spans="1:35" ht="15.75" thickBot="1" x14ac:dyDescent="0.3">
      <c r="A13" s="638"/>
      <c r="C13" s="681"/>
      <c r="D13" s="681"/>
      <c r="E13" s="630"/>
      <c r="F13" s="630"/>
      <c r="G13" s="264">
        <f t="shared" si="0"/>
        <v>0</v>
      </c>
      <c r="H13" s="442">
        <f t="shared" si="1"/>
        <v>0</v>
      </c>
      <c r="J13" s="371"/>
      <c r="K13" s="371"/>
      <c r="L13" s="371"/>
      <c r="M13" s="371"/>
      <c r="N13" s="517">
        <f>IF(C13&gt;0,((J13*Setup_and_Criteria!$F$13)+('M1_1-15th'!K13*Setup_and_Criteria!$F$14)+('M1_1-15th'!L13*Setup_and_Criteria!$F$15)+('M1_1-15th'!M13*Setup_and_Criteria!$F$16)+Setup_and_Criteria!$J$16),0)</f>
        <v>0</v>
      </c>
      <c r="O13" s="359">
        <f t="shared" ref="O13:O14" si="6">+H13</f>
        <v>0</v>
      </c>
      <c r="P13" s="383">
        <f t="shared" si="2"/>
        <v>0</v>
      </c>
      <c r="Q13" s="360" t="e">
        <f t="shared" si="3"/>
        <v>#DIV/0!</v>
      </c>
      <c r="R13" s="511"/>
      <c r="S13" s="511"/>
      <c r="T13" s="511"/>
      <c r="U13" s="511"/>
      <c r="V13" s="511"/>
      <c r="W13" s="511"/>
      <c r="X13" s="511"/>
      <c r="Y13" s="511"/>
      <c r="Z13" s="511"/>
      <c r="AA13" s="511"/>
      <c r="AB13" s="1">
        <f t="shared" si="4"/>
        <v>0</v>
      </c>
      <c r="AC13" s="357" t="e">
        <f t="shared" si="5"/>
        <v>#DIV/0!</v>
      </c>
      <c r="AD13" s="864"/>
      <c r="AE13" s="865"/>
      <c r="AF13" s="865"/>
      <c r="AG13" s="866"/>
      <c r="AH13" s="866"/>
      <c r="AI13" s="867"/>
    </row>
    <row r="14" spans="1:35" ht="15.75" thickTop="1" x14ac:dyDescent="0.25">
      <c r="A14" s="58"/>
      <c r="H14" s="442">
        <f>SUM(H8:H13)</f>
        <v>0</v>
      </c>
      <c r="J14" s="1">
        <f>SUM(J8:J13)</f>
        <v>0</v>
      </c>
      <c r="K14" s="1">
        <f>SUM(K8:K13)</f>
        <v>0</v>
      </c>
      <c r="L14" s="1">
        <f>SUM(L8:L13)</f>
        <v>0</v>
      </c>
      <c r="M14" s="1">
        <f>SUM(M8:M13)</f>
        <v>0</v>
      </c>
      <c r="N14" s="1">
        <f>SUM(N8:N13)</f>
        <v>0</v>
      </c>
      <c r="O14" s="1">
        <f t="shared" si="6"/>
        <v>0</v>
      </c>
      <c r="P14" s="443">
        <f t="shared" si="2"/>
        <v>0</v>
      </c>
      <c r="Q14" s="357" t="e">
        <f t="shared" si="3"/>
        <v>#DIV/0!</v>
      </c>
      <c r="R14" s="1">
        <f t="shared" ref="R14:AA14" si="7">SUM(R8:R13)</f>
        <v>0</v>
      </c>
      <c r="S14" s="1">
        <f t="shared" si="7"/>
        <v>0</v>
      </c>
      <c r="T14" s="1">
        <f t="shared" si="7"/>
        <v>0</v>
      </c>
      <c r="U14" s="1">
        <f t="shared" si="7"/>
        <v>0</v>
      </c>
      <c r="V14" s="1">
        <f t="shared" si="7"/>
        <v>0</v>
      </c>
      <c r="W14" s="1">
        <f t="shared" si="7"/>
        <v>0</v>
      </c>
      <c r="X14" s="1">
        <f t="shared" si="7"/>
        <v>0</v>
      </c>
      <c r="Y14" s="1">
        <f t="shared" si="7"/>
        <v>0</v>
      </c>
      <c r="Z14" s="1">
        <f t="shared" si="7"/>
        <v>0</v>
      </c>
      <c r="AA14" s="1">
        <f t="shared" si="7"/>
        <v>0</v>
      </c>
      <c r="AB14" s="1">
        <f t="shared" si="4"/>
        <v>0</v>
      </c>
      <c r="AC14" s="357" t="e">
        <f t="shared" si="5"/>
        <v>#DIV/0!</v>
      </c>
      <c r="AD14" s="877"/>
      <c r="AE14" s="878"/>
      <c r="AF14" s="878"/>
      <c r="AG14" s="749"/>
      <c r="AH14" s="749"/>
      <c r="AI14" s="879"/>
    </row>
    <row r="15" spans="1:35" ht="21" customHeight="1" x14ac:dyDescent="0.35">
      <c r="A15" s="58"/>
      <c r="H15" s="442"/>
      <c r="N15" s="888" t="s">
        <v>145</v>
      </c>
      <c r="O15" s="888"/>
      <c r="P15" s="888"/>
      <c r="Q15" s="888"/>
      <c r="R15" s="431" t="s">
        <v>146</v>
      </c>
      <c r="S15" s="431"/>
      <c r="T15" s="431"/>
      <c r="U15" s="431"/>
      <c r="V15" s="431"/>
      <c r="W15" s="431"/>
      <c r="X15" s="431"/>
      <c r="Y15" s="431"/>
      <c r="Z15" s="431"/>
      <c r="AA15" s="431"/>
      <c r="AB15" s="431"/>
      <c r="AC15" s="431"/>
      <c r="AD15" s="880" t="s">
        <v>132</v>
      </c>
      <c r="AE15" s="881"/>
      <c r="AF15" s="881"/>
      <c r="AG15" s="881"/>
      <c r="AH15" s="881"/>
      <c r="AI15" s="882"/>
    </row>
    <row r="16" spans="1:35" ht="31.5" customHeight="1" x14ac:dyDescent="0.35">
      <c r="A16" s="378" t="s">
        <v>147</v>
      </c>
      <c r="C16" s="885" t="s">
        <v>128</v>
      </c>
      <c r="D16" s="885"/>
      <c r="E16" s="885"/>
      <c r="F16" s="885"/>
      <c r="H16" s="442"/>
      <c r="J16" s="444"/>
      <c r="K16" s="445" t="s">
        <v>35</v>
      </c>
      <c r="L16" s="445" t="s">
        <v>148</v>
      </c>
      <c r="N16" s="446" t="s">
        <v>149</v>
      </c>
      <c r="O16" s="447" t="s">
        <v>150</v>
      </c>
      <c r="P16" s="447" t="s">
        <v>138</v>
      </c>
      <c r="Q16" s="447" t="s">
        <v>151</v>
      </c>
      <c r="R16" s="749" t="s">
        <v>152</v>
      </c>
      <c r="S16" s="749"/>
      <c r="T16" s="883" t="s">
        <v>153</v>
      </c>
      <c r="U16" s="883"/>
      <c r="W16" s="425" t="s">
        <v>154</v>
      </c>
      <c r="X16" s="425"/>
      <c r="Y16" s="425"/>
      <c r="Z16" s="425"/>
      <c r="AA16" s="425"/>
      <c r="AB16" s="425"/>
      <c r="AC16" s="425"/>
      <c r="AD16" s="868"/>
      <c r="AE16" s="869"/>
      <c r="AF16" s="869"/>
      <c r="AG16" s="869"/>
      <c r="AH16" s="869"/>
      <c r="AI16" s="870"/>
    </row>
    <row r="17" spans="1:35" ht="18" customHeight="1" x14ac:dyDescent="0.25">
      <c r="A17" s="640"/>
      <c r="B17" s="2"/>
      <c r="C17" s="379"/>
      <c r="D17" s="379"/>
      <c r="E17" s="379"/>
      <c r="F17" s="379"/>
      <c r="G17" s="380">
        <f>+(D17-C17)+(F17-E17)</f>
        <v>0</v>
      </c>
      <c r="H17" s="381">
        <f>+G17*1440</f>
        <v>0</v>
      </c>
      <c r="I17" s="859" t="s">
        <v>155</v>
      </c>
      <c r="J17" s="860"/>
      <c r="K17" s="373">
        <v>0</v>
      </c>
      <c r="L17" s="374">
        <v>0</v>
      </c>
      <c r="M17" s="423"/>
      <c r="N17" s="629">
        <f>+J14+L14+K14+K17+L17</f>
        <v>0</v>
      </c>
      <c r="O17" s="368">
        <f>+(Setup_and_Criteria!$K$31+(J14*Setup_and_Criteria!$F$20)+('M1_1-15th'!K14*Setup_and_Criteria!$F$21)+('M1_1-15th'!L14*Setup_and_Criteria!$F$20))+T17+(K17*Setup_and_Criteria!$F$21)+(Setup_and_Criteria!$F$22*'M1_1-15th'!L17)</f>
        <v>75</v>
      </c>
      <c r="P17" s="367">
        <f>+H17</f>
        <v>0</v>
      </c>
      <c r="Q17" s="367">
        <f>+O17-P17</f>
        <v>75</v>
      </c>
      <c r="R17" s="861"/>
      <c r="S17" s="861"/>
      <c r="T17" s="862">
        <v>0</v>
      </c>
      <c r="U17" s="863"/>
      <c r="V17" s="265" t="s">
        <v>156</v>
      </c>
      <c r="W17" s="857"/>
      <c r="X17" s="858"/>
      <c r="Y17" s="858"/>
      <c r="Z17" s="858"/>
      <c r="AA17" s="858"/>
      <c r="AB17" s="858"/>
      <c r="AC17" s="858"/>
      <c r="AD17" s="868"/>
      <c r="AE17" s="869"/>
      <c r="AF17" s="869"/>
      <c r="AG17" s="869"/>
      <c r="AH17" s="869"/>
      <c r="AI17" s="870"/>
    </row>
    <row r="18" spans="1:35" ht="15.75" thickBot="1" x14ac:dyDescent="0.3">
      <c r="A18" s="452" t="s">
        <v>157</v>
      </c>
      <c r="B18" s="450"/>
      <c r="C18" s="451"/>
      <c r="D18" s="451"/>
      <c r="E18" s="451"/>
      <c r="F18" s="451"/>
      <c r="G18" s="451"/>
      <c r="H18" s="451"/>
      <c r="I18" s="450"/>
      <c r="J18" s="451"/>
      <c r="K18" s="451"/>
      <c r="L18" s="451"/>
      <c r="M18" s="451"/>
      <c r="N18" s="451"/>
      <c r="O18" s="451"/>
      <c r="P18" s="451"/>
      <c r="Q18" s="450"/>
      <c r="R18" s="451"/>
      <c r="S18" s="451"/>
      <c r="T18" s="451"/>
      <c r="U18" s="451"/>
      <c r="V18" s="451"/>
      <c r="W18" s="451"/>
      <c r="X18" s="451"/>
      <c r="Y18" s="451"/>
      <c r="Z18" s="451"/>
      <c r="AA18" s="451"/>
      <c r="AB18" s="450"/>
      <c r="AC18" s="450"/>
      <c r="AD18" s="871"/>
      <c r="AE18" s="872"/>
      <c r="AF18" s="872"/>
      <c r="AG18" s="872"/>
      <c r="AH18" s="872"/>
      <c r="AI18" s="873"/>
    </row>
    <row r="19" spans="1:35" ht="35.25" customHeight="1" x14ac:dyDescent="0.4">
      <c r="A19" s="434" t="str">
        <f>+A6</f>
        <v>April</v>
      </c>
      <c r="B19" s="624">
        <f>+B6+1</f>
        <v>2</v>
      </c>
      <c r="C19" s="884" t="s">
        <v>128</v>
      </c>
      <c r="D19" s="884"/>
      <c r="E19" s="884"/>
      <c r="F19" s="884"/>
      <c r="G19" s="377"/>
      <c r="H19" s="377"/>
      <c r="I19" s="21"/>
      <c r="J19" s="874" t="s">
        <v>129</v>
      </c>
      <c r="K19" s="875"/>
      <c r="L19" s="875"/>
      <c r="M19" s="875"/>
      <c r="N19" s="876" t="s">
        <v>130</v>
      </c>
      <c r="O19" s="876"/>
      <c r="P19" s="876"/>
      <c r="Q19" s="876"/>
      <c r="R19" s="424" t="str">
        <f>+R6</f>
        <v xml:space="preserve"> Corrections Tracking - Check out rooms</v>
      </c>
      <c r="S19" s="424"/>
      <c r="T19" s="424"/>
      <c r="U19" s="424"/>
      <c r="V19" s="424"/>
      <c r="W19" s="424"/>
      <c r="X19" s="424"/>
      <c r="Y19" s="424"/>
      <c r="Z19" s="424"/>
      <c r="AA19" s="424"/>
      <c r="AB19" s="424"/>
      <c r="AC19" s="424"/>
      <c r="AD19" s="461" t="s">
        <v>132</v>
      </c>
      <c r="AE19" s="426"/>
      <c r="AF19" s="426"/>
      <c r="AG19" s="426"/>
      <c r="AH19" s="426"/>
      <c r="AI19" s="427"/>
    </row>
    <row r="20" spans="1:35" ht="59.25" customHeight="1" x14ac:dyDescent="0.25">
      <c r="A20" s="378" t="s">
        <v>133</v>
      </c>
      <c r="C20" s="435" t="s">
        <v>134</v>
      </c>
      <c r="D20" s="435" t="s">
        <v>135</v>
      </c>
      <c r="E20" s="435" t="s">
        <v>134</v>
      </c>
      <c r="F20" s="435" t="s">
        <v>135</v>
      </c>
      <c r="G20" s="1" t="s">
        <v>136</v>
      </c>
      <c r="H20" s="1" t="s">
        <v>108</v>
      </c>
      <c r="I20" s="436"/>
      <c r="J20" s="437" t="str">
        <f>+Setup_and_Criteria!$B$13</f>
        <v>Checkouts</v>
      </c>
      <c r="K20" s="437" t="str">
        <f>+Setup_and_Criteria!$B$14</f>
        <v>Pet Rooms</v>
      </c>
      <c r="L20" s="437" t="str">
        <f>+Setup_and_Criteria!$B$15</f>
        <v>2 Rm &amp; Jac Stes</v>
      </c>
      <c r="M20" s="438" t="str">
        <f>+Setup_and_Criteria!$B$16</f>
        <v>Stayovers</v>
      </c>
      <c r="N20" s="269" t="s">
        <v>137</v>
      </c>
      <c r="O20" s="269" t="s">
        <v>138</v>
      </c>
      <c r="P20" s="439" t="s">
        <v>139</v>
      </c>
      <c r="Q20" s="439" t="s">
        <v>140</v>
      </c>
      <c r="R20" s="440" t="str">
        <f>+Corrections!$C$8</f>
        <v>Vanity</v>
      </c>
      <c r="S20" s="440" t="str">
        <f>+Corrections!$I$8</f>
        <v>Toilet</v>
      </c>
      <c r="T20" s="440" t="str">
        <f>+Corrections!$O$8</f>
        <v>Bed/Pillows</v>
      </c>
      <c r="U20" s="440" t="str">
        <f>+Corrections!$U$8</f>
        <v>Floor</v>
      </c>
      <c r="V20" s="440" t="str">
        <f>+Corrections!$AA$8</f>
        <v>Dusting</v>
      </c>
      <c r="W20" s="440" t="str">
        <f>+Corrections!$AG$8</f>
        <v>Fridge/Micro</v>
      </c>
      <c r="X20" s="440" t="str">
        <f>+Corrections!$AM$8</f>
        <v>Tub</v>
      </c>
      <c r="Y20" s="441" t="str">
        <f>+Corrections!$AS$8</f>
        <v>Mirrors/Glass</v>
      </c>
      <c r="Z20" s="440" t="str">
        <f>+Corrections!$AY$8</f>
        <v>Stocking</v>
      </c>
      <c r="AA20" s="440" t="str">
        <f>+Corrections!$BE$8</f>
        <v>Other</v>
      </c>
      <c r="AB20" s="269" t="s">
        <v>141</v>
      </c>
      <c r="AC20" s="269" t="str">
        <f>+$AC$7</f>
        <v>Daily Corr / Inspected Checkout</v>
      </c>
      <c r="AD20" s="889" t="s">
        <v>143</v>
      </c>
      <c r="AE20" s="890"/>
      <c r="AF20" s="890"/>
      <c r="AG20" s="890"/>
      <c r="AH20" s="890"/>
      <c r="AI20" s="891"/>
    </row>
    <row r="21" spans="1:35" x14ac:dyDescent="0.25">
      <c r="A21" s="638"/>
      <c r="C21" s="369"/>
      <c r="D21" s="369"/>
      <c r="E21" s="369"/>
      <c r="F21" s="369"/>
      <c r="G21" s="264">
        <f t="shared" ref="G21:G26" si="8">+(D21-C21)+(F21-E21)</f>
        <v>0</v>
      </c>
      <c r="H21" s="442">
        <f t="shared" ref="H21:H26" si="9">+G21*1440</f>
        <v>0</v>
      </c>
      <c r="J21" s="630"/>
      <c r="K21" s="630"/>
      <c r="L21" s="630"/>
      <c r="M21" s="630"/>
      <c r="N21" s="1">
        <f>IF(C21&gt;0,((J21*Setup_and_Criteria!$F$13)+('M1_1-15th'!K21*Setup_and_Criteria!$F$14)+('M1_1-15th'!L21*Setup_and_Criteria!$F$15)+('M1_1-15th'!M21*Setup_and_Criteria!$F$16)+Setup_and_Criteria!$J$16),0)</f>
        <v>0</v>
      </c>
      <c r="O21" s="442">
        <f>+H21</f>
        <v>0</v>
      </c>
      <c r="P21" s="443">
        <f t="shared" ref="P21:P27" si="10">+N21-O21</f>
        <v>0</v>
      </c>
      <c r="Q21" s="357" t="e">
        <f t="shared" ref="Q21:Q27" si="11">O21/_xlfn.SINGLE(SUM(J21:M21))</f>
        <v>#DIV/0!</v>
      </c>
      <c r="R21" s="630"/>
      <c r="S21" s="630"/>
      <c r="T21" s="630"/>
      <c r="U21" s="630"/>
      <c r="V21" s="630"/>
      <c r="W21" s="630"/>
      <c r="X21" s="630"/>
      <c r="Y21" s="630"/>
      <c r="Z21" s="630"/>
      <c r="AA21" s="630"/>
      <c r="AB21" s="1">
        <f t="shared" ref="AB21:AB27" si="12">SUM(R21:AA21)</f>
        <v>0</v>
      </c>
      <c r="AC21" s="357" t="e">
        <f t="shared" ref="AC21:AC27" si="13">+AB21/(J21+K21+L21)</f>
        <v>#DIV/0!</v>
      </c>
      <c r="AD21" s="864" t="s">
        <v>144</v>
      </c>
      <c r="AE21" s="865"/>
      <c r="AF21" s="865"/>
      <c r="AG21" s="866"/>
      <c r="AH21" s="866"/>
      <c r="AI21" s="867"/>
    </row>
    <row r="22" spans="1:35" x14ac:dyDescent="0.25">
      <c r="A22" s="638"/>
      <c r="C22" s="630"/>
      <c r="D22" s="630"/>
      <c r="E22" s="630"/>
      <c r="F22" s="630"/>
      <c r="G22" s="264">
        <f t="shared" si="8"/>
        <v>0</v>
      </c>
      <c r="H22" s="442">
        <f t="shared" si="9"/>
        <v>0</v>
      </c>
      <c r="J22" s="630"/>
      <c r="K22" s="630"/>
      <c r="L22" s="630"/>
      <c r="M22" s="630"/>
      <c r="N22" s="1">
        <f>IF(C22&gt;0,((J22*Setup_and_Criteria!$F$13)+('M1_1-15th'!K22*Setup_and_Criteria!$F$14)+('M1_1-15th'!L22*Setup_and_Criteria!$F$15)+('M1_1-15th'!M22*Setup_and_Criteria!$F$16)+Setup_and_Criteria!$J$16),0)</f>
        <v>0</v>
      </c>
      <c r="O22" s="442">
        <f t="shared" ref="O22:O27" si="14">+H22</f>
        <v>0</v>
      </c>
      <c r="P22" s="443">
        <f t="shared" si="10"/>
        <v>0</v>
      </c>
      <c r="Q22" s="357" t="e">
        <f t="shared" si="11"/>
        <v>#DIV/0!</v>
      </c>
      <c r="R22" s="630"/>
      <c r="S22" s="630"/>
      <c r="T22" s="630"/>
      <c r="U22" s="630"/>
      <c r="V22" s="630"/>
      <c r="W22" s="630"/>
      <c r="X22" s="630"/>
      <c r="Y22" s="630"/>
      <c r="Z22" s="630"/>
      <c r="AA22" s="630"/>
      <c r="AB22" s="1">
        <f t="shared" si="12"/>
        <v>0</v>
      </c>
      <c r="AC22" s="357" t="e">
        <f t="shared" si="13"/>
        <v>#DIV/0!</v>
      </c>
      <c r="AD22" s="864"/>
      <c r="AE22" s="865"/>
      <c r="AF22" s="865"/>
      <c r="AG22" s="866"/>
      <c r="AH22" s="866"/>
      <c r="AI22" s="867"/>
    </row>
    <row r="23" spans="1:35" x14ac:dyDescent="0.25">
      <c r="A23" s="638"/>
      <c r="C23" s="630"/>
      <c r="D23" s="630"/>
      <c r="E23" s="630"/>
      <c r="F23" s="630"/>
      <c r="G23" s="264">
        <f t="shared" si="8"/>
        <v>0</v>
      </c>
      <c r="H23" s="442">
        <f t="shared" si="9"/>
        <v>0</v>
      </c>
      <c r="J23" s="630"/>
      <c r="K23" s="630"/>
      <c r="L23" s="630"/>
      <c r="M23" s="630"/>
      <c r="N23" s="1">
        <f>IF(C23&gt;0,((J23*Setup_and_Criteria!$F$13)+('M1_1-15th'!K23*Setup_and_Criteria!$F$14)+('M1_1-15th'!L23*Setup_and_Criteria!$F$15)+('M1_1-15th'!M23*Setup_and_Criteria!$F$16)+Setup_and_Criteria!$J$16),0)</f>
        <v>0</v>
      </c>
      <c r="O23" s="442">
        <f t="shared" si="14"/>
        <v>0</v>
      </c>
      <c r="P23" s="443">
        <f t="shared" si="10"/>
        <v>0</v>
      </c>
      <c r="Q23" s="357" t="e">
        <f t="shared" si="11"/>
        <v>#DIV/0!</v>
      </c>
      <c r="R23" s="630"/>
      <c r="S23" s="630"/>
      <c r="T23" s="630"/>
      <c r="U23" s="630"/>
      <c r="V23" s="630"/>
      <c r="W23" s="630"/>
      <c r="X23" s="630"/>
      <c r="Y23" s="630"/>
      <c r="Z23" s="630"/>
      <c r="AA23" s="630"/>
      <c r="AB23" s="1">
        <f t="shared" si="12"/>
        <v>0</v>
      </c>
      <c r="AC23" s="357" t="e">
        <f t="shared" si="13"/>
        <v>#DIV/0!</v>
      </c>
      <c r="AD23" s="864"/>
      <c r="AE23" s="865"/>
      <c r="AF23" s="865"/>
      <c r="AG23" s="866"/>
      <c r="AH23" s="866"/>
      <c r="AI23" s="867"/>
    </row>
    <row r="24" spans="1:35" x14ac:dyDescent="0.25">
      <c r="A24" s="638"/>
      <c r="C24" s="630"/>
      <c r="D24" s="630"/>
      <c r="E24" s="630"/>
      <c r="F24" s="630"/>
      <c r="G24" s="264">
        <f t="shared" si="8"/>
        <v>0</v>
      </c>
      <c r="H24" s="442">
        <f t="shared" si="9"/>
        <v>0</v>
      </c>
      <c r="J24" s="630"/>
      <c r="K24" s="630"/>
      <c r="L24" s="630"/>
      <c r="M24" s="630"/>
      <c r="N24" s="1">
        <f>IF(C24&gt;0,((J24*Setup_and_Criteria!$F$13)+('M1_1-15th'!K24*Setup_and_Criteria!$F$14)+('M1_1-15th'!L24*Setup_and_Criteria!$F$15)+('M1_1-15th'!M24*Setup_and_Criteria!$F$16)+Setup_and_Criteria!$J$16),0)</f>
        <v>0</v>
      </c>
      <c r="O24" s="442">
        <f t="shared" si="14"/>
        <v>0</v>
      </c>
      <c r="P24" s="443">
        <f t="shared" si="10"/>
        <v>0</v>
      </c>
      <c r="Q24" s="357" t="e">
        <f t="shared" si="11"/>
        <v>#DIV/0!</v>
      </c>
      <c r="R24" s="630"/>
      <c r="S24" s="630"/>
      <c r="T24" s="630"/>
      <c r="U24" s="630"/>
      <c r="V24" s="630"/>
      <c r="W24" s="630"/>
      <c r="X24" s="630"/>
      <c r="Y24" s="630"/>
      <c r="Z24" s="630"/>
      <c r="AA24" s="630"/>
      <c r="AB24" s="1">
        <f t="shared" si="12"/>
        <v>0</v>
      </c>
      <c r="AC24" s="357" t="e">
        <f t="shared" si="13"/>
        <v>#DIV/0!</v>
      </c>
      <c r="AD24" s="864"/>
      <c r="AE24" s="865"/>
      <c r="AF24" s="865"/>
      <c r="AG24" s="866"/>
      <c r="AH24" s="866"/>
      <c r="AI24" s="867"/>
    </row>
    <row r="25" spans="1:35" x14ac:dyDescent="0.25">
      <c r="A25" s="638"/>
      <c r="C25" s="630"/>
      <c r="D25" s="630"/>
      <c r="E25" s="630"/>
      <c r="F25" s="630"/>
      <c r="G25" s="264">
        <f t="shared" si="8"/>
        <v>0</v>
      </c>
      <c r="H25" s="442">
        <f t="shared" si="9"/>
        <v>0</v>
      </c>
      <c r="J25" s="630"/>
      <c r="K25" s="630"/>
      <c r="L25" s="630"/>
      <c r="M25" s="630"/>
      <c r="N25" s="1">
        <f>IF(C25&gt;0,((J25*Setup_and_Criteria!$F$13)+('M1_1-15th'!K25*Setup_and_Criteria!$F$14)+('M1_1-15th'!L25*Setup_and_Criteria!$F$15)+('M1_1-15th'!M25*Setup_and_Criteria!$F$16)+Setup_and_Criteria!$J$16),0)</f>
        <v>0</v>
      </c>
      <c r="O25" s="442">
        <f t="shared" si="14"/>
        <v>0</v>
      </c>
      <c r="P25" s="443">
        <f t="shared" si="10"/>
        <v>0</v>
      </c>
      <c r="Q25" s="357" t="e">
        <f t="shared" si="11"/>
        <v>#DIV/0!</v>
      </c>
      <c r="R25" s="630"/>
      <c r="S25" s="630"/>
      <c r="T25" s="630"/>
      <c r="U25" s="630"/>
      <c r="V25" s="630"/>
      <c r="W25" s="630"/>
      <c r="X25" s="630"/>
      <c r="Y25" s="630"/>
      <c r="Z25" s="630"/>
      <c r="AA25" s="630"/>
      <c r="AB25" s="1">
        <f t="shared" si="12"/>
        <v>0</v>
      </c>
      <c r="AC25" s="357" t="e">
        <f t="shared" si="13"/>
        <v>#DIV/0!</v>
      </c>
      <c r="AD25" s="864"/>
      <c r="AE25" s="865"/>
      <c r="AF25" s="865"/>
      <c r="AG25" s="866"/>
      <c r="AH25" s="866"/>
      <c r="AI25" s="867"/>
    </row>
    <row r="26" spans="1:35" ht="15.75" thickBot="1" x14ac:dyDescent="0.3">
      <c r="A26" s="638"/>
      <c r="C26" s="370"/>
      <c r="D26" s="370"/>
      <c r="E26" s="630"/>
      <c r="F26" s="630"/>
      <c r="G26" s="264">
        <f t="shared" si="8"/>
        <v>0</v>
      </c>
      <c r="H26" s="442">
        <f t="shared" si="9"/>
        <v>0</v>
      </c>
      <c r="J26" s="371"/>
      <c r="K26" s="371"/>
      <c r="L26" s="371"/>
      <c r="M26" s="371"/>
      <c r="N26" s="517">
        <f>IF(C26&gt;0,((J26*Setup_and_Criteria!$F$13)+('M1_1-15th'!K26*Setup_and_Criteria!$F$14)+('M1_1-15th'!L26*Setup_and_Criteria!$F$15)+('M1_1-15th'!M26*Setup_and_Criteria!$F$16)+Setup_and_Criteria!$J$16),0)</f>
        <v>0</v>
      </c>
      <c r="O26" s="359">
        <f t="shared" si="14"/>
        <v>0</v>
      </c>
      <c r="P26" s="383">
        <f t="shared" si="10"/>
        <v>0</v>
      </c>
      <c r="Q26" s="360" t="e">
        <f t="shared" si="11"/>
        <v>#DIV/0!</v>
      </c>
      <c r="R26" s="511"/>
      <c r="S26" s="511"/>
      <c r="T26" s="511"/>
      <c r="U26" s="511"/>
      <c r="V26" s="511"/>
      <c r="W26" s="511"/>
      <c r="X26" s="511"/>
      <c r="Y26" s="511"/>
      <c r="Z26" s="511"/>
      <c r="AA26" s="511"/>
      <c r="AB26" s="1">
        <f t="shared" si="12"/>
        <v>0</v>
      </c>
      <c r="AC26" s="357" t="e">
        <f t="shared" si="13"/>
        <v>#DIV/0!</v>
      </c>
      <c r="AD26" s="864"/>
      <c r="AE26" s="865"/>
      <c r="AF26" s="865"/>
      <c r="AG26" s="866"/>
      <c r="AH26" s="866"/>
      <c r="AI26" s="867"/>
    </row>
    <row r="27" spans="1:35" ht="15.75" thickTop="1" x14ac:dyDescent="0.25">
      <c r="A27" s="58"/>
      <c r="H27" s="442">
        <f>SUM(H21:H26)</f>
        <v>0</v>
      </c>
      <c r="J27" s="1">
        <f>SUM(J21:J26)</f>
        <v>0</v>
      </c>
      <c r="K27" s="1">
        <f>SUM(K21:K26)</f>
        <v>0</v>
      </c>
      <c r="L27" s="1">
        <f>SUM(L21:L26)</f>
        <v>0</v>
      </c>
      <c r="M27" s="1">
        <f>SUM(M21:M26)</f>
        <v>0</v>
      </c>
      <c r="N27" s="1">
        <f>SUM(N21:N26)</f>
        <v>0</v>
      </c>
      <c r="O27" s="1">
        <f t="shared" si="14"/>
        <v>0</v>
      </c>
      <c r="P27" s="443">
        <f t="shared" si="10"/>
        <v>0</v>
      </c>
      <c r="Q27" s="357" t="e">
        <f t="shared" si="11"/>
        <v>#DIV/0!</v>
      </c>
      <c r="R27" s="1">
        <f t="shared" ref="R27:AA27" si="15">SUM(R21:R26)</f>
        <v>0</v>
      </c>
      <c r="S27" s="1">
        <f t="shared" si="15"/>
        <v>0</v>
      </c>
      <c r="T27" s="1">
        <f t="shared" si="15"/>
        <v>0</v>
      </c>
      <c r="U27" s="1">
        <f t="shared" si="15"/>
        <v>0</v>
      </c>
      <c r="V27" s="1">
        <f t="shared" si="15"/>
        <v>0</v>
      </c>
      <c r="W27" s="1">
        <f t="shared" si="15"/>
        <v>0</v>
      </c>
      <c r="X27" s="1">
        <f t="shared" si="15"/>
        <v>0</v>
      </c>
      <c r="Y27" s="1">
        <f t="shared" si="15"/>
        <v>0</v>
      </c>
      <c r="Z27" s="1">
        <f t="shared" si="15"/>
        <v>0</v>
      </c>
      <c r="AA27" s="1">
        <f t="shared" si="15"/>
        <v>0</v>
      </c>
      <c r="AB27" s="1">
        <f t="shared" si="12"/>
        <v>0</v>
      </c>
      <c r="AC27" s="357" t="e">
        <f t="shared" si="13"/>
        <v>#DIV/0!</v>
      </c>
      <c r="AD27" s="877"/>
      <c r="AE27" s="878"/>
      <c r="AF27" s="878"/>
      <c r="AG27" s="749"/>
      <c r="AH27" s="749"/>
      <c r="AI27" s="879"/>
    </row>
    <row r="28" spans="1:35" ht="21" customHeight="1" x14ac:dyDescent="0.35">
      <c r="A28" s="58"/>
      <c r="H28" s="442"/>
      <c r="N28" s="888" t="s">
        <v>145</v>
      </c>
      <c r="O28" s="888"/>
      <c r="P28" s="888"/>
      <c r="Q28" s="888"/>
      <c r="R28" s="431" t="s">
        <v>146</v>
      </c>
      <c r="S28" s="431"/>
      <c r="T28" s="431"/>
      <c r="U28" s="431"/>
      <c r="V28" s="431"/>
      <c r="W28" s="431"/>
      <c r="X28" s="431"/>
      <c r="Y28" s="431"/>
      <c r="Z28" s="431"/>
      <c r="AA28" s="431"/>
      <c r="AB28" s="431"/>
      <c r="AC28" s="431"/>
      <c r="AD28" s="880" t="s">
        <v>132</v>
      </c>
      <c r="AE28" s="881"/>
      <c r="AF28" s="881"/>
      <c r="AG28" s="881"/>
      <c r="AH28" s="881"/>
      <c r="AI28" s="882"/>
    </row>
    <row r="29" spans="1:35" ht="31.5" customHeight="1" x14ac:dyDescent="0.35">
      <c r="A29" s="378" t="s">
        <v>147</v>
      </c>
      <c r="C29" s="885" t="s">
        <v>128</v>
      </c>
      <c r="D29" s="885"/>
      <c r="E29" s="885"/>
      <c r="F29" s="885"/>
      <c r="H29" s="442"/>
      <c r="J29" s="444"/>
      <c r="K29" s="445" t="s">
        <v>35</v>
      </c>
      <c r="L29" s="445" t="s">
        <v>148</v>
      </c>
      <c r="N29" s="446" t="s">
        <v>149</v>
      </c>
      <c r="O29" s="447" t="s">
        <v>150</v>
      </c>
      <c r="P29" s="447" t="s">
        <v>138</v>
      </c>
      <c r="Q29" s="447" t="s">
        <v>151</v>
      </c>
      <c r="R29" s="749" t="s">
        <v>152</v>
      </c>
      <c r="S29" s="749"/>
      <c r="T29" s="883" t="s">
        <v>153</v>
      </c>
      <c r="U29" s="883"/>
      <c r="W29" s="425" t="s">
        <v>154</v>
      </c>
      <c r="X29" s="425"/>
      <c r="Y29" s="425"/>
      <c r="Z29" s="425"/>
      <c r="AA29" s="425"/>
      <c r="AB29" s="425"/>
      <c r="AC29" s="425"/>
      <c r="AD29" s="868"/>
      <c r="AE29" s="869"/>
      <c r="AF29" s="869"/>
      <c r="AG29" s="869"/>
      <c r="AH29" s="869"/>
      <c r="AI29" s="870"/>
    </row>
    <row r="30" spans="1:35" ht="18" customHeight="1" thickBot="1" x14ac:dyDescent="0.3">
      <c r="A30" s="639"/>
      <c r="B30" s="364"/>
      <c r="C30" s="372"/>
      <c r="D30" s="372"/>
      <c r="E30" s="372"/>
      <c r="F30" s="372"/>
      <c r="G30" s="366">
        <f>+(D30-C30)+(F30-E30)</f>
        <v>0</v>
      </c>
      <c r="H30" s="367">
        <f>+G30*1440</f>
        <v>0</v>
      </c>
      <c r="I30" s="859" t="s">
        <v>155</v>
      </c>
      <c r="J30" s="860"/>
      <c r="K30" s="373"/>
      <c r="L30" s="374"/>
      <c r="M30" s="423"/>
      <c r="N30" s="629">
        <f>+J27+L27+K27+K30+L30</f>
        <v>0</v>
      </c>
      <c r="O30" s="368">
        <f>+(Setup_and_Criteria!$K$31+(J27*Setup_and_Criteria!$F$20)+('M1_1-15th'!K27*Setup_and_Criteria!$F$21)+('M1_1-15th'!L27*Setup_and_Criteria!$F$20))+T30+(K30*Setup_and_Criteria!$F$21)+(Setup_and_Criteria!$F$22*'M1_1-15th'!L30)</f>
        <v>75</v>
      </c>
      <c r="P30" s="367">
        <f>+H30</f>
        <v>0</v>
      </c>
      <c r="Q30" s="367">
        <f>+O30-P30</f>
        <v>75</v>
      </c>
      <c r="R30" s="861" t="s">
        <v>252</v>
      </c>
      <c r="S30" s="861"/>
      <c r="T30" s="862"/>
      <c r="U30" s="863"/>
      <c r="V30" s="265" t="s">
        <v>156</v>
      </c>
      <c r="W30" s="854"/>
      <c r="X30" s="855"/>
      <c r="Y30" s="855"/>
      <c r="Z30" s="855"/>
      <c r="AA30" s="855"/>
      <c r="AB30" s="855"/>
      <c r="AC30" s="855"/>
      <c r="AD30" s="868"/>
      <c r="AE30" s="869"/>
      <c r="AF30" s="869"/>
      <c r="AG30" s="869"/>
      <c r="AH30" s="869"/>
      <c r="AI30" s="870"/>
    </row>
    <row r="31" spans="1:35" ht="15.75" thickBot="1" x14ac:dyDescent="0.3">
      <c r="A31" s="452" t="str">
        <f>+A18</f>
        <v>Password to enter data = "Enter Info"</v>
      </c>
      <c r="B31" s="450"/>
      <c r="C31" s="451"/>
      <c r="D31" s="451"/>
      <c r="E31" s="451"/>
      <c r="F31" s="451"/>
      <c r="G31" s="451"/>
      <c r="H31" s="451"/>
      <c r="I31" s="450"/>
      <c r="J31" s="451"/>
      <c r="K31" s="451"/>
      <c r="L31" s="451"/>
      <c r="M31" s="451"/>
      <c r="N31" s="451"/>
      <c r="O31" s="451"/>
      <c r="P31" s="451"/>
      <c r="Q31" s="450"/>
      <c r="R31" s="451"/>
      <c r="S31" s="451"/>
      <c r="T31" s="451"/>
      <c r="U31" s="451"/>
      <c r="V31" s="451"/>
      <c r="W31" s="451"/>
      <c r="X31" s="451"/>
      <c r="Y31" s="451"/>
      <c r="Z31" s="451"/>
      <c r="AA31" s="451"/>
      <c r="AB31" s="450"/>
      <c r="AC31" s="450"/>
      <c r="AD31" s="871"/>
      <c r="AE31" s="872"/>
      <c r="AF31" s="872"/>
      <c r="AG31" s="872"/>
      <c r="AH31" s="872"/>
      <c r="AI31" s="873"/>
    </row>
    <row r="32" spans="1:35" ht="35.25" customHeight="1" x14ac:dyDescent="0.4">
      <c r="A32" s="434" t="str">
        <f>+A19</f>
        <v>April</v>
      </c>
      <c r="B32" s="624">
        <f>+B19+1</f>
        <v>3</v>
      </c>
      <c r="C32" s="884" t="s">
        <v>128</v>
      </c>
      <c r="D32" s="884"/>
      <c r="E32" s="884"/>
      <c r="F32" s="884"/>
      <c r="G32" s="377"/>
      <c r="H32" s="377"/>
      <c r="I32" s="21"/>
      <c r="J32" s="874" t="s">
        <v>129</v>
      </c>
      <c r="K32" s="875"/>
      <c r="L32" s="875"/>
      <c r="M32" s="875"/>
      <c r="N32" s="876" t="s">
        <v>130</v>
      </c>
      <c r="O32" s="876"/>
      <c r="P32" s="876"/>
      <c r="Q32" s="876"/>
      <c r="R32" s="424" t="str">
        <f>+R19</f>
        <v xml:space="preserve"> Corrections Tracking - Check out rooms</v>
      </c>
      <c r="S32" s="424"/>
      <c r="T32" s="424"/>
      <c r="U32" s="424"/>
      <c r="V32" s="424"/>
      <c r="W32" s="424"/>
      <c r="X32" s="424"/>
      <c r="Y32" s="424"/>
      <c r="Z32" s="424"/>
      <c r="AA32" s="424"/>
      <c r="AB32" s="424"/>
      <c r="AC32" s="424"/>
      <c r="AD32" s="461" t="s">
        <v>132</v>
      </c>
      <c r="AE32" s="426"/>
      <c r="AF32" s="426"/>
      <c r="AG32" s="426"/>
      <c r="AH32" s="426"/>
      <c r="AI32" s="427"/>
    </row>
    <row r="33" spans="1:35" ht="59.25" customHeight="1" x14ac:dyDescent="0.25">
      <c r="A33" s="378" t="s">
        <v>133</v>
      </c>
      <c r="C33" s="435" t="s">
        <v>134</v>
      </c>
      <c r="D33" s="435" t="s">
        <v>135</v>
      </c>
      <c r="E33" s="435" t="s">
        <v>134</v>
      </c>
      <c r="F33" s="435" t="s">
        <v>135</v>
      </c>
      <c r="G33" s="1" t="s">
        <v>136</v>
      </c>
      <c r="H33" s="1" t="s">
        <v>108</v>
      </c>
      <c r="I33" s="436"/>
      <c r="J33" s="437" t="str">
        <f>+Setup_and_Criteria!$B$13</f>
        <v>Checkouts</v>
      </c>
      <c r="K33" s="437" t="str">
        <f>+Setup_and_Criteria!$B$14</f>
        <v>Pet Rooms</v>
      </c>
      <c r="L33" s="437" t="str">
        <f>+Setup_and_Criteria!$B$15</f>
        <v>2 Rm &amp; Jac Stes</v>
      </c>
      <c r="M33" s="438" t="str">
        <f>+Setup_and_Criteria!$B$16</f>
        <v>Stayovers</v>
      </c>
      <c r="N33" s="269" t="s">
        <v>137</v>
      </c>
      <c r="O33" s="269" t="s">
        <v>138</v>
      </c>
      <c r="P33" s="439" t="s">
        <v>139</v>
      </c>
      <c r="Q33" s="439" t="s">
        <v>140</v>
      </c>
      <c r="R33" s="440" t="str">
        <f>+Corrections!$C$8</f>
        <v>Vanity</v>
      </c>
      <c r="S33" s="440" t="str">
        <f>+Corrections!$I$8</f>
        <v>Toilet</v>
      </c>
      <c r="T33" s="440" t="str">
        <f>+Corrections!$O$8</f>
        <v>Bed/Pillows</v>
      </c>
      <c r="U33" s="440" t="str">
        <f>+Corrections!$U$8</f>
        <v>Floor</v>
      </c>
      <c r="V33" s="440" t="str">
        <f>+Corrections!$AA$8</f>
        <v>Dusting</v>
      </c>
      <c r="W33" s="440" t="str">
        <f>+Corrections!$AG$8</f>
        <v>Fridge/Micro</v>
      </c>
      <c r="X33" s="440" t="str">
        <f>+Corrections!$AM$8</f>
        <v>Tub</v>
      </c>
      <c r="Y33" s="441" t="str">
        <f>+Corrections!$AS$8</f>
        <v>Mirrors/Glass</v>
      </c>
      <c r="Z33" s="440" t="str">
        <f>+Corrections!$AY$8</f>
        <v>Stocking</v>
      </c>
      <c r="AA33" s="440" t="str">
        <f>+Corrections!$BE$8</f>
        <v>Other</v>
      </c>
      <c r="AB33" s="269" t="s">
        <v>141</v>
      </c>
      <c r="AC33" s="269" t="str">
        <f>+$AC$7</f>
        <v>Daily Corr / Inspected Checkout</v>
      </c>
      <c r="AD33" s="889" t="s">
        <v>143</v>
      </c>
      <c r="AE33" s="890"/>
      <c r="AF33" s="890"/>
      <c r="AG33" s="890"/>
      <c r="AH33" s="890"/>
      <c r="AI33" s="891"/>
    </row>
    <row r="34" spans="1:35" x14ac:dyDescent="0.25">
      <c r="A34" s="638"/>
      <c r="C34" s="369"/>
      <c r="D34" s="369"/>
      <c r="E34" s="369"/>
      <c r="F34" s="369"/>
      <c r="G34" s="264">
        <f t="shared" ref="G34:G39" si="16">+(D34-C34)+(F34-E34)</f>
        <v>0</v>
      </c>
      <c r="H34" s="442">
        <f t="shared" ref="H34:H39" si="17">+G34*1440</f>
        <v>0</v>
      </c>
      <c r="J34" s="630"/>
      <c r="K34" s="630"/>
      <c r="L34" s="630"/>
      <c r="M34" s="630"/>
      <c r="N34" s="1">
        <f>IF(C34&gt;0,((J34*Setup_and_Criteria!$F$13)+('M1_1-15th'!K34*Setup_and_Criteria!$F$14)+('M1_1-15th'!L34*Setup_and_Criteria!$F$15)+('M1_1-15th'!M34*Setup_and_Criteria!$F$16)+Setup_and_Criteria!$J$16),0)</f>
        <v>0</v>
      </c>
      <c r="O34" s="442">
        <f>+H34</f>
        <v>0</v>
      </c>
      <c r="P34" s="443">
        <f t="shared" ref="P34:P40" si="18">+N34-O34</f>
        <v>0</v>
      </c>
      <c r="Q34" s="357" t="e">
        <f t="shared" ref="Q34:Q40" si="19">O34/_xlfn.SINGLE(SUM(J34:M34))</f>
        <v>#DIV/0!</v>
      </c>
      <c r="R34" s="630"/>
      <c r="S34" s="630"/>
      <c r="T34" s="630"/>
      <c r="U34" s="630"/>
      <c r="V34" s="630"/>
      <c r="W34" s="630"/>
      <c r="X34" s="630"/>
      <c r="Y34" s="630"/>
      <c r="Z34" s="630"/>
      <c r="AA34" s="630"/>
      <c r="AB34" s="1">
        <f t="shared" ref="AB34:AB40" si="20">SUM(R34:AA34)</f>
        <v>0</v>
      </c>
      <c r="AC34" s="357" t="e">
        <f t="shared" ref="AC34:AC40" si="21">+AB34/(J34+K34+L34)</f>
        <v>#DIV/0!</v>
      </c>
      <c r="AD34" s="864" t="s">
        <v>144</v>
      </c>
      <c r="AE34" s="865"/>
      <c r="AF34" s="865"/>
      <c r="AG34" s="866"/>
      <c r="AH34" s="866"/>
      <c r="AI34" s="867"/>
    </row>
    <row r="35" spans="1:35" x14ac:dyDescent="0.25">
      <c r="A35" s="638"/>
      <c r="C35" s="630"/>
      <c r="D35" s="630"/>
      <c r="E35" s="630"/>
      <c r="F35" s="630"/>
      <c r="G35" s="264">
        <f t="shared" si="16"/>
        <v>0</v>
      </c>
      <c r="H35" s="442">
        <f t="shared" si="17"/>
        <v>0</v>
      </c>
      <c r="J35" s="630"/>
      <c r="K35" s="630"/>
      <c r="L35" s="630"/>
      <c r="M35" s="630"/>
      <c r="N35" s="1">
        <f>IF(C35&gt;0,((J35*Setup_and_Criteria!$F$13)+('M1_1-15th'!K35*Setup_and_Criteria!$F$14)+('M1_1-15th'!L35*Setup_and_Criteria!$F$15)+('M1_1-15th'!M35*Setup_and_Criteria!$F$16)+Setup_and_Criteria!$J$16),0)</f>
        <v>0</v>
      </c>
      <c r="O35" s="442">
        <f t="shared" ref="O35:O40" si="22">+H35</f>
        <v>0</v>
      </c>
      <c r="P35" s="443">
        <f t="shared" si="18"/>
        <v>0</v>
      </c>
      <c r="Q35" s="357" t="e">
        <f t="shared" si="19"/>
        <v>#DIV/0!</v>
      </c>
      <c r="R35" s="630"/>
      <c r="S35" s="630"/>
      <c r="T35" s="630"/>
      <c r="U35" s="630"/>
      <c r="V35" s="630"/>
      <c r="W35" s="630"/>
      <c r="X35" s="630"/>
      <c r="Y35" s="630"/>
      <c r="Z35" s="630"/>
      <c r="AA35" s="630"/>
      <c r="AB35" s="1">
        <f t="shared" si="20"/>
        <v>0</v>
      </c>
      <c r="AC35" s="357" t="e">
        <f t="shared" si="21"/>
        <v>#DIV/0!</v>
      </c>
      <c r="AD35" s="864"/>
      <c r="AE35" s="865"/>
      <c r="AF35" s="865"/>
      <c r="AG35" s="866"/>
      <c r="AH35" s="866"/>
      <c r="AI35" s="867"/>
    </row>
    <row r="36" spans="1:35" x14ac:dyDescent="0.25">
      <c r="A36" s="638"/>
      <c r="C36" s="630"/>
      <c r="D36" s="630"/>
      <c r="E36" s="630"/>
      <c r="F36" s="630"/>
      <c r="G36" s="264">
        <f t="shared" si="16"/>
        <v>0</v>
      </c>
      <c r="H36" s="442">
        <f t="shared" si="17"/>
        <v>0</v>
      </c>
      <c r="J36" s="630"/>
      <c r="K36" s="630"/>
      <c r="L36" s="630"/>
      <c r="M36" s="630"/>
      <c r="N36" s="1">
        <f>IF(C36&gt;0,((J36*Setup_and_Criteria!$F$13)+('M1_1-15th'!K36*Setup_and_Criteria!$F$14)+('M1_1-15th'!L36*Setup_and_Criteria!$F$15)+('M1_1-15th'!M36*Setup_and_Criteria!$F$16)+Setup_and_Criteria!$J$16),0)</f>
        <v>0</v>
      </c>
      <c r="O36" s="442">
        <f t="shared" si="22"/>
        <v>0</v>
      </c>
      <c r="P36" s="443">
        <f t="shared" si="18"/>
        <v>0</v>
      </c>
      <c r="Q36" s="357" t="e">
        <f t="shared" si="19"/>
        <v>#DIV/0!</v>
      </c>
      <c r="R36" s="630"/>
      <c r="S36" s="630"/>
      <c r="T36" s="630"/>
      <c r="U36" s="630"/>
      <c r="V36" s="630"/>
      <c r="W36" s="630"/>
      <c r="X36" s="630"/>
      <c r="Y36" s="630"/>
      <c r="Z36" s="630"/>
      <c r="AA36" s="630"/>
      <c r="AB36" s="1">
        <f t="shared" si="20"/>
        <v>0</v>
      </c>
      <c r="AC36" s="357" t="e">
        <f t="shared" si="21"/>
        <v>#DIV/0!</v>
      </c>
      <c r="AD36" s="864"/>
      <c r="AE36" s="865"/>
      <c r="AF36" s="865"/>
      <c r="AG36" s="866"/>
      <c r="AH36" s="866"/>
      <c r="AI36" s="867"/>
    </row>
    <row r="37" spans="1:35" x14ac:dyDescent="0.25">
      <c r="A37" s="638"/>
      <c r="C37" s="630"/>
      <c r="D37" s="630"/>
      <c r="E37" s="630"/>
      <c r="F37" s="630"/>
      <c r="G37" s="264">
        <f t="shared" si="16"/>
        <v>0</v>
      </c>
      <c r="H37" s="442">
        <f t="shared" si="17"/>
        <v>0</v>
      </c>
      <c r="J37" s="630"/>
      <c r="K37" s="630"/>
      <c r="L37" s="630"/>
      <c r="M37" s="630"/>
      <c r="N37" s="1">
        <f>IF(C37&gt;0,((J37*Setup_and_Criteria!$F$13)+('M1_1-15th'!K37*Setup_and_Criteria!$F$14)+('M1_1-15th'!L37*Setup_and_Criteria!$F$15)+('M1_1-15th'!M37*Setup_and_Criteria!$F$16)+Setup_and_Criteria!$J$16),0)</f>
        <v>0</v>
      </c>
      <c r="O37" s="442">
        <f t="shared" si="22"/>
        <v>0</v>
      </c>
      <c r="P37" s="443">
        <f t="shared" si="18"/>
        <v>0</v>
      </c>
      <c r="Q37" s="357" t="e">
        <f t="shared" si="19"/>
        <v>#DIV/0!</v>
      </c>
      <c r="R37" s="630"/>
      <c r="S37" s="630"/>
      <c r="T37" s="630"/>
      <c r="U37" s="630"/>
      <c r="V37" s="630"/>
      <c r="W37" s="630"/>
      <c r="X37" s="630"/>
      <c r="Y37" s="630"/>
      <c r="Z37" s="630"/>
      <c r="AA37" s="630"/>
      <c r="AB37" s="1">
        <f t="shared" si="20"/>
        <v>0</v>
      </c>
      <c r="AC37" s="357" t="e">
        <f t="shared" si="21"/>
        <v>#DIV/0!</v>
      </c>
      <c r="AD37" s="864"/>
      <c r="AE37" s="865"/>
      <c r="AF37" s="865"/>
      <c r="AG37" s="866"/>
      <c r="AH37" s="866"/>
      <c r="AI37" s="867"/>
    </row>
    <row r="38" spans="1:35" x14ac:dyDescent="0.25">
      <c r="A38" s="638"/>
      <c r="C38" s="630"/>
      <c r="D38" s="630"/>
      <c r="E38" s="630"/>
      <c r="F38" s="630"/>
      <c r="G38" s="264">
        <f t="shared" si="16"/>
        <v>0</v>
      </c>
      <c r="H38" s="442">
        <f t="shared" si="17"/>
        <v>0</v>
      </c>
      <c r="J38" s="630"/>
      <c r="K38" s="630"/>
      <c r="L38" s="630"/>
      <c r="M38" s="630"/>
      <c r="N38" s="1">
        <f>IF(C38&gt;0,((J38*Setup_and_Criteria!$F$13)+('M1_1-15th'!K38*Setup_and_Criteria!$F$14)+('M1_1-15th'!L38*Setup_and_Criteria!$F$15)+('M1_1-15th'!M38*Setup_and_Criteria!$F$16)+Setup_and_Criteria!$J$16),0)</f>
        <v>0</v>
      </c>
      <c r="O38" s="442">
        <f t="shared" si="22"/>
        <v>0</v>
      </c>
      <c r="P38" s="443">
        <f t="shared" si="18"/>
        <v>0</v>
      </c>
      <c r="Q38" s="357" t="e">
        <f t="shared" si="19"/>
        <v>#DIV/0!</v>
      </c>
      <c r="R38" s="630"/>
      <c r="S38" s="630"/>
      <c r="T38" s="630"/>
      <c r="U38" s="630"/>
      <c r="V38" s="630"/>
      <c r="W38" s="630"/>
      <c r="X38" s="630"/>
      <c r="Y38" s="630"/>
      <c r="Z38" s="630"/>
      <c r="AA38" s="630"/>
      <c r="AB38" s="1">
        <f t="shared" si="20"/>
        <v>0</v>
      </c>
      <c r="AC38" s="357" t="e">
        <f t="shared" si="21"/>
        <v>#DIV/0!</v>
      </c>
      <c r="AD38" s="864"/>
      <c r="AE38" s="865"/>
      <c r="AF38" s="865"/>
      <c r="AG38" s="866"/>
      <c r="AH38" s="866"/>
      <c r="AI38" s="867"/>
    </row>
    <row r="39" spans="1:35" ht="15.75" thickBot="1" x14ac:dyDescent="0.3">
      <c r="A39" s="638"/>
      <c r="C39" s="370"/>
      <c r="D39" s="370"/>
      <c r="E39" s="630"/>
      <c r="F39" s="630"/>
      <c r="G39" s="264">
        <f t="shared" si="16"/>
        <v>0</v>
      </c>
      <c r="H39" s="442">
        <f t="shared" si="17"/>
        <v>0</v>
      </c>
      <c r="J39" s="371"/>
      <c r="K39" s="371"/>
      <c r="L39" s="371"/>
      <c r="M39" s="371"/>
      <c r="N39" s="358">
        <f>IF(C39&gt;0,((J39*Setup_and_Criteria!$F$13)+('M1_1-15th'!K39*Setup_and_Criteria!$F$14)+('M1_1-15th'!L39*Setup_and_Criteria!$F$15)+('M1_1-15th'!M39*Setup_and_Criteria!$F$16)+Setup_and_Criteria!$J$16),0)</f>
        <v>0</v>
      </c>
      <c r="O39" s="359">
        <f t="shared" si="22"/>
        <v>0</v>
      </c>
      <c r="P39" s="383">
        <f t="shared" si="18"/>
        <v>0</v>
      </c>
      <c r="Q39" s="360" t="e">
        <f t="shared" si="19"/>
        <v>#DIV/0!</v>
      </c>
      <c r="R39" s="511"/>
      <c r="S39" s="511"/>
      <c r="T39" s="511"/>
      <c r="U39" s="511"/>
      <c r="V39" s="511"/>
      <c r="W39" s="511"/>
      <c r="X39" s="511"/>
      <c r="Y39" s="511"/>
      <c r="Z39" s="511"/>
      <c r="AA39" s="511"/>
      <c r="AB39" s="1">
        <f t="shared" si="20"/>
        <v>0</v>
      </c>
      <c r="AC39" s="357" t="e">
        <f t="shared" si="21"/>
        <v>#DIV/0!</v>
      </c>
      <c r="AD39" s="864"/>
      <c r="AE39" s="865"/>
      <c r="AF39" s="865"/>
      <c r="AG39" s="866"/>
      <c r="AH39" s="866"/>
      <c r="AI39" s="867"/>
    </row>
    <row r="40" spans="1:35" ht="15.75" thickTop="1" x14ac:dyDescent="0.25">
      <c r="A40" s="58"/>
      <c r="H40" s="442">
        <f>SUM(H34:H39)</f>
        <v>0</v>
      </c>
      <c r="J40" s="1">
        <f>SUM(J34:J39)</f>
        <v>0</v>
      </c>
      <c r="K40" s="1">
        <f>SUM(K34:K39)</f>
        <v>0</v>
      </c>
      <c r="L40" s="1">
        <f>SUM(L34:L39)</f>
        <v>0</v>
      </c>
      <c r="M40" s="1">
        <f>SUM(M34:M39)</f>
        <v>0</v>
      </c>
      <c r="N40" s="1">
        <f>SUM(N34:N39)</f>
        <v>0</v>
      </c>
      <c r="O40" s="1">
        <f t="shared" si="22"/>
        <v>0</v>
      </c>
      <c r="P40" s="443">
        <f t="shared" si="18"/>
        <v>0</v>
      </c>
      <c r="Q40" s="357" t="e">
        <f t="shared" si="19"/>
        <v>#DIV/0!</v>
      </c>
      <c r="R40" s="1">
        <f t="shared" ref="R40:AA40" si="23">SUM(R34:R39)</f>
        <v>0</v>
      </c>
      <c r="S40" s="1">
        <f t="shared" si="23"/>
        <v>0</v>
      </c>
      <c r="T40" s="1">
        <f t="shared" si="23"/>
        <v>0</v>
      </c>
      <c r="U40" s="1">
        <f t="shared" si="23"/>
        <v>0</v>
      </c>
      <c r="V40" s="1">
        <f t="shared" si="23"/>
        <v>0</v>
      </c>
      <c r="W40" s="1">
        <f t="shared" si="23"/>
        <v>0</v>
      </c>
      <c r="X40" s="1">
        <f t="shared" si="23"/>
        <v>0</v>
      </c>
      <c r="Y40" s="1">
        <f t="shared" si="23"/>
        <v>0</v>
      </c>
      <c r="Z40" s="1">
        <f t="shared" si="23"/>
        <v>0</v>
      </c>
      <c r="AA40" s="1">
        <f t="shared" si="23"/>
        <v>0</v>
      </c>
      <c r="AB40" s="1">
        <f t="shared" si="20"/>
        <v>0</v>
      </c>
      <c r="AC40" s="357" t="e">
        <f t="shared" si="21"/>
        <v>#DIV/0!</v>
      </c>
      <c r="AD40" s="877"/>
      <c r="AE40" s="878"/>
      <c r="AF40" s="878"/>
      <c r="AG40" s="749"/>
      <c r="AH40" s="749"/>
      <c r="AI40" s="879"/>
    </row>
    <row r="41" spans="1:35" ht="21" customHeight="1" x14ac:dyDescent="0.35">
      <c r="A41" s="58"/>
      <c r="H41" s="442"/>
      <c r="N41" s="888" t="s">
        <v>145</v>
      </c>
      <c r="O41" s="888"/>
      <c r="P41" s="888"/>
      <c r="Q41" s="888"/>
      <c r="R41" s="431" t="s">
        <v>146</v>
      </c>
      <c r="S41" s="431"/>
      <c r="T41" s="431"/>
      <c r="U41" s="431"/>
      <c r="V41" s="431"/>
      <c r="W41" s="431"/>
      <c r="X41" s="431"/>
      <c r="Y41" s="431"/>
      <c r="Z41" s="431"/>
      <c r="AA41" s="431"/>
      <c r="AB41" s="431"/>
      <c r="AC41" s="431"/>
      <c r="AD41" s="880" t="s">
        <v>132</v>
      </c>
      <c r="AE41" s="881"/>
      <c r="AF41" s="881"/>
      <c r="AG41" s="881"/>
      <c r="AH41" s="881"/>
      <c r="AI41" s="882"/>
    </row>
    <row r="42" spans="1:35" ht="31.5" customHeight="1" x14ac:dyDescent="0.35">
      <c r="A42" s="378" t="s">
        <v>147</v>
      </c>
      <c r="C42" s="885" t="s">
        <v>128</v>
      </c>
      <c r="D42" s="885"/>
      <c r="E42" s="885"/>
      <c r="F42" s="885"/>
      <c r="H42" s="442"/>
      <c r="J42" s="444"/>
      <c r="K42" s="445" t="s">
        <v>35</v>
      </c>
      <c r="L42" s="445" t="s">
        <v>148</v>
      </c>
      <c r="N42" s="446" t="s">
        <v>149</v>
      </c>
      <c r="O42" s="447" t="s">
        <v>150</v>
      </c>
      <c r="P42" s="447" t="s">
        <v>138</v>
      </c>
      <c r="Q42" s="447" t="s">
        <v>151</v>
      </c>
      <c r="R42" s="749" t="s">
        <v>152</v>
      </c>
      <c r="S42" s="749"/>
      <c r="T42" s="883" t="s">
        <v>153</v>
      </c>
      <c r="U42" s="883"/>
      <c r="W42" s="425" t="s">
        <v>154</v>
      </c>
      <c r="X42" s="425"/>
      <c r="Y42" s="425"/>
      <c r="Z42" s="425"/>
      <c r="AA42" s="425"/>
      <c r="AB42" s="425"/>
      <c r="AC42" s="425"/>
      <c r="AD42" s="868"/>
      <c r="AE42" s="869"/>
      <c r="AF42" s="869"/>
      <c r="AG42" s="869"/>
      <c r="AH42" s="869"/>
      <c r="AI42" s="870"/>
    </row>
    <row r="43" spans="1:35" ht="18" customHeight="1" thickBot="1" x14ac:dyDescent="0.3">
      <c r="A43" s="639"/>
      <c r="B43" s="364"/>
      <c r="C43" s="372"/>
      <c r="D43" s="372"/>
      <c r="E43" s="372"/>
      <c r="F43" s="372"/>
      <c r="G43" s="366">
        <f>+(D43-C43)+(F43-E43)</f>
        <v>0</v>
      </c>
      <c r="H43" s="367">
        <f>+G43*1440</f>
        <v>0</v>
      </c>
      <c r="I43" s="859" t="s">
        <v>155</v>
      </c>
      <c r="J43" s="860"/>
      <c r="K43" s="373"/>
      <c r="L43" s="374"/>
      <c r="M43" s="423"/>
      <c r="N43" s="629">
        <f>+J40+L40+K40+K43+L43</f>
        <v>0</v>
      </c>
      <c r="O43" s="368">
        <f>+(Setup_and_Criteria!$K$31+(J40*Setup_and_Criteria!$F$20)+('M1_1-15th'!K40*Setup_and_Criteria!$F$21)+('M1_1-15th'!L40*Setup_and_Criteria!$F$20))+T43+(K43*Setup_and_Criteria!$F$21)+(Setup_and_Criteria!$F$22*'M1_1-15th'!L43)</f>
        <v>75</v>
      </c>
      <c r="P43" s="367">
        <f>+H43</f>
        <v>0</v>
      </c>
      <c r="Q43" s="367">
        <f>+O43-P43</f>
        <v>75</v>
      </c>
      <c r="R43" s="861"/>
      <c r="S43" s="861"/>
      <c r="T43" s="862"/>
      <c r="U43" s="863"/>
      <c r="V43" s="265" t="s">
        <v>156</v>
      </c>
      <c r="W43" s="854"/>
      <c r="X43" s="855"/>
      <c r="Y43" s="855"/>
      <c r="Z43" s="855"/>
      <c r="AA43" s="855"/>
      <c r="AB43" s="855"/>
      <c r="AC43" s="855"/>
      <c r="AD43" s="868"/>
      <c r="AE43" s="869"/>
      <c r="AF43" s="869"/>
      <c r="AG43" s="869"/>
      <c r="AH43" s="869"/>
      <c r="AI43" s="870"/>
    </row>
    <row r="44" spans="1:35" ht="15.75" thickBot="1" x14ac:dyDescent="0.3">
      <c r="A44" s="449" t="str">
        <f>+A31</f>
        <v>Password to enter data = "Enter Info"</v>
      </c>
      <c r="B44" s="450"/>
      <c r="C44" s="451"/>
      <c r="D44" s="451"/>
      <c r="E44" s="451"/>
      <c r="F44" s="451"/>
      <c r="G44" s="451"/>
      <c r="H44" s="451"/>
      <c r="I44" s="450"/>
      <c r="J44" s="451"/>
      <c r="K44" s="451"/>
      <c r="L44" s="451"/>
      <c r="M44" s="451"/>
      <c r="N44" s="451"/>
      <c r="O44" s="451"/>
      <c r="P44" s="451"/>
      <c r="Q44" s="450"/>
      <c r="R44" s="451"/>
      <c r="S44" s="451"/>
      <c r="T44" s="451"/>
      <c r="U44" s="451"/>
      <c r="V44" s="451"/>
      <c r="W44" s="451"/>
      <c r="X44" s="451"/>
      <c r="Y44" s="451"/>
      <c r="Z44" s="451"/>
      <c r="AA44" s="451"/>
      <c r="AB44" s="450"/>
      <c r="AC44" s="450"/>
      <c r="AD44" s="871"/>
      <c r="AE44" s="872"/>
      <c r="AF44" s="872"/>
      <c r="AG44" s="872"/>
      <c r="AH44" s="872"/>
      <c r="AI44" s="873"/>
    </row>
    <row r="45" spans="1:35" ht="35.25" customHeight="1" x14ac:dyDescent="0.4">
      <c r="A45" s="434" t="str">
        <f>+A32</f>
        <v>April</v>
      </c>
      <c r="B45" s="624">
        <f>+B32+1</f>
        <v>4</v>
      </c>
      <c r="C45" s="884" t="s">
        <v>128</v>
      </c>
      <c r="D45" s="884"/>
      <c r="E45" s="884"/>
      <c r="F45" s="884"/>
      <c r="G45" s="377"/>
      <c r="H45" s="377"/>
      <c r="I45" s="21"/>
      <c r="J45" s="874" t="s">
        <v>129</v>
      </c>
      <c r="K45" s="875"/>
      <c r="L45" s="875"/>
      <c r="M45" s="875"/>
      <c r="N45" s="876" t="s">
        <v>130</v>
      </c>
      <c r="O45" s="876"/>
      <c r="P45" s="876"/>
      <c r="Q45" s="876"/>
      <c r="R45" s="424" t="str">
        <f>+R32</f>
        <v xml:space="preserve"> Corrections Tracking - Check out rooms</v>
      </c>
      <c r="S45" s="424"/>
      <c r="T45" s="424"/>
      <c r="U45" s="424"/>
      <c r="V45" s="424"/>
      <c r="W45" s="424"/>
      <c r="X45" s="424"/>
      <c r="Y45" s="424"/>
      <c r="Z45" s="424"/>
      <c r="AA45" s="424"/>
      <c r="AB45" s="424"/>
      <c r="AC45" s="424"/>
      <c r="AD45" s="461" t="s">
        <v>132</v>
      </c>
      <c r="AE45" s="426"/>
      <c r="AF45" s="426"/>
      <c r="AG45" s="426"/>
      <c r="AH45" s="426"/>
      <c r="AI45" s="427"/>
    </row>
    <row r="46" spans="1:35" ht="59.25" customHeight="1" x14ac:dyDescent="0.25">
      <c r="A46" s="378" t="s">
        <v>133</v>
      </c>
      <c r="C46" s="435" t="s">
        <v>134</v>
      </c>
      <c r="D46" s="435" t="s">
        <v>135</v>
      </c>
      <c r="E46" s="435" t="s">
        <v>134</v>
      </c>
      <c r="F46" s="435" t="s">
        <v>135</v>
      </c>
      <c r="G46" s="1" t="s">
        <v>136</v>
      </c>
      <c r="H46" s="1" t="s">
        <v>108</v>
      </c>
      <c r="I46" s="436"/>
      <c r="J46" s="437" t="str">
        <f>+Setup_and_Criteria!$B$13</f>
        <v>Checkouts</v>
      </c>
      <c r="K46" s="437" t="str">
        <f>+Setup_and_Criteria!$B$14</f>
        <v>Pet Rooms</v>
      </c>
      <c r="L46" s="437" t="str">
        <f>+Setup_and_Criteria!$B$15</f>
        <v>2 Rm &amp; Jac Stes</v>
      </c>
      <c r="M46" s="438" t="str">
        <f>+Setup_and_Criteria!$B$16</f>
        <v>Stayovers</v>
      </c>
      <c r="N46" s="269" t="s">
        <v>137</v>
      </c>
      <c r="O46" s="269" t="s">
        <v>138</v>
      </c>
      <c r="P46" s="439" t="s">
        <v>139</v>
      </c>
      <c r="Q46" s="439" t="s">
        <v>140</v>
      </c>
      <c r="R46" s="440" t="str">
        <f>+Corrections!$C$8</f>
        <v>Vanity</v>
      </c>
      <c r="S46" s="440" t="str">
        <f>+Corrections!$I$8</f>
        <v>Toilet</v>
      </c>
      <c r="T46" s="440" t="str">
        <f>+Corrections!$O$8</f>
        <v>Bed/Pillows</v>
      </c>
      <c r="U46" s="440" t="str">
        <f>+Corrections!$U$8</f>
        <v>Floor</v>
      </c>
      <c r="V46" s="440" t="str">
        <f>+Corrections!$AA$8</f>
        <v>Dusting</v>
      </c>
      <c r="W46" s="440" t="str">
        <f>+Corrections!$AG$8</f>
        <v>Fridge/Micro</v>
      </c>
      <c r="X46" s="440" t="str">
        <f>+Corrections!$AM$8</f>
        <v>Tub</v>
      </c>
      <c r="Y46" s="441" t="str">
        <f>+Corrections!$AS$8</f>
        <v>Mirrors/Glass</v>
      </c>
      <c r="Z46" s="440" t="str">
        <f>+Corrections!$AY$8</f>
        <v>Stocking</v>
      </c>
      <c r="AA46" s="440" t="str">
        <f>+Corrections!$BE$8</f>
        <v>Other</v>
      </c>
      <c r="AB46" s="269" t="s">
        <v>141</v>
      </c>
      <c r="AC46" s="269" t="str">
        <f>+$AC$7</f>
        <v>Daily Corr / Inspected Checkout</v>
      </c>
      <c r="AD46" s="889" t="s">
        <v>143</v>
      </c>
      <c r="AE46" s="890"/>
      <c r="AF46" s="890"/>
      <c r="AG46" s="890"/>
      <c r="AH46" s="890"/>
      <c r="AI46" s="891"/>
    </row>
    <row r="47" spans="1:35" x14ac:dyDescent="0.25">
      <c r="A47" s="638"/>
      <c r="C47" s="369"/>
      <c r="D47" s="369"/>
      <c r="E47" s="369"/>
      <c r="F47" s="369"/>
      <c r="G47" s="264">
        <f t="shared" ref="G47:G52" si="24">+(D47-C47)+(F47-E47)</f>
        <v>0</v>
      </c>
      <c r="H47" s="442">
        <f t="shared" ref="H47:H52" si="25">+G47*1440</f>
        <v>0</v>
      </c>
      <c r="J47" s="630"/>
      <c r="K47" s="630"/>
      <c r="L47" s="630"/>
      <c r="M47" s="630"/>
      <c r="N47" s="1">
        <f>IF(C47&gt;0,((J47*Setup_and_Criteria!$F$13)+('M1_1-15th'!K47*Setup_and_Criteria!$F$14)+('M1_1-15th'!L47*Setup_and_Criteria!$F$15)+('M1_1-15th'!M47*Setup_and_Criteria!$F$16)+Setup_and_Criteria!$J$16),0)</f>
        <v>0</v>
      </c>
      <c r="O47" s="442">
        <f>+H47</f>
        <v>0</v>
      </c>
      <c r="P47" s="443">
        <f t="shared" ref="P47:P53" si="26">+N47-O47</f>
        <v>0</v>
      </c>
      <c r="Q47" s="357" t="e">
        <f t="shared" ref="Q47:Q53" si="27">O47/_xlfn.SINGLE(SUM(J47:M47))</f>
        <v>#DIV/0!</v>
      </c>
      <c r="R47" s="630"/>
      <c r="S47" s="630"/>
      <c r="T47" s="630"/>
      <c r="U47" s="630"/>
      <c r="V47" s="630"/>
      <c r="W47" s="630"/>
      <c r="X47" s="630"/>
      <c r="Y47" s="630"/>
      <c r="Z47" s="630"/>
      <c r="AA47" s="630"/>
      <c r="AB47" s="1">
        <f t="shared" ref="AB47:AB53" si="28">SUM(R47:AA47)</f>
        <v>0</v>
      </c>
      <c r="AC47" s="357" t="e">
        <f t="shared" ref="AC47:AC53" si="29">+AB47/(J47+K47+L47)</f>
        <v>#DIV/0!</v>
      </c>
      <c r="AD47" s="864" t="s">
        <v>144</v>
      </c>
      <c r="AE47" s="865"/>
      <c r="AF47" s="865"/>
      <c r="AG47" s="866"/>
      <c r="AH47" s="866"/>
      <c r="AI47" s="867"/>
    </row>
    <row r="48" spans="1:35" x14ac:dyDescent="0.25">
      <c r="A48" s="638"/>
      <c r="C48" s="630"/>
      <c r="D48" s="630"/>
      <c r="E48" s="630"/>
      <c r="F48" s="630"/>
      <c r="G48" s="264">
        <f t="shared" si="24"/>
        <v>0</v>
      </c>
      <c r="H48" s="442">
        <f t="shared" si="25"/>
        <v>0</v>
      </c>
      <c r="J48" s="630"/>
      <c r="K48" s="630"/>
      <c r="L48" s="630"/>
      <c r="M48" s="630"/>
      <c r="N48" s="1">
        <f>IF(C48&gt;0,((J48*Setup_and_Criteria!$F$13)+('M1_1-15th'!K48*Setup_and_Criteria!$F$14)+('M1_1-15th'!L48*Setup_and_Criteria!$F$15)+('M1_1-15th'!M48*Setup_and_Criteria!$F$16)+Setup_and_Criteria!$J$16),0)</f>
        <v>0</v>
      </c>
      <c r="O48" s="442">
        <v>75</v>
      </c>
      <c r="P48" s="443">
        <f t="shared" si="26"/>
        <v>-75</v>
      </c>
      <c r="Q48" s="357" t="e">
        <f t="shared" si="27"/>
        <v>#DIV/0!</v>
      </c>
      <c r="R48" s="630"/>
      <c r="S48" s="630"/>
      <c r="T48" s="630"/>
      <c r="U48" s="630"/>
      <c r="V48" s="630"/>
      <c r="W48" s="630"/>
      <c r="X48" s="630"/>
      <c r="Y48" s="630"/>
      <c r="Z48" s="630"/>
      <c r="AA48" s="630"/>
      <c r="AB48" s="1">
        <f t="shared" si="28"/>
        <v>0</v>
      </c>
      <c r="AC48" s="357" t="e">
        <f t="shared" si="29"/>
        <v>#DIV/0!</v>
      </c>
      <c r="AD48" s="864"/>
      <c r="AE48" s="865"/>
      <c r="AF48" s="865"/>
      <c r="AG48" s="866"/>
      <c r="AH48" s="866"/>
      <c r="AI48" s="867"/>
    </row>
    <row r="49" spans="1:35" x14ac:dyDescent="0.25">
      <c r="A49" s="638"/>
      <c r="C49" s="630"/>
      <c r="D49" s="630"/>
      <c r="E49" s="630"/>
      <c r="F49" s="630"/>
      <c r="G49" s="264">
        <f t="shared" si="24"/>
        <v>0</v>
      </c>
      <c r="H49" s="442">
        <f t="shared" si="25"/>
        <v>0</v>
      </c>
      <c r="J49" s="630"/>
      <c r="K49" s="630"/>
      <c r="L49" s="630"/>
      <c r="M49" s="630"/>
      <c r="N49" s="1">
        <f>IF(C49&gt;0,((J49*Setup_and_Criteria!$F$13)+('M1_1-15th'!K49*Setup_and_Criteria!$F$14)+('M1_1-15th'!L49*Setup_and_Criteria!$F$15)+('M1_1-15th'!M49*Setup_and_Criteria!$F$16)+Setup_and_Criteria!$J$16),0)</f>
        <v>0</v>
      </c>
      <c r="O49" s="442">
        <f t="shared" ref="O49:O53" si="30">+H49</f>
        <v>0</v>
      </c>
      <c r="P49" s="443">
        <f t="shared" si="26"/>
        <v>0</v>
      </c>
      <c r="Q49" s="357" t="e">
        <f t="shared" si="27"/>
        <v>#DIV/0!</v>
      </c>
      <c r="R49" s="630"/>
      <c r="S49" s="630"/>
      <c r="T49" s="630"/>
      <c r="U49" s="630"/>
      <c r="V49" s="630"/>
      <c r="W49" s="630"/>
      <c r="X49" s="630"/>
      <c r="Y49" s="630"/>
      <c r="Z49" s="630"/>
      <c r="AA49" s="630"/>
      <c r="AB49" s="1">
        <f t="shared" si="28"/>
        <v>0</v>
      </c>
      <c r="AC49" s="357" t="e">
        <f t="shared" si="29"/>
        <v>#DIV/0!</v>
      </c>
      <c r="AD49" s="864"/>
      <c r="AE49" s="865"/>
      <c r="AF49" s="865"/>
      <c r="AG49" s="866"/>
      <c r="AH49" s="866"/>
      <c r="AI49" s="867"/>
    </row>
    <row r="50" spans="1:35" x14ac:dyDescent="0.25">
      <c r="A50" s="638"/>
      <c r="C50" s="630"/>
      <c r="D50" s="630"/>
      <c r="E50" s="630"/>
      <c r="F50" s="630"/>
      <c r="G50" s="264">
        <f t="shared" si="24"/>
        <v>0</v>
      </c>
      <c r="H50" s="442">
        <f t="shared" si="25"/>
        <v>0</v>
      </c>
      <c r="J50" s="630"/>
      <c r="K50" s="630"/>
      <c r="L50" s="630"/>
      <c r="M50" s="630"/>
      <c r="N50" s="1">
        <f>IF(C50&gt;0,((J50*Setup_and_Criteria!$F$13)+('M1_1-15th'!K50*Setup_and_Criteria!$F$14)+('M1_1-15th'!L50*Setup_and_Criteria!$F$15)+('M1_1-15th'!M50*Setup_and_Criteria!$F$16)+Setup_and_Criteria!$J$16),0)</f>
        <v>0</v>
      </c>
      <c r="O50" s="442">
        <f t="shared" si="30"/>
        <v>0</v>
      </c>
      <c r="P50" s="443">
        <f t="shared" si="26"/>
        <v>0</v>
      </c>
      <c r="Q50" s="357" t="e">
        <f t="shared" si="27"/>
        <v>#DIV/0!</v>
      </c>
      <c r="R50" s="630"/>
      <c r="S50" s="630"/>
      <c r="T50" s="630"/>
      <c r="U50" s="630"/>
      <c r="V50" s="630"/>
      <c r="W50" s="630"/>
      <c r="X50" s="630"/>
      <c r="Y50" s="630"/>
      <c r="Z50" s="630"/>
      <c r="AA50" s="630"/>
      <c r="AB50" s="1">
        <f t="shared" si="28"/>
        <v>0</v>
      </c>
      <c r="AC50" s="357" t="e">
        <f t="shared" si="29"/>
        <v>#DIV/0!</v>
      </c>
      <c r="AD50" s="864"/>
      <c r="AE50" s="865"/>
      <c r="AF50" s="865"/>
      <c r="AG50" s="866"/>
      <c r="AH50" s="866"/>
      <c r="AI50" s="867"/>
    </row>
    <row r="51" spans="1:35" x14ac:dyDescent="0.25">
      <c r="A51" s="638"/>
      <c r="C51" s="630"/>
      <c r="D51" s="630"/>
      <c r="E51" s="630"/>
      <c r="F51" s="630"/>
      <c r="G51" s="264">
        <f t="shared" si="24"/>
        <v>0</v>
      </c>
      <c r="H51" s="442">
        <f t="shared" si="25"/>
        <v>0</v>
      </c>
      <c r="J51" s="630"/>
      <c r="K51" s="630"/>
      <c r="L51" s="630"/>
      <c r="M51" s="630"/>
      <c r="N51" s="1">
        <f>IF(C51&gt;0,((J51*Setup_and_Criteria!$F$13)+('M1_1-15th'!K51*Setup_and_Criteria!$F$14)+('M1_1-15th'!L51*Setup_and_Criteria!$F$15)+('M1_1-15th'!M51*Setup_and_Criteria!$F$16)+Setup_and_Criteria!$J$16),0)</f>
        <v>0</v>
      </c>
      <c r="O51" s="442">
        <f t="shared" si="30"/>
        <v>0</v>
      </c>
      <c r="P51" s="443">
        <f t="shared" si="26"/>
        <v>0</v>
      </c>
      <c r="Q51" s="357" t="e">
        <f t="shared" si="27"/>
        <v>#DIV/0!</v>
      </c>
      <c r="R51" s="630"/>
      <c r="S51" s="630"/>
      <c r="T51" s="630"/>
      <c r="U51" s="630"/>
      <c r="V51" s="630"/>
      <c r="W51" s="630"/>
      <c r="X51" s="630"/>
      <c r="Y51" s="630"/>
      <c r="Z51" s="630"/>
      <c r="AA51" s="630"/>
      <c r="AB51" s="1">
        <f t="shared" si="28"/>
        <v>0</v>
      </c>
      <c r="AC51" s="357" t="e">
        <f t="shared" si="29"/>
        <v>#DIV/0!</v>
      </c>
      <c r="AD51" s="864"/>
      <c r="AE51" s="865"/>
      <c r="AF51" s="865"/>
      <c r="AG51" s="866"/>
      <c r="AH51" s="866"/>
      <c r="AI51" s="867"/>
    </row>
    <row r="52" spans="1:35" ht="15.75" thickBot="1" x14ac:dyDescent="0.3">
      <c r="A52" s="638"/>
      <c r="C52" s="370"/>
      <c r="D52" s="370"/>
      <c r="E52" s="630"/>
      <c r="F52" s="630"/>
      <c r="G52" s="264">
        <f t="shared" si="24"/>
        <v>0</v>
      </c>
      <c r="H52" s="442">
        <f t="shared" si="25"/>
        <v>0</v>
      </c>
      <c r="J52" s="371"/>
      <c r="K52" s="371"/>
      <c r="L52" s="371"/>
      <c r="M52" s="371"/>
      <c r="N52" s="358">
        <f>IF(C52&gt;0,((J52*Setup_and_Criteria!$F$13)+('M1_1-15th'!K52*Setup_and_Criteria!$F$14)+('M1_1-15th'!L52*Setup_and_Criteria!$F$15)+('M1_1-15th'!M52*Setup_and_Criteria!$F$16)+Setup_and_Criteria!$J$16),0)</f>
        <v>0</v>
      </c>
      <c r="O52" s="359">
        <f t="shared" si="30"/>
        <v>0</v>
      </c>
      <c r="P52" s="383">
        <f t="shared" si="26"/>
        <v>0</v>
      </c>
      <c r="Q52" s="360" t="e">
        <f t="shared" si="27"/>
        <v>#DIV/0!</v>
      </c>
      <c r="R52" s="511"/>
      <c r="S52" s="511"/>
      <c r="T52" s="511"/>
      <c r="U52" s="511"/>
      <c r="V52" s="511"/>
      <c r="W52" s="511"/>
      <c r="X52" s="511"/>
      <c r="Y52" s="511"/>
      <c r="Z52" s="511"/>
      <c r="AA52" s="511"/>
      <c r="AB52" s="1">
        <f t="shared" si="28"/>
        <v>0</v>
      </c>
      <c r="AC52" s="357" t="e">
        <f t="shared" si="29"/>
        <v>#DIV/0!</v>
      </c>
      <c r="AD52" s="864"/>
      <c r="AE52" s="865"/>
      <c r="AF52" s="865"/>
      <c r="AG52" s="866"/>
      <c r="AH52" s="866"/>
      <c r="AI52" s="867"/>
    </row>
    <row r="53" spans="1:35" ht="15.75" thickTop="1" x14ac:dyDescent="0.25">
      <c r="A53" s="58"/>
      <c r="H53" s="442">
        <f>SUM(H47:H52)</f>
        <v>0</v>
      </c>
      <c r="J53" s="1">
        <f>SUM(J47:J52)</f>
        <v>0</v>
      </c>
      <c r="K53" s="1">
        <f>SUM(K47:K52)</f>
        <v>0</v>
      </c>
      <c r="L53" s="1">
        <f>SUM(L47:L52)</f>
        <v>0</v>
      </c>
      <c r="M53" s="1">
        <f>SUM(M47:M52)</f>
        <v>0</v>
      </c>
      <c r="N53" s="1">
        <f>SUM(N47:N52)</f>
        <v>0</v>
      </c>
      <c r="O53" s="1">
        <f t="shared" si="30"/>
        <v>0</v>
      </c>
      <c r="P53" s="443">
        <f t="shared" si="26"/>
        <v>0</v>
      </c>
      <c r="Q53" s="357" t="e">
        <f t="shared" si="27"/>
        <v>#DIV/0!</v>
      </c>
      <c r="R53" s="1">
        <f t="shared" ref="R53:AA53" si="31">SUM(R47:R52)</f>
        <v>0</v>
      </c>
      <c r="S53" s="1">
        <f t="shared" si="31"/>
        <v>0</v>
      </c>
      <c r="T53" s="1">
        <f t="shared" si="31"/>
        <v>0</v>
      </c>
      <c r="U53" s="1">
        <f t="shared" si="31"/>
        <v>0</v>
      </c>
      <c r="V53" s="1">
        <f t="shared" si="31"/>
        <v>0</v>
      </c>
      <c r="W53" s="1">
        <f t="shared" si="31"/>
        <v>0</v>
      </c>
      <c r="X53" s="1">
        <f t="shared" si="31"/>
        <v>0</v>
      </c>
      <c r="Y53" s="1">
        <f t="shared" si="31"/>
        <v>0</v>
      </c>
      <c r="Z53" s="1">
        <f t="shared" si="31"/>
        <v>0</v>
      </c>
      <c r="AA53" s="1">
        <f t="shared" si="31"/>
        <v>0</v>
      </c>
      <c r="AB53" s="1">
        <f t="shared" si="28"/>
        <v>0</v>
      </c>
      <c r="AC53" s="357" t="e">
        <f t="shared" si="29"/>
        <v>#DIV/0!</v>
      </c>
      <c r="AD53" s="877"/>
      <c r="AE53" s="878"/>
      <c r="AF53" s="878"/>
      <c r="AG53" s="749"/>
      <c r="AH53" s="749"/>
      <c r="AI53" s="879"/>
    </row>
    <row r="54" spans="1:35" ht="21" customHeight="1" x14ac:dyDescent="0.35">
      <c r="A54" s="58"/>
      <c r="H54" s="442"/>
      <c r="N54" s="888" t="s">
        <v>145</v>
      </c>
      <c r="O54" s="888"/>
      <c r="P54" s="888"/>
      <c r="Q54" s="888"/>
      <c r="R54" s="431" t="s">
        <v>146</v>
      </c>
      <c r="S54" s="431"/>
      <c r="T54" s="431"/>
      <c r="U54" s="431"/>
      <c r="V54" s="431"/>
      <c r="W54" s="431"/>
      <c r="X54" s="431"/>
      <c r="Y54" s="431"/>
      <c r="Z54" s="431"/>
      <c r="AA54" s="431"/>
      <c r="AB54" s="431"/>
      <c r="AC54" s="431"/>
      <c r="AD54" s="880" t="s">
        <v>132</v>
      </c>
      <c r="AE54" s="881"/>
      <c r="AF54" s="881"/>
      <c r="AG54" s="881"/>
      <c r="AH54" s="881"/>
      <c r="AI54" s="882"/>
    </row>
    <row r="55" spans="1:35" ht="31.5" customHeight="1" x14ac:dyDescent="0.35">
      <c r="A55" s="378" t="s">
        <v>147</v>
      </c>
      <c r="C55" s="885" t="s">
        <v>128</v>
      </c>
      <c r="D55" s="885"/>
      <c r="E55" s="885"/>
      <c r="F55" s="885"/>
      <c r="H55" s="442"/>
      <c r="J55" s="444"/>
      <c r="K55" s="445" t="s">
        <v>35</v>
      </c>
      <c r="L55" s="445" t="s">
        <v>148</v>
      </c>
      <c r="N55" s="446" t="s">
        <v>149</v>
      </c>
      <c r="O55" s="447" t="s">
        <v>150</v>
      </c>
      <c r="P55" s="447" t="s">
        <v>138</v>
      </c>
      <c r="Q55" s="447" t="s">
        <v>151</v>
      </c>
      <c r="R55" s="749" t="s">
        <v>152</v>
      </c>
      <c r="S55" s="749"/>
      <c r="T55" s="883" t="s">
        <v>153</v>
      </c>
      <c r="U55" s="883"/>
      <c r="W55" s="425" t="s">
        <v>154</v>
      </c>
      <c r="X55" s="425"/>
      <c r="Y55" s="425"/>
      <c r="Z55" s="425"/>
      <c r="AA55" s="425"/>
      <c r="AB55" s="425"/>
      <c r="AC55" s="425"/>
      <c r="AD55" s="868"/>
      <c r="AE55" s="869"/>
      <c r="AF55" s="869"/>
      <c r="AG55" s="869"/>
      <c r="AH55" s="869"/>
      <c r="AI55" s="870"/>
    </row>
    <row r="56" spans="1:35" ht="18" customHeight="1" thickBot="1" x14ac:dyDescent="0.3">
      <c r="A56" s="639"/>
      <c r="B56" s="375"/>
      <c r="C56" s="372"/>
      <c r="D56" s="372"/>
      <c r="E56" s="372"/>
      <c r="F56" s="372"/>
      <c r="G56" s="366">
        <f>+(D56-C56)+(F56-E56)</f>
        <v>0</v>
      </c>
      <c r="H56" s="367">
        <f>+G56*1440</f>
        <v>0</v>
      </c>
      <c r="I56" s="859" t="s">
        <v>155</v>
      </c>
      <c r="J56" s="860"/>
      <c r="K56" s="373"/>
      <c r="L56" s="374"/>
      <c r="M56" s="423"/>
      <c r="N56" s="629">
        <f>+J53+L53+K53+K56+L56</f>
        <v>0</v>
      </c>
      <c r="O56" s="368">
        <f>+(Setup_and_Criteria!$K$31+(J53*Setup_and_Criteria!$F$20)+('M1_1-15th'!K53*Setup_and_Criteria!$F$21)+('M1_1-15th'!L53*Setup_and_Criteria!$F$20))+T56+(K56*Setup_and_Criteria!$F$21)+(Setup_and_Criteria!$F$22*'M1_1-15th'!L56)</f>
        <v>255</v>
      </c>
      <c r="P56" s="367">
        <f>+H56</f>
        <v>0</v>
      </c>
      <c r="Q56" s="367">
        <f>+O56-P56</f>
        <v>255</v>
      </c>
      <c r="R56" s="861" t="s">
        <v>247</v>
      </c>
      <c r="S56" s="861"/>
      <c r="T56" s="862">
        <v>180</v>
      </c>
      <c r="U56" s="863"/>
      <c r="V56" s="265" t="s">
        <v>156</v>
      </c>
      <c r="W56" s="854"/>
      <c r="X56" s="855"/>
      <c r="Y56" s="855"/>
      <c r="Z56" s="855"/>
      <c r="AA56" s="855"/>
      <c r="AB56" s="855"/>
      <c r="AC56" s="855"/>
      <c r="AD56" s="868"/>
      <c r="AE56" s="869"/>
      <c r="AF56" s="869"/>
      <c r="AG56" s="869"/>
      <c r="AH56" s="869"/>
      <c r="AI56" s="870"/>
    </row>
    <row r="57" spans="1:35" ht="15.75" thickBot="1" x14ac:dyDescent="0.3">
      <c r="A57" s="449" t="str">
        <f>+A44</f>
        <v>Password to enter data = "Enter Info"</v>
      </c>
      <c r="B57" s="450"/>
      <c r="C57" s="451"/>
      <c r="D57" s="451"/>
      <c r="E57" s="451"/>
      <c r="F57" s="451"/>
      <c r="G57" s="451"/>
      <c r="H57" s="451"/>
      <c r="I57" s="450"/>
      <c r="J57" s="451"/>
      <c r="K57" s="451"/>
      <c r="L57" s="451"/>
      <c r="M57" s="451"/>
      <c r="N57" s="451"/>
      <c r="O57" s="451"/>
      <c r="P57" s="451"/>
      <c r="Q57" s="450"/>
      <c r="R57" s="451"/>
      <c r="S57" s="451"/>
      <c r="T57" s="451"/>
      <c r="U57" s="451"/>
      <c r="V57" s="451"/>
      <c r="W57" s="451"/>
      <c r="X57" s="451"/>
      <c r="Y57" s="451"/>
      <c r="Z57" s="451"/>
      <c r="AA57" s="451"/>
      <c r="AB57" s="450"/>
      <c r="AC57" s="450"/>
      <c r="AD57" s="871"/>
      <c r="AE57" s="872"/>
      <c r="AF57" s="872"/>
      <c r="AG57" s="872"/>
      <c r="AH57" s="872"/>
      <c r="AI57" s="873"/>
    </row>
    <row r="58" spans="1:35" ht="35.25" customHeight="1" x14ac:dyDescent="0.4">
      <c r="A58" s="434" t="str">
        <f>+A45</f>
        <v>April</v>
      </c>
      <c r="B58" s="624">
        <f>+B45+1</f>
        <v>5</v>
      </c>
      <c r="C58" s="884" t="s">
        <v>128</v>
      </c>
      <c r="D58" s="884"/>
      <c r="E58" s="884"/>
      <c r="F58" s="884"/>
      <c r="G58" s="377"/>
      <c r="H58" s="377"/>
      <c r="I58" s="21"/>
      <c r="J58" s="874" t="s">
        <v>129</v>
      </c>
      <c r="K58" s="875"/>
      <c r="L58" s="875"/>
      <c r="M58" s="875"/>
      <c r="N58" s="876" t="s">
        <v>130</v>
      </c>
      <c r="O58" s="876"/>
      <c r="P58" s="876"/>
      <c r="Q58" s="876"/>
      <c r="R58" s="424" t="str">
        <f>+R45</f>
        <v xml:space="preserve"> Corrections Tracking - Check out rooms</v>
      </c>
      <c r="S58" s="424"/>
      <c r="T58" s="424"/>
      <c r="U58" s="424"/>
      <c r="V58" s="424"/>
      <c r="W58" s="424"/>
      <c r="X58" s="424"/>
      <c r="Y58" s="424"/>
      <c r="Z58" s="424"/>
      <c r="AA58" s="424"/>
      <c r="AB58" s="424"/>
      <c r="AC58" s="424"/>
      <c r="AD58" s="461"/>
      <c r="AE58" s="426"/>
      <c r="AF58" s="426"/>
      <c r="AG58" s="426"/>
      <c r="AH58" s="426"/>
      <c r="AI58" s="427"/>
    </row>
    <row r="59" spans="1:35" ht="59.25" customHeight="1" x14ac:dyDescent="0.25">
      <c r="A59" s="378" t="s">
        <v>133</v>
      </c>
      <c r="C59" s="435" t="s">
        <v>134</v>
      </c>
      <c r="D59" s="435" t="s">
        <v>135</v>
      </c>
      <c r="E59" s="435" t="s">
        <v>134</v>
      </c>
      <c r="F59" s="435" t="s">
        <v>135</v>
      </c>
      <c r="G59" s="1" t="s">
        <v>136</v>
      </c>
      <c r="H59" s="1" t="s">
        <v>108</v>
      </c>
      <c r="I59" s="436"/>
      <c r="J59" s="437" t="str">
        <f>+Setup_and_Criteria!$B$13</f>
        <v>Checkouts</v>
      </c>
      <c r="K59" s="437" t="str">
        <f>+Setup_and_Criteria!$B$14</f>
        <v>Pet Rooms</v>
      </c>
      <c r="L59" s="437" t="str">
        <f>+Setup_and_Criteria!$B$15</f>
        <v>2 Rm &amp; Jac Stes</v>
      </c>
      <c r="M59" s="438" t="str">
        <f>+Setup_and_Criteria!$B$16</f>
        <v>Stayovers</v>
      </c>
      <c r="N59" s="269" t="s">
        <v>137</v>
      </c>
      <c r="O59" s="269" t="s">
        <v>138</v>
      </c>
      <c r="P59" s="439" t="s">
        <v>139</v>
      </c>
      <c r="Q59" s="439" t="s">
        <v>140</v>
      </c>
      <c r="R59" s="440" t="str">
        <f>+Corrections!$C$8</f>
        <v>Vanity</v>
      </c>
      <c r="S59" s="440" t="str">
        <f>+Corrections!$I$8</f>
        <v>Toilet</v>
      </c>
      <c r="T59" s="440" t="str">
        <f>+Corrections!$O$8</f>
        <v>Bed/Pillows</v>
      </c>
      <c r="U59" s="440" t="str">
        <f>+Corrections!$U$8</f>
        <v>Floor</v>
      </c>
      <c r="V59" s="440" t="str">
        <f>+Corrections!$AA$8</f>
        <v>Dusting</v>
      </c>
      <c r="W59" s="440" t="str">
        <f>+Corrections!$AG$8</f>
        <v>Fridge/Micro</v>
      </c>
      <c r="X59" s="440" t="str">
        <f>+Corrections!$AM$8</f>
        <v>Tub</v>
      </c>
      <c r="Y59" s="441" t="str">
        <f>+Corrections!$AS$8</f>
        <v>Mirrors/Glass</v>
      </c>
      <c r="Z59" s="440" t="str">
        <f>+Corrections!$AY$8</f>
        <v>Stocking</v>
      </c>
      <c r="AA59" s="440" t="str">
        <f>+Corrections!$BE$8</f>
        <v>Other</v>
      </c>
      <c r="AB59" s="269" t="s">
        <v>141</v>
      </c>
      <c r="AC59" s="269" t="str">
        <f>+$AC$7</f>
        <v>Daily Corr / Inspected Checkout</v>
      </c>
      <c r="AD59" s="889" t="s">
        <v>143</v>
      </c>
      <c r="AE59" s="890"/>
      <c r="AF59" s="890"/>
      <c r="AG59" s="890"/>
      <c r="AH59" s="890"/>
      <c r="AI59" s="891"/>
    </row>
    <row r="60" spans="1:35" x14ac:dyDescent="0.25">
      <c r="A60" s="638"/>
      <c r="C60" s="369"/>
      <c r="D60" s="369"/>
      <c r="E60" s="369"/>
      <c r="F60" s="369"/>
      <c r="G60" s="264">
        <f t="shared" ref="G60:G65" si="32">+(D60-C60)+(F60-E60)</f>
        <v>0</v>
      </c>
      <c r="H60" s="442">
        <f t="shared" ref="H60:H65" si="33">+G60*1440</f>
        <v>0</v>
      </c>
      <c r="J60" s="630"/>
      <c r="K60" s="630"/>
      <c r="L60" s="630"/>
      <c r="M60" s="630"/>
      <c r="N60" s="1">
        <f>IF(C60&gt;0,((J60*Setup_and_Criteria!$F$13)+('M1_1-15th'!K60*Setup_and_Criteria!$F$14)+('M1_1-15th'!L60*Setup_and_Criteria!$F$15)+('M1_1-15th'!M60*Setup_and_Criteria!$F$16)+Setup_and_Criteria!$J$16),0)</f>
        <v>0</v>
      </c>
      <c r="O60" s="442">
        <f>+H60</f>
        <v>0</v>
      </c>
      <c r="P60" s="443">
        <f t="shared" ref="P60:P66" si="34">+N60-O60</f>
        <v>0</v>
      </c>
      <c r="Q60" s="357" t="e">
        <f t="shared" ref="Q60:Q66" si="35">O60/_xlfn.SINGLE(SUM(J60:M60))</f>
        <v>#DIV/0!</v>
      </c>
      <c r="R60" s="630"/>
      <c r="S60" s="630"/>
      <c r="T60" s="630"/>
      <c r="U60" s="630"/>
      <c r="V60" s="630"/>
      <c r="W60" s="630"/>
      <c r="X60" s="630"/>
      <c r="Y60" s="630"/>
      <c r="Z60" s="630"/>
      <c r="AA60" s="630"/>
      <c r="AB60" s="1">
        <f t="shared" ref="AB60:AB66" si="36">SUM(R60:AA60)</f>
        <v>0</v>
      </c>
      <c r="AC60" s="357" t="e">
        <f t="shared" ref="AC60:AC65" si="37">+AB60/(J60+K60+L60)</f>
        <v>#DIV/0!</v>
      </c>
      <c r="AD60" s="864" t="s">
        <v>144</v>
      </c>
      <c r="AE60" s="865"/>
      <c r="AF60" s="865"/>
      <c r="AG60" s="866"/>
      <c r="AH60" s="866"/>
      <c r="AI60" s="867"/>
    </row>
    <row r="61" spans="1:35" x14ac:dyDescent="0.25">
      <c r="A61" s="638"/>
      <c r="C61" s="630"/>
      <c r="D61" s="630"/>
      <c r="E61" s="630"/>
      <c r="F61" s="630"/>
      <c r="G61" s="264">
        <f t="shared" si="32"/>
        <v>0</v>
      </c>
      <c r="H61" s="442">
        <f t="shared" si="33"/>
        <v>0</v>
      </c>
      <c r="J61" s="630"/>
      <c r="K61" s="630"/>
      <c r="L61" s="630"/>
      <c r="M61" s="630"/>
      <c r="N61" s="1">
        <f>IF(C61&gt;0,((J61*Setup_and_Criteria!$F$13)+('M1_1-15th'!K61*Setup_and_Criteria!$F$14)+('M1_1-15th'!L61*Setup_and_Criteria!$F$15)+('M1_1-15th'!M61*Setup_and_Criteria!$F$16)+Setup_and_Criteria!$J$16),0)</f>
        <v>0</v>
      </c>
      <c r="O61" s="442">
        <f t="shared" ref="O61:O66" si="38">+H61</f>
        <v>0</v>
      </c>
      <c r="P61" s="443">
        <f t="shared" si="34"/>
        <v>0</v>
      </c>
      <c r="Q61" s="357" t="e">
        <f t="shared" si="35"/>
        <v>#DIV/0!</v>
      </c>
      <c r="R61" s="630"/>
      <c r="S61" s="630"/>
      <c r="T61" s="630"/>
      <c r="U61" s="630"/>
      <c r="V61" s="630"/>
      <c r="W61" s="630"/>
      <c r="X61" s="630"/>
      <c r="Y61" s="630"/>
      <c r="Z61" s="630"/>
      <c r="AA61" s="630"/>
      <c r="AB61" s="1">
        <f t="shared" si="36"/>
        <v>0</v>
      </c>
      <c r="AC61" s="357" t="e">
        <f t="shared" si="37"/>
        <v>#DIV/0!</v>
      </c>
      <c r="AD61" s="864"/>
      <c r="AE61" s="865"/>
      <c r="AF61" s="865"/>
      <c r="AG61" s="866"/>
      <c r="AH61" s="866"/>
      <c r="AI61" s="867"/>
    </row>
    <row r="62" spans="1:35" x14ac:dyDescent="0.25">
      <c r="A62" s="638"/>
      <c r="C62" s="630"/>
      <c r="D62" s="630"/>
      <c r="E62" s="630"/>
      <c r="F62" s="630"/>
      <c r="G62" s="264">
        <f t="shared" si="32"/>
        <v>0</v>
      </c>
      <c r="H62" s="442">
        <f t="shared" si="33"/>
        <v>0</v>
      </c>
      <c r="J62" s="630"/>
      <c r="K62" s="630"/>
      <c r="L62" s="630"/>
      <c r="M62" s="630"/>
      <c r="N62" s="1">
        <f>IF(C62&gt;0,((J62*Setup_and_Criteria!$F$13)+('M1_1-15th'!K62*Setup_and_Criteria!$F$14)+('M1_1-15th'!L62*Setup_and_Criteria!$F$15)+('M1_1-15th'!M62*Setup_and_Criteria!$F$16)+Setup_and_Criteria!$J$16),0)</f>
        <v>0</v>
      </c>
      <c r="O62" s="442">
        <f t="shared" si="38"/>
        <v>0</v>
      </c>
      <c r="P62" s="443">
        <f t="shared" si="34"/>
        <v>0</v>
      </c>
      <c r="Q62" s="357" t="e">
        <f t="shared" si="35"/>
        <v>#DIV/0!</v>
      </c>
      <c r="R62" s="630"/>
      <c r="S62" s="630"/>
      <c r="T62" s="630"/>
      <c r="U62" s="630"/>
      <c r="V62" s="630"/>
      <c r="W62" s="630"/>
      <c r="X62" s="630"/>
      <c r="Y62" s="630"/>
      <c r="Z62" s="630"/>
      <c r="AA62" s="630"/>
      <c r="AB62" s="1">
        <f t="shared" si="36"/>
        <v>0</v>
      </c>
      <c r="AC62" s="357" t="e">
        <f t="shared" si="37"/>
        <v>#DIV/0!</v>
      </c>
      <c r="AD62" s="864"/>
      <c r="AE62" s="865"/>
      <c r="AF62" s="865"/>
      <c r="AG62" s="866"/>
      <c r="AH62" s="866"/>
      <c r="AI62" s="867"/>
    </row>
    <row r="63" spans="1:35" x14ac:dyDescent="0.25">
      <c r="A63" s="638"/>
      <c r="C63" s="630"/>
      <c r="D63" s="630"/>
      <c r="E63" s="630"/>
      <c r="F63" s="630"/>
      <c r="G63" s="264">
        <f t="shared" si="32"/>
        <v>0</v>
      </c>
      <c r="H63" s="442">
        <f t="shared" si="33"/>
        <v>0</v>
      </c>
      <c r="J63" s="630"/>
      <c r="K63" s="630"/>
      <c r="L63" s="630"/>
      <c r="M63" s="630"/>
      <c r="N63" s="1">
        <f>IF(C63&gt;0,((J63*Setup_and_Criteria!$F$13)+('M1_1-15th'!K63*Setup_and_Criteria!$F$14)+('M1_1-15th'!L63*Setup_and_Criteria!$F$15)+('M1_1-15th'!M63*Setup_and_Criteria!$F$16)+Setup_and_Criteria!$J$16),0)</f>
        <v>0</v>
      </c>
      <c r="O63" s="442">
        <f t="shared" si="38"/>
        <v>0</v>
      </c>
      <c r="P63" s="443">
        <f t="shared" si="34"/>
        <v>0</v>
      </c>
      <c r="Q63" s="357" t="e">
        <f t="shared" si="35"/>
        <v>#DIV/0!</v>
      </c>
      <c r="R63" s="630"/>
      <c r="S63" s="630"/>
      <c r="T63" s="630"/>
      <c r="U63" s="630"/>
      <c r="V63" s="630"/>
      <c r="W63" s="630"/>
      <c r="X63" s="630"/>
      <c r="Y63" s="630"/>
      <c r="Z63" s="630"/>
      <c r="AA63" s="630"/>
      <c r="AB63" s="1">
        <f t="shared" si="36"/>
        <v>0</v>
      </c>
      <c r="AC63" s="357" t="e">
        <f t="shared" si="37"/>
        <v>#DIV/0!</v>
      </c>
      <c r="AD63" s="864"/>
      <c r="AE63" s="865"/>
      <c r="AF63" s="865"/>
      <c r="AG63" s="866"/>
      <c r="AH63" s="866"/>
      <c r="AI63" s="867"/>
    </row>
    <row r="64" spans="1:35" x14ac:dyDescent="0.25">
      <c r="A64" s="638"/>
      <c r="C64" s="630"/>
      <c r="D64" s="630"/>
      <c r="E64" s="630"/>
      <c r="F64" s="630"/>
      <c r="G64" s="264">
        <f t="shared" si="32"/>
        <v>0</v>
      </c>
      <c r="H64" s="442">
        <f t="shared" si="33"/>
        <v>0</v>
      </c>
      <c r="J64" s="630"/>
      <c r="K64" s="630"/>
      <c r="L64" s="630"/>
      <c r="M64" s="630"/>
      <c r="N64" s="1">
        <f>IF(C64&gt;0,((J64*Setup_and_Criteria!$F$13)+('M1_1-15th'!K64*Setup_and_Criteria!$F$14)+('M1_1-15th'!L64*Setup_and_Criteria!$F$15)+('M1_1-15th'!M64*Setup_and_Criteria!$F$16)+Setup_and_Criteria!$J$16),0)</f>
        <v>0</v>
      </c>
      <c r="O64" s="442">
        <f t="shared" si="38"/>
        <v>0</v>
      </c>
      <c r="P64" s="443">
        <f t="shared" si="34"/>
        <v>0</v>
      </c>
      <c r="Q64" s="357" t="e">
        <f t="shared" si="35"/>
        <v>#DIV/0!</v>
      </c>
      <c r="R64" s="630"/>
      <c r="S64" s="630"/>
      <c r="T64" s="630"/>
      <c r="U64" s="630"/>
      <c r="V64" s="630"/>
      <c r="W64" s="630"/>
      <c r="X64" s="630"/>
      <c r="Y64" s="630"/>
      <c r="Z64" s="630"/>
      <c r="AA64" s="630"/>
      <c r="AB64" s="1">
        <f t="shared" si="36"/>
        <v>0</v>
      </c>
      <c r="AC64" s="357" t="e">
        <f t="shared" si="37"/>
        <v>#DIV/0!</v>
      </c>
      <c r="AD64" s="864"/>
      <c r="AE64" s="865"/>
      <c r="AF64" s="865"/>
      <c r="AG64" s="866"/>
      <c r="AH64" s="866"/>
      <c r="AI64" s="867"/>
    </row>
    <row r="65" spans="1:35" ht="15.75" thickBot="1" x14ac:dyDescent="0.3">
      <c r="A65" s="638"/>
      <c r="C65" s="370"/>
      <c r="D65" s="370"/>
      <c r="E65" s="630"/>
      <c r="F65" s="630"/>
      <c r="G65" s="264">
        <f t="shared" si="32"/>
        <v>0</v>
      </c>
      <c r="H65" s="442">
        <f t="shared" si="33"/>
        <v>0</v>
      </c>
      <c r="J65" s="371"/>
      <c r="K65" s="371"/>
      <c r="L65" s="371"/>
      <c r="M65" s="371"/>
      <c r="N65" s="358">
        <f>IF(C65&gt;0,((J65*Setup_and_Criteria!$F$13)+('M1_1-15th'!K65*Setup_and_Criteria!$F$14)+('M1_1-15th'!L65*Setup_and_Criteria!$F$15)+('M1_1-15th'!M65*Setup_and_Criteria!$F$16)+Setup_and_Criteria!$J$16),0)</f>
        <v>0</v>
      </c>
      <c r="O65" s="359">
        <f t="shared" si="38"/>
        <v>0</v>
      </c>
      <c r="P65" s="383">
        <f t="shared" si="34"/>
        <v>0</v>
      </c>
      <c r="Q65" s="360" t="e">
        <f t="shared" si="35"/>
        <v>#DIV/0!</v>
      </c>
      <c r="R65" s="511"/>
      <c r="S65" s="511"/>
      <c r="T65" s="511"/>
      <c r="U65" s="511"/>
      <c r="V65" s="511"/>
      <c r="W65" s="511"/>
      <c r="X65" s="511"/>
      <c r="Y65" s="511"/>
      <c r="Z65" s="511"/>
      <c r="AA65" s="511"/>
      <c r="AB65" s="1">
        <f t="shared" si="36"/>
        <v>0</v>
      </c>
      <c r="AC65" s="357" t="e">
        <f t="shared" si="37"/>
        <v>#DIV/0!</v>
      </c>
      <c r="AD65" s="864"/>
      <c r="AE65" s="865"/>
      <c r="AF65" s="865"/>
      <c r="AG65" s="866"/>
      <c r="AH65" s="866"/>
      <c r="AI65" s="867"/>
    </row>
    <row r="66" spans="1:35" ht="15.75" thickTop="1" x14ac:dyDescent="0.25">
      <c r="A66" s="58"/>
      <c r="H66" s="442">
        <f>SUM(H60:H65)</f>
        <v>0</v>
      </c>
      <c r="J66" s="1">
        <f>SUM(J60:J65)</f>
        <v>0</v>
      </c>
      <c r="K66" s="1">
        <f>SUM(K60:K65)</f>
        <v>0</v>
      </c>
      <c r="L66" s="1">
        <f>SUM(L60:L65)</f>
        <v>0</v>
      </c>
      <c r="M66" s="1">
        <f>SUM(M60:M65)</f>
        <v>0</v>
      </c>
      <c r="N66" s="1">
        <f>SUM(N60:N65)</f>
        <v>0</v>
      </c>
      <c r="O66" s="1">
        <f t="shared" si="38"/>
        <v>0</v>
      </c>
      <c r="P66" s="443">
        <f t="shared" si="34"/>
        <v>0</v>
      </c>
      <c r="Q66" s="357" t="e">
        <f t="shared" si="35"/>
        <v>#DIV/0!</v>
      </c>
      <c r="R66" s="1">
        <f t="shared" ref="R66:AA66" si="39">SUM(R60:R65)</f>
        <v>0</v>
      </c>
      <c r="S66" s="1">
        <f t="shared" si="39"/>
        <v>0</v>
      </c>
      <c r="T66" s="1">
        <f t="shared" si="39"/>
        <v>0</v>
      </c>
      <c r="U66" s="1">
        <f t="shared" si="39"/>
        <v>0</v>
      </c>
      <c r="V66" s="1">
        <f t="shared" si="39"/>
        <v>0</v>
      </c>
      <c r="W66" s="1">
        <f t="shared" si="39"/>
        <v>0</v>
      </c>
      <c r="X66" s="1">
        <f t="shared" si="39"/>
        <v>0</v>
      </c>
      <c r="Y66" s="1">
        <f t="shared" si="39"/>
        <v>0</v>
      </c>
      <c r="Z66" s="1">
        <f t="shared" si="39"/>
        <v>0</v>
      </c>
      <c r="AA66" s="1">
        <f t="shared" si="39"/>
        <v>0</v>
      </c>
      <c r="AB66" s="1">
        <f t="shared" si="36"/>
        <v>0</v>
      </c>
      <c r="AC66" s="357" t="e">
        <f>+AB66/(J66+K66+L66+M66)</f>
        <v>#DIV/0!</v>
      </c>
      <c r="AD66" s="877"/>
      <c r="AE66" s="878"/>
      <c r="AF66" s="878"/>
      <c r="AG66" s="749"/>
      <c r="AH66" s="749"/>
      <c r="AI66" s="879"/>
    </row>
    <row r="67" spans="1:35" ht="21" customHeight="1" x14ac:dyDescent="0.35">
      <c r="A67" s="58"/>
      <c r="H67" s="442"/>
      <c r="N67" s="888" t="s">
        <v>145</v>
      </c>
      <c r="O67" s="888"/>
      <c r="P67" s="888"/>
      <c r="Q67" s="888"/>
      <c r="R67" s="431" t="s">
        <v>146</v>
      </c>
      <c r="S67" s="431"/>
      <c r="T67" s="431"/>
      <c r="U67" s="431"/>
      <c r="V67" s="431"/>
      <c r="W67" s="431"/>
      <c r="X67" s="431"/>
      <c r="Y67" s="431"/>
      <c r="Z67" s="431"/>
      <c r="AA67" s="431"/>
      <c r="AB67" s="431"/>
      <c r="AC67" s="431"/>
      <c r="AD67" s="880" t="s">
        <v>132</v>
      </c>
      <c r="AE67" s="881"/>
      <c r="AF67" s="881"/>
      <c r="AG67" s="881"/>
      <c r="AH67" s="881"/>
      <c r="AI67" s="882"/>
    </row>
    <row r="68" spans="1:35" ht="31.5" customHeight="1" x14ac:dyDescent="0.35">
      <c r="A68" s="378" t="s">
        <v>147</v>
      </c>
      <c r="C68" s="885" t="s">
        <v>128</v>
      </c>
      <c r="D68" s="885"/>
      <c r="E68" s="885"/>
      <c r="F68" s="885"/>
      <c r="H68" s="442"/>
      <c r="J68" s="444"/>
      <c r="K68" s="445" t="s">
        <v>35</v>
      </c>
      <c r="L68" s="445" t="s">
        <v>148</v>
      </c>
      <c r="N68" s="446" t="s">
        <v>149</v>
      </c>
      <c r="O68" s="447" t="s">
        <v>150</v>
      </c>
      <c r="P68" s="447" t="s">
        <v>138</v>
      </c>
      <c r="Q68" s="447" t="s">
        <v>151</v>
      </c>
      <c r="R68" s="749" t="s">
        <v>152</v>
      </c>
      <c r="S68" s="749"/>
      <c r="T68" s="883" t="s">
        <v>153</v>
      </c>
      <c r="U68" s="883"/>
      <c r="W68" s="425" t="s">
        <v>154</v>
      </c>
      <c r="X68" s="425"/>
      <c r="Y68" s="425"/>
      <c r="Z68" s="425"/>
      <c r="AA68" s="425"/>
      <c r="AB68" s="425"/>
      <c r="AC68" s="425"/>
      <c r="AD68" s="868"/>
      <c r="AE68" s="869"/>
      <c r="AF68" s="869"/>
      <c r="AG68" s="869"/>
      <c r="AH68" s="869"/>
      <c r="AI68" s="870"/>
    </row>
    <row r="69" spans="1:35" ht="18" customHeight="1" thickBot="1" x14ac:dyDescent="0.3">
      <c r="A69" s="639"/>
      <c r="B69" s="375"/>
      <c r="C69" s="372"/>
      <c r="D69" s="372"/>
      <c r="E69" s="372"/>
      <c r="F69" s="372"/>
      <c r="G69" s="366">
        <f>+(D69-C69)+(F69-E69)</f>
        <v>0</v>
      </c>
      <c r="H69" s="367">
        <f>+G69*1440</f>
        <v>0</v>
      </c>
      <c r="I69" s="859" t="s">
        <v>155</v>
      </c>
      <c r="J69" s="860"/>
      <c r="K69" s="373"/>
      <c r="L69" s="374"/>
      <c r="M69" s="423"/>
      <c r="N69" s="629">
        <f>+J66+L66+K66+K69+L69</f>
        <v>0</v>
      </c>
      <c r="O69" s="368">
        <f>+(Setup_and_Criteria!$K$31+(J66*Setup_and_Criteria!$F$20)+('M1_1-15th'!K66*Setup_and_Criteria!$F$21)+('M1_1-15th'!L66*Setup_and_Criteria!$F$20))+T69+(K69*Setup_and_Criteria!$F$21)+(Setup_and_Criteria!$F$22*'M1_1-15th'!L69)</f>
        <v>75</v>
      </c>
      <c r="P69" s="367">
        <f>+H69</f>
        <v>0</v>
      </c>
      <c r="Q69" s="367">
        <f>+O69-P69</f>
        <v>75</v>
      </c>
      <c r="R69" s="861" t="s">
        <v>252</v>
      </c>
      <c r="S69" s="861"/>
      <c r="T69" s="862"/>
      <c r="U69" s="863"/>
      <c r="V69" s="265" t="s">
        <v>156</v>
      </c>
      <c r="W69" s="854"/>
      <c r="X69" s="855"/>
      <c r="Y69" s="855"/>
      <c r="Z69" s="855"/>
      <c r="AA69" s="855"/>
      <c r="AB69" s="855"/>
      <c r="AC69" s="855"/>
      <c r="AD69" s="868"/>
      <c r="AE69" s="869"/>
      <c r="AF69" s="869"/>
      <c r="AG69" s="869"/>
      <c r="AH69" s="869"/>
      <c r="AI69" s="870"/>
    </row>
    <row r="70" spans="1:35" ht="15.75" thickBot="1" x14ac:dyDescent="0.3">
      <c r="A70" s="449" t="str">
        <f>+A57</f>
        <v>Password to enter data = "Enter Info"</v>
      </c>
      <c r="B70" s="450"/>
      <c r="C70" s="451"/>
      <c r="D70" s="451"/>
      <c r="E70" s="451"/>
      <c r="F70" s="451"/>
      <c r="G70" s="451"/>
      <c r="H70" s="451"/>
      <c r="I70" s="450"/>
      <c r="J70" s="451"/>
      <c r="K70" s="451"/>
      <c r="L70" s="451"/>
      <c r="M70" s="451"/>
      <c r="N70" s="451"/>
      <c r="O70" s="451"/>
      <c r="P70" s="451"/>
      <c r="Q70" s="450"/>
      <c r="R70" s="451"/>
      <c r="S70" s="451"/>
      <c r="T70" s="451"/>
      <c r="U70" s="451"/>
      <c r="V70" s="451"/>
      <c r="W70" s="451"/>
      <c r="X70" s="451"/>
      <c r="Y70" s="451"/>
      <c r="Z70" s="451"/>
      <c r="AA70" s="451"/>
      <c r="AB70" s="450"/>
      <c r="AC70" s="450"/>
      <c r="AD70" s="871"/>
      <c r="AE70" s="872"/>
      <c r="AF70" s="872"/>
      <c r="AG70" s="872"/>
      <c r="AH70" s="872"/>
      <c r="AI70" s="873"/>
    </row>
    <row r="71" spans="1:35" ht="35.25" customHeight="1" thickBot="1" x14ac:dyDescent="0.45">
      <c r="A71" s="428" t="str">
        <f>+A58</f>
        <v>April</v>
      </c>
      <c r="B71" s="429">
        <f>+B58+1</f>
        <v>6</v>
      </c>
      <c r="C71" s="885" t="s">
        <v>128</v>
      </c>
      <c r="D71" s="885"/>
      <c r="E71" s="885"/>
      <c r="F71" s="885"/>
      <c r="G71" s="430"/>
      <c r="H71" s="430"/>
      <c r="J71" s="895" t="s">
        <v>129</v>
      </c>
      <c r="K71" s="896"/>
      <c r="L71" s="896"/>
      <c r="M71" s="896"/>
      <c r="N71" s="888" t="s">
        <v>130</v>
      </c>
      <c r="O71" s="888"/>
      <c r="P71" s="888"/>
      <c r="Q71" s="888"/>
      <c r="R71" s="431" t="str">
        <f>+R58</f>
        <v xml:space="preserve"> Corrections Tracking - Check out rooms</v>
      </c>
      <c r="S71" s="431"/>
      <c r="T71" s="431"/>
      <c r="U71" s="431"/>
      <c r="V71" s="431"/>
      <c r="W71" s="431"/>
      <c r="X71" s="431"/>
      <c r="Y71" s="431"/>
      <c r="Z71" s="431"/>
      <c r="AA71" s="431"/>
      <c r="AB71" s="431"/>
      <c r="AC71" s="431"/>
      <c r="AD71" s="462" t="s">
        <v>132</v>
      </c>
      <c r="AE71" s="432"/>
      <c r="AF71" s="432"/>
      <c r="AG71" s="432"/>
      <c r="AH71" s="432"/>
      <c r="AI71" s="433"/>
    </row>
    <row r="72" spans="1:35" ht="59.25" customHeight="1" x14ac:dyDescent="0.25">
      <c r="A72" s="623" t="s">
        <v>133</v>
      </c>
      <c r="B72" s="21"/>
      <c r="C72" s="453" t="s">
        <v>134</v>
      </c>
      <c r="D72" s="453" t="s">
        <v>135</v>
      </c>
      <c r="E72" s="453" t="s">
        <v>134</v>
      </c>
      <c r="F72" s="453" t="s">
        <v>135</v>
      </c>
      <c r="G72" s="635" t="s">
        <v>136</v>
      </c>
      <c r="H72" s="635" t="s">
        <v>108</v>
      </c>
      <c r="I72" s="454"/>
      <c r="J72" s="455" t="str">
        <f>+Setup_and_Criteria!$B$13</f>
        <v>Checkouts</v>
      </c>
      <c r="K72" s="455" t="str">
        <f>+Setup_and_Criteria!$B$14</f>
        <v>Pet Rooms</v>
      </c>
      <c r="L72" s="455" t="str">
        <f>+Setup_and_Criteria!$B$15</f>
        <v>2 Rm &amp; Jac Stes</v>
      </c>
      <c r="M72" s="456" t="str">
        <f>+Setup_and_Criteria!$B$16</f>
        <v>Stayovers</v>
      </c>
      <c r="N72" s="457" t="s">
        <v>137</v>
      </c>
      <c r="O72" s="457" t="s">
        <v>138</v>
      </c>
      <c r="P72" s="458" t="s">
        <v>139</v>
      </c>
      <c r="Q72" s="458" t="s">
        <v>140</v>
      </c>
      <c r="R72" s="459" t="str">
        <f>+Corrections!$C$8</f>
        <v>Vanity</v>
      </c>
      <c r="S72" s="459" t="str">
        <f>+Corrections!$I$8</f>
        <v>Toilet</v>
      </c>
      <c r="T72" s="459" t="str">
        <f>+Corrections!$O$8</f>
        <v>Bed/Pillows</v>
      </c>
      <c r="U72" s="459" t="str">
        <f>+Corrections!$U$8</f>
        <v>Floor</v>
      </c>
      <c r="V72" s="459" t="str">
        <f>+Corrections!$AA$8</f>
        <v>Dusting</v>
      </c>
      <c r="W72" s="459" t="str">
        <f>+Corrections!$AG$8</f>
        <v>Fridge/Micro</v>
      </c>
      <c r="X72" s="459" t="str">
        <f>+Corrections!$AM$8</f>
        <v>Tub</v>
      </c>
      <c r="Y72" s="460" t="str">
        <f>+Corrections!$AS$8</f>
        <v>Mirrors/Glass</v>
      </c>
      <c r="Z72" s="459" t="str">
        <f>+Corrections!$AY$8</f>
        <v>Stocking</v>
      </c>
      <c r="AA72" s="459" t="str">
        <f>+Corrections!$BE$8</f>
        <v>Other</v>
      </c>
      <c r="AB72" s="457" t="s">
        <v>141</v>
      </c>
      <c r="AC72" s="269" t="str">
        <f>+$AC$7</f>
        <v>Daily Corr / Inspected Checkout</v>
      </c>
      <c r="AD72" s="892" t="s">
        <v>143</v>
      </c>
      <c r="AE72" s="893"/>
      <c r="AF72" s="893"/>
      <c r="AG72" s="893"/>
      <c r="AH72" s="893"/>
      <c r="AI72" s="894"/>
    </row>
    <row r="73" spans="1:35" x14ac:dyDescent="0.25">
      <c r="A73" s="638"/>
      <c r="C73" s="369"/>
      <c r="D73" s="369"/>
      <c r="E73" s="369"/>
      <c r="F73" s="369"/>
      <c r="G73" s="264">
        <f t="shared" ref="G73:G78" si="40">+(D73-C73)+(F73-E73)</f>
        <v>0</v>
      </c>
      <c r="H73" s="442">
        <f t="shared" ref="H73:H78" si="41">+G73*1440</f>
        <v>0</v>
      </c>
      <c r="J73" s="630"/>
      <c r="K73" s="630"/>
      <c r="L73" s="630"/>
      <c r="M73" s="630"/>
      <c r="N73" s="1">
        <f>IF(C73&gt;0,((J73*Setup_and_Criteria!$F$13)+('M1_1-15th'!K73*Setup_and_Criteria!$F$14)+('M1_1-15th'!L73*Setup_and_Criteria!$F$15)+('M1_1-15th'!M73*Setup_and_Criteria!$F$16)+Setup_and_Criteria!$J$16),0)</f>
        <v>0</v>
      </c>
      <c r="O73" s="442">
        <f>+H73</f>
        <v>0</v>
      </c>
      <c r="P73" s="443">
        <f t="shared" ref="P73:P79" si="42">+N73-O73</f>
        <v>0</v>
      </c>
      <c r="Q73" s="357" t="e">
        <f t="shared" ref="Q73:Q79" si="43">O73/_xlfn.SINGLE(SUM(J73:M73))</f>
        <v>#DIV/0!</v>
      </c>
      <c r="R73" s="630"/>
      <c r="S73" s="630"/>
      <c r="T73" s="630"/>
      <c r="U73" s="630"/>
      <c r="V73" s="630"/>
      <c r="W73" s="630"/>
      <c r="X73" s="630"/>
      <c r="Y73" s="630"/>
      <c r="Z73" s="630"/>
      <c r="AA73" s="630"/>
      <c r="AB73" s="1">
        <f t="shared" ref="AB73:AB79" si="44">SUM(R73:AA73)</f>
        <v>0</v>
      </c>
      <c r="AC73" s="357" t="e">
        <f t="shared" ref="AC73:AC79" si="45">+AB73/(J73+K73+L73)</f>
        <v>#DIV/0!</v>
      </c>
      <c r="AD73" s="864" t="s">
        <v>144</v>
      </c>
      <c r="AE73" s="865"/>
      <c r="AF73" s="865"/>
      <c r="AG73" s="866"/>
      <c r="AH73" s="866"/>
      <c r="AI73" s="867"/>
    </row>
    <row r="74" spans="1:35" x14ac:dyDescent="0.25">
      <c r="A74" s="638"/>
      <c r="C74" s="369"/>
      <c r="D74" s="369"/>
      <c r="E74" s="369"/>
      <c r="F74" s="369"/>
      <c r="G74" s="264">
        <f t="shared" si="40"/>
        <v>0</v>
      </c>
      <c r="H74" s="442">
        <f t="shared" si="41"/>
        <v>0</v>
      </c>
      <c r="J74" s="630"/>
      <c r="K74" s="630"/>
      <c r="L74" s="630"/>
      <c r="M74" s="630"/>
      <c r="N74" s="1">
        <f>IF(C74&gt;0,((J74*Setup_and_Criteria!$F$13)+('M1_1-15th'!K74*Setup_and_Criteria!$F$14)+('M1_1-15th'!L74*Setup_and_Criteria!$F$15)+('M1_1-15th'!M74*Setup_and_Criteria!$F$16)+Setup_and_Criteria!$J$16),0)</f>
        <v>0</v>
      </c>
      <c r="O74" s="442">
        <f t="shared" ref="O74:O79" si="46">+H74</f>
        <v>0</v>
      </c>
      <c r="P74" s="443">
        <f t="shared" si="42"/>
        <v>0</v>
      </c>
      <c r="Q74" s="357" t="e">
        <f t="shared" si="43"/>
        <v>#DIV/0!</v>
      </c>
      <c r="R74" s="630"/>
      <c r="S74" s="630"/>
      <c r="T74" s="630"/>
      <c r="U74" s="630"/>
      <c r="V74" s="630"/>
      <c r="W74" s="630"/>
      <c r="X74" s="630"/>
      <c r="Y74" s="630"/>
      <c r="Z74" s="630"/>
      <c r="AA74" s="630"/>
      <c r="AB74" s="1">
        <f t="shared" si="44"/>
        <v>0</v>
      </c>
      <c r="AC74" s="357" t="e">
        <f t="shared" si="45"/>
        <v>#DIV/0!</v>
      </c>
      <c r="AD74" s="864"/>
      <c r="AE74" s="865"/>
      <c r="AF74" s="865"/>
      <c r="AG74" s="866"/>
      <c r="AH74" s="866"/>
      <c r="AI74" s="867"/>
    </row>
    <row r="75" spans="1:35" x14ac:dyDescent="0.25">
      <c r="A75" s="638"/>
      <c r="C75" s="630"/>
      <c r="D75" s="630"/>
      <c r="E75" s="630"/>
      <c r="F75" s="630"/>
      <c r="G75" s="264">
        <f t="shared" si="40"/>
        <v>0</v>
      </c>
      <c r="H75" s="442">
        <f t="shared" si="41"/>
        <v>0</v>
      </c>
      <c r="J75" s="630"/>
      <c r="K75" s="630"/>
      <c r="L75" s="630"/>
      <c r="M75" s="630"/>
      <c r="N75" s="1">
        <f>IF(C75&gt;0,((J75*Setup_and_Criteria!$F$13)+('M1_1-15th'!K75*Setup_and_Criteria!$F$14)+('M1_1-15th'!L75*Setup_and_Criteria!$F$15)+('M1_1-15th'!M75*Setup_and_Criteria!$F$16)+Setup_and_Criteria!$J$16),0)</f>
        <v>0</v>
      </c>
      <c r="O75" s="442">
        <f t="shared" si="46"/>
        <v>0</v>
      </c>
      <c r="P75" s="443">
        <f t="shared" si="42"/>
        <v>0</v>
      </c>
      <c r="Q75" s="357" t="e">
        <f t="shared" si="43"/>
        <v>#DIV/0!</v>
      </c>
      <c r="R75" s="630"/>
      <c r="S75" s="630"/>
      <c r="T75" s="630"/>
      <c r="U75" s="630"/>
      <c r="V75" s="630"/>
      <c r="W75" s="630"/>
      <c r="X75" s="630"/>
      <c r="Y75" s="630"/>
      <c r="Z75" s="630"/>
      <c r="AA75" s="630"/>
      <c r="AB75" s="1">
        <f t="shared" si="44"/>
        <v>0</v>
      </c>
      <c r="AC75" s="357" t="e">
        <f t="shared" si="45"/>
        <v>#DIV/0!</v>
      </c>
      <c r="AD75" s="864"/>
      <c r="AE75" s="865"/>
      <c r="AF75" s="865"/>
      <c r="AG75" s="866"/>
      <c r="AH75" s="866"/>
      <c r="AI75" s="867"/>
    </row>
    <row r="76" spans="1:35" x14ac:dyDescent="0.25">
      <c r="A76" s="638"/>
      <c r="C76" s="630"/>
      <c r="D76" s="630"/>
      <c r="E76" s="630"/>
      <c r="F76" s="630"/>
      <c r="G76" s="264">
        <f t="shared" si="40"/>
        <v>0</v>
      </c>
      <c r="H76" s="442">
        <f t="shared" si="41"/>
        <v>0</v>
      </c>
      <c r="J76" s="630"/>
      <c r="K76" s="630"/>
      <c r="L76" s="630"/>
      <c r="M76" s="630"/>
      <c r="N76" s="1">
        <f>IF(C76&gt;0,((J76*Setup_and_Criteria!$F$13)+('M1_1-15th'!K76*Setup_and_Criteria!$F$14)+('M1_1-15th'!L76*Setup_and_Criteria!$F$15)+('M1_1-15th'!M76*Setup_and_Criteria!$F$16)+Setup_and_Criteria!$J$16),0)</f>
        <v>0</v>
      </c>
      <c r="O76" s="442">
        <f t="shared" si="46"/>
        <v>0</v>
      </c>
      <c r="P76" s="443">
        <f t="shared" si="42"/>
        <v>0</v>
      </c>
      <c r="Q76" s="357" t="e">
        <f t="shared" si="43"/>
        <v>#DIV/0!</v>
      </c>
      <c r="R76" s="630"/>
      <c r="S76" s="630"/>
      <c r="T76" s="630"/>
      <c r="U76" s="630"/>
      <c r="V76" s="630"/>
      <c r="W76" s="630"/>
      <c r="X76" s="630"/>
      <c r="Y76" s="630"/>
      <c r="Z76" s="630"/>
      <c r="AA76" s="630"/>
      <c r="AB76" s="1">
        <f t="shared" si="44"/>
        <v>0</v>
      </c>
      <c r="AC76" s="357" t="e">
        <f t="shared" si="45"/>
        <v>#DIV/0!</v>
      </c>
      <c r="AD76" s="864"/>
      <c r="AE76" s="865"/>
      <c r="AF76" s="865"/>
      <c r="AG76" s="866"/>
      <c r="AH76" s="866"/>
      <c r="AI76" s="867"/>
    </row>
    <row r="77" spans="1:35" x14ac:dyDescent="0.25">
      <c r="A77" s="638"/>
      <c r="C77" s="630"/>
      <c r="D77" s="630"/>
      <c r="E77" s="630"/>
      <c r="F77" s="630"/>
      <c r="G77" s="264">
        <f t="shared" si="40"/>
        <v>0</v>
      </c>
      <c r="H77" s="442">
        <f t="shared" si="41"/>
        <v>0</v>
      </c>
      <c r="J77" s="630"/>
      <c r="K77" s="630"/>
      <c r="L77" s="630"/>
      <c r="M77" s="630"/>
      <c r="N77" s="1">
        <f>IF(C77&gt;0,((J77*Setup_and_Criteria!$F$13)+('M1_1-15th'!K77*Setup_and_Criteria!$F$14)+('M1_1-15th'!L77*Setup_and_Criteria!$F$15)+('M1_1-15th'!M77*Setup_and_Criteria!$F$16)+Setup_and_Criteria!$J$16),0)</f>
        <v>0</v>
      </c>
      <c r="O77" s="442">
        <f t="shared" si="46"/>
        <v>0</v>
      </c>
      <c r="P77" s="443">
        <f t="shared" si="42"/>
        <v>0</v>
      </c>
      <c r="Q77" s="357" t="e">
        <f t="shared" si="43"/>
        <v>#DIV/0!</v>
      </c>
      <c r="R77" s="630"/>
      <c r="S77" s="630"/>
      <c r="T77" s="630"/>
      <c r="U77" s="630"/>
      <c r="V77" s="630"/>
      <c r="W77" s="630"/>
      <c r="X77" s="630"/>
      <c r="Y77" s="630"/>
      <c r="Z77" s="630"/>
      <c r="AA77" s="630"/>
      <c r="AB77" s="1">
        <f t="shared" si="44"/>
        <v>0</v>
      </c>
      <c r="AC77" s="357" t="e">
        <f t="shared" si="45"/>
        <v>#DIV/0!</v>
      </c>
      <c r="AD77" s="864"/>
      <c r="AE77" s="865"/>
      <c r="AF77" s="865"/>
      <c r="AG77" s="866"/>
      <c r="AH77" s="866"/>
      <c r="AI77" s="867"/>
    </row>
    <row r="78" spans="1:35" ht="15.75" thickBot="1" x14ac:dyDescent="0.3">
      <c r="A78" s="638"/>
      <c r="C78" s="370"/>
      <c r="D78" s="370"/>
      <c r="E78" s="630"/>
      <c r="F78" s="630"/>
      <c r="G78" s="264">
        <f t="shared" si="40"/>
        <v>0</v>
      </c>
      <c r="H78" s="442">
        <f t="shared" si="41"/>
        <v>0</v>
      </c>
      <c r="J78" s="371"/>
      <c r="K78" s="371"/>
      <c r="L78" s="371"/>
      <c r="M78" s="371"/>
      <c r="N78" s="358">
        <f>IF(C78&gt;0,((J78*Setup_and_Criteria!$F$13)+('M1_1-15th'!K78*Setup_and_Criteria!$F$14)+('M1_1-15th'!L78*Setup_and_Criteria!$F$15)+('M1_1-15th'!M78*Setup_and_Criteria!$F$16)+Setup_and_Criteria!$J$16),0)</f>
        <v>0</v>
      </c>
      <c r="O78" s="359">
        <f t="shared" si="46"/>
        <v>0</v>
      </c>
      <c r="P78" s="383">
        <f t="shared" si="42"/>
        <v>0</v>
      </c>
      <c r="Q78" s="360" t="e">
        <f t="shared" si="43"/>
        <v>#DIV/0!</v>
      </c>
      <c r="R78" s="511"/>
      <c r="S78" s="511"/>
      <c r="T78" s="511"/>
      <c r="U78" s="511"/>
      <c r="V78" s="511"/>
      <c r="W78" s="511"/>
      <c r="X78" s="511"/>
      <c r="Y78" s="511"/>
      <c r="Z78" s="511"/>
      <c r="AA78" s="511"/>
      <c r="AB78" s="1">
        <f t="shared" si="44"/>
        <v>0</v>
      </c>
      <c r="AC78" s="357" t="e">
        <f t="shared" si="45"/>
        <v>#DIV/0!</v>
      </c>
      <c r="AD78" s="864"/>
      <c r="AE78" s="865"/>
      <c r="AF78" s="865"/>
      <c r="AG78" s="866"/>
      <c r="AH78" s="866"/>
      <c r="AI78" s="867"/>
    </row>
    <row r="79" spans="1:35" ht="15.75" thickTop="1" x14ac:dyDescent="0.25">
      <c r="A79" s="58"/>
      <c r="H79" s="442">
        <f>SUM(H73:H78)</f>
        <v>0</v>
      </c>
      <c r="J79" s="1">
        <f>SUM(J73:J78)</f>
        <v>0</v>
      </c>
      <c r="K79" s="1">
        <f>SUM(K73:K78)</f>
        <v>0</v>
      </c>
      <c r="L79" s="1">
        <f>SUM(L73:L78)</f>
        <v>0</v>
      </c>
      <c r="M79" s="1">
        <f>SUM(M73:M78)</f>
        <v>0</v>
      </c>
      <c r="N79" s="1">
        <f>SUM(N73:N78)</f>
        <v>0</v>
      </c>
      <c r="O79" s="1">
        <f t="shared" si="46"/>
        <v>0</v>
      </c>
      <c r="P79" s="443">
        <f t="shared" si="42"/>
        <v>0</v>
      </c>
      <c r="Q79" s="357" t="e">
        <f t="shared" si="43"/>
        <v>#DIV/0!</v>
      </c>
      <c r="R79" s="1">
        <f t="shared" ref="R79:AA79" si="47">SUM(R73:R78)</f>
        <v>0</v>
      </c>
      <c r="S79" s="1">
        <f t="shared" si="47"/>
        <v>0</v>
      </c>
      <c r="T79" s="1">
        <f t="shared" si="47"/>
        <v>0</v>
      </c>
      <c r="U79" s="1">
        <f t="shared" si="47"/>
        <v>0</v>
      </c>
      <c r="V79" s="1">
        <f t="shared" si="47"/>
        <v>0</v>
      </c>
      <c r="W79" s="1">
        <f t="shared" si="47"/>
        <v>0</v>
      </c>
      <c r="X79" s="1">
        <f t="shared" si="47"/>
        <v>0</v>
      </c>
      <c r="Y79" s="1">
        <f t="shared" si="47"/>
        <v>0</v>
      </c>
      <c r="Z79" s="1">
        <f t="shared" si="47"/>
        <v>0</v>
      </c>
      <c r="AA79" s="1">
        <f t="shared" si="47"/>
        <v>0</v>
      </c>
      <c r="AB79" s="1">
        <f t="shared" si="44"/>
        <v>0</v>
      </c>
      <c r="AC79" s="357" t="e">
        <f t="shared" si="45"/>
        <v>#DIV/0!</v>
      </c>
      <c r="AD79" s="877"/>
      <c r="AE79" s="878"/>
      <c r="AF79" s="878"/>
      <c r="AG79" s="749"/>
      <c r="AH79" s="749"/>
      <c r="AI79" s="879"/>
    </row>
    <row r="80" spans="1:35" ht="21" customHeight="1" x14ac:dyDescent="0.35">
      <c r="A80" s="58"/>
      <c r="H80" s="442"/>
      <c r="N80" s="888" t="s">
        <v>145</v>
      </c>
      <c r="O80" s="888"/>
      <c r="P80" s="888"/>
      <c r="Q80" s="888"/>
      <c r="R80" s="431" t="s">
        <v>146</v>
      </c>
      <c r="S80" s="431"/>
      <c r="T80" s="431"/>
      <c r="U80" s="431"/>
      <c r="V80" s="431"/>
      <c r="W80" s="431"/>
      <c r="X80" s="431"/>
      <c r="Y80" s="431"/>
      <c r="Z80" s="431"/>
      <c r="AA80" s="431"/>
      <c r="AB80" s="431"/>
      <c r="AC80" s="431"/>
      <c r="AD80" s="880" t="s">
        <v>132</v>
      </c>
      <c r="AE80" s="881"/>
      <c r="AF80" s="881"/>
      <c r="AG80" s="881"/>
      <c r="AH80" s="881"/>
      <c r="AI80" s="882"/>
    </row>
    <row r="81" spans="1:35" ht="31.5" customHeight="1" x14ac:dyDescent="0.35">
      <c r="A81" s="378" t="s">
        <v>147</v>
      </c>
      <c r="C81" s="885" t="s">
        <v>128</v>
      </c>
      <c r="D81" s="885"/>
      <c r="E81" s="885"/>
      <c r="F81" s="885"/>
      <c r="H81" s="442"/>
      <c r="J81" s="444"/>
      <c r="K81" s="445" t="s">
        <v>35</v>
      </c>
      <c r="L81" s="445" t="s">
        <v>148</v>
      </c>
      <c r="N81" s="446" t="s">
        <v>149</v>
      </c>
      <c r="O81" s="447" t="s">
        <v>150</v>
      </c>
      <c r="P81" s="447" t="s">
        <v>138</v>
      </c>
      <c r="Q81" s="447" t="s">
        <v>151</v>
      </c>
      <c r="R81" s="749" t="s">
        <v>152</v>
      </c>
      <c r="S81" s="749"/>
      <c r="T81" s="883" t="s">
        <v>153</v>
      </c>
      <c r="U81" s="883"/>
      <c r="W81" s="425" t="s">
        <v>154</v>
      </c>
      <c r="X81" s="425"/>
      <c r="Y81" s="425"/>
      <c r="Z81" s="425"/>
      <c r="AA81" s="425"/>
      <c r="AB81" s="425"/>
      <c r="AC81" s="425"/>
      <c r="AD81" s="868"/>
      <c r="AE81" s="869"/>
      <c r="AF81" s="869"/>
      <c r="AG81" s="869"/>
      <c r="AH81" s="869"/>
      <c r="AI81" s="870"/>
    </row>
    <row r="82" spans="1:35" ht="18" customHeight="1" thickBot="1" x14ac:dyDescent="0.3">
      <c r="A82" s="639"/>
      <c r="B82" s="375"/>
      <c r="C82" s="372"/>
      <c r="D82" s="372"/>
      <c r="E82" s="372"/>
      <c r="F82" s="372"/>
      <c r="G82" s="366">
        <f>+(D82-C82)+(F82-E82)</f>
        <v>0</v>
      </c>
      <c r="H82" s="367">
        <f>+G82*1440</f>
        <v>0</v>
      </c>
      <c r="I82" s="859" t="s">
        <v>155</v>
      </c>
      <c r="J82" s="860"/>
      <c r="K82" s="373"/>
      <c r="L82" s="374"/>
      <c r="M82" s="423"/>
      <c r="N82" s="629">
        <f>+J79+L79+K79+K82+L82</f>
        <v>0</v>
      </c>
      <c r="O82" s="368">
        <f>+(Setup_and_Criteria!$K$31+(J79*Setup_and_Criteria!$F$20)+('M1_1-15th'!K79*Setup_and_Criteria!$F$21)+('M1_1-15th'!L79*Setup_and_Criteria!$F$20))+T82+(K82*Setup_and_Criteria!$F$21)+(Setup_and_Criteria!$F$22*'M1_1-15th'!L82)</f>
        <v>75</v>
      </c>
      <c r="P82" s="367">
        <f>+H82</f>
        <v>0</v>
      </c>
      <c r="Q82" s="367">
        <f>+O82-P82</f>
        <v>75</v>
      </c>
      <c r="R82" s="861"/>
      <c r="S82" s="861"/>
      <c r="T82" s="862"/>
      <c r="U82" s="863"/>
      <c r="V82" s="265" t="s">
        <v>156</v>
      </c>
      <c r="W82" s="854"/>
      <c r="X82" s="855"/>
      <c r="Y82" s="855"/>
      <c r="Z82" s="855"/>
      <c r="AA82" s="855"/>
      <c r="AB82" s="855"/>
      <c r="AC82" s="855"/>
      <c r="AD82" s="868"/>
      <c r="AE82" s="869"/>
      <c r="AF82" s="869"/>
      <c r="AG82" s="869"/>
      <c r="AH82" s="869"/>
      <c r="AI82" s="870"/>
    </row>
    <row r="83" spans="1:35" ht="15.75" thickBot="1" x14ac:dyDescent="0.3">
      <c r="A83" s="449" t="str">
        <f>+A70</f>
        <v>Password to enter data = "Enter Info"</v>
      </c>
      <c r="B83" s="450"/>
      <c r="C83" s="451"/>
      <c r="D83" s="451"/>
      <c r="E83" s="451"/>
      <c r="F83" s="451"/>
      <c r="G83" s="451"/>
      <c r="H83" s="451"/>
      <c r="I83" s="450"/>
      <c r="J83" s="451"/>
      <c r="K83" s="451"/>
      <c r="L83" s="451"/>
      <c r="M83" s="451"/>
      <c r="N83" s="451"/>
      <c r="O83" s="451"/>
      <c r="P83" s="451"/>
      <c r="Q83" s="450"/>
      <c r="R83" s="451"/>
      <c r="S83" s="451"/>
      <c r="T83" s="451"/>
      <c r="U83" s="451"/>
      <c r="V83" s="451"/>
      <c r="W83" s="451"/>
      <c r="X83" s="451"/>
      <c r="Y83" s="451"/>
      <c r="Z83" s="451"/>
      <c r="AA83" s="451"/>
      <c r="AB83" s="450"/>
      <c r="AC83" s="450"/>
      <c r="AD83" s="871"/>
      <c r="AE83" s="872"/>
      <c r="AF83" s="872"/>
      <c r="AG83" s="872"/>
      <c r="AH83" s="872"/>
      <c r="AI83" s="873"/>
    </row>
    <row r="84" spans="1:35" ht="35.25" customHeight="1" x14ac:dyDescent="0.4">
      <c r="A84" s="434" t="str">
        <f>+A71</f>
        <v>April</v>
      </c>
      <c r="B84" s="624">
        <f>+B71+1</f>
        <v>7</v>
      </c>
      <c r="C84" s="884" t="s">
        <v>128</v>
      </c>
      <c r="D84" s="884"/>
      <c r="E84" s="884"/>
      <c r="F84" s="884"/>
      <c r="G84" s="377"/>
      <c r="H84" s="377"/>
      <c r="I84" s="21"/>
      <c r="J84" s="874" t="s">
        <v>129</v>
      </c>
      <c r="K84" s="875"/>
      <c r="L84" s="875"/>
      <c r="M84" s="875"/>
      <c r="N84" s="876" t="s">
        <v>130</v>
      </c>
      <c r="O84" s="876"/>
      <c r="P84" s="876"/>
      <c r="Q84" s="876"/>
      <c r="R84" s="424" t="str">
        <f>+R71</f>
        <v xml:space="preserve"> Corrections Tracking - Check out rooms</v>
      </c>
      <c r="S84" s="424"/>
      <c r="T84" s="424"/>
      <c r="U84" s="424"/>
      <c r="V84" s="424"/>
      <c r="W84" s="424"/>
      <c r="X84" s="424"/>
      <c r="Y84" s="424"/>
      <c r="Z84" s="424"/>
      <c r="AA84" s="424"/>
      <c r="AB84" s="424"/>
      <c r="AC84" s="424"/>
      <c r="AD84" s="461" t="s">
        <v>132</v>
      </c>
      <c r="AE84" s="426"/>
      <c r="AF84" s="426"/>
      <c r="AG84" s="426"/>
      <c r="AH84" s="426"/>
      <c r="AI84" s="427"/>
    </row>
    <row r="85" spans="1:35" ht="59.25" customHeight="1" x14ac:dyDescent="0.25">
      <c r="A85" s="378" t="s">
        <v>133</v>
      </c>
      <c r="C85" s="435" t="s">
        <v>134</v>
      </c>
      <c r="D85" s="435" t="s">
        <v>135</v>
      </c>
      <c r="E85" s="435" t="s">
        <v>134</v>
      </c>
      <c r="F85" s="435" t="s">
        <v>135</v>
      </c>
      <c r="G85" s="1" t="s">
        <v>136</v>
      </c>
      <c r="H85" s="1" t="s">
        <v>108</v>
      </c>
      <c r="I85" s="436"/>
      <c r="J85" s="437" t="str">
        <f>+Setup_and_Criteria!$B$13</f>
        <v>Checkouts</v>
      </c>
      <c r="K85" s="437" t="str">
        <f>+Setup_and_Criteria!$B$14</f>
        <v>Pet Rooms</v>
      </c>
      <c r="L85" s="437" t="str">
        <f>+Setup_and_Criteria!$B$15</f>
        <v>2 Rm &amp; Jac Stes</v>
      </c>
      <c r="M85" s="438" t="str">
        <f>+Setup_and_Criteria!$B$16</f>
        <v>Stayovers</v>
      </c>
      <c r="N85" s="269" t="s">
        <v>137</v>
      </c>
      <c r="O85" s="269" t="s">
        <v>138</v>
      </c>
      <c r="P85" s="439" t="s">
        <v>139</v>
      </c>
      <c r="Q85" s="439" t="s">
        <v>140</v>
      </c>
      <c r="R85" s="440" t="str">
        <f>+Corrections!$C$8</f>
        <v>Vanity</v>
      </c>
      <c r="S85" s="440" t="str">
        <f>+Corrections!$I$8</f>
        <v>Toilet</v>
      </c>
      <c r="T85" s="440" t="str">
        <f>+Corrections!$O$8</f>
        <v>Bed/Pillows</v>
      </c>
      <c r="U85" s="440" t="str">
        <f>+Corrections!$U$8</f>
        <v>Floor</v>
      </c>
      <c r="V85" s="440" t="str">
        <f>+Corrections!$AA$8</f>
        <v>Dusting</v>
      </c>
      <c r="W85" s="440" t="str">
        <f>+Corrections!$AG$8</f>
        <v>Fridge/Micro</v>
      </c>
      <c r="X85" s="440" t="str">
        <f>+Corrections!$AM$8</f>
        <v>Tub</v>
      </c>
      <c r="Y85" s="441" t="str">
        <f>+Corrections!$AS$8</f>
        <v>Mirrors/Glass</v>
      </c>
      <c r="Z85" s="440" t="str">
        <f>+Corrections!$AY$8</f>
        <v>Stocking</v>
      </c>
      <c r="AA85" s="440" t="str">
        <f>+Corrections!$BE$8</f>
        <v>Other</v>
      </c>
      <c r="AB85" s="269" t="s">
        <v>141</v>
      </c>
      <c r="AC85" s="269" t="str">
        <f>+$AC$7</f>
        <v>Daily Corr / Inspected Checkout</v>
      </c>
      <c r="AD85" s="889" t="s">
        <v>143</v>
      </c>
      <c r="AE85" s="890"/>
      <c r="AF85" s="890"/>
      <c r="AG85" s="890"/>
      <c r="AH85" s="890"/>
      <c r="AI85" s="891"/>
    </row>
    <row r="86" spans="1:35" x14ac:dyDescent="0.25">
      <c r="A86" s="638"/>
      <c r="C86" s="369"/>
      <c r="D86" s="369"/>
      <c r="E86" s="369"/>
      <c r="F86" s="369"/>
      <c r="G86" s="264">
        <f t="shared" ref="G86:G91" si="48">+(D86-C86)+(F86-E86)</f>
        <v>0</v>
      </c>
      <c r="H86" s="442">
        <f t="shared" ref="H86:H91" si="49">+G86*1440</f>
        <v>0</v>
      </c>
      <c r="J86" s="630"/>
      <c r="K86" s="630"/>
      <c r="L86" s="630"/>
      <c r="M86" s="630"/>
      <c r="N86" s="1">
        <f>IF(C86&gt;0,((J86*Setup_and_Criteria!$F$13)+('M1_1-15th'!K86*Setup_and_Criteria!$F$14)+('M1_1-15th'!L86*Setup_and_Criteria!$F$15)+('M1_1-15th'!M86*Setup_and_Criteria!$F$16)+Setup_and_Criteria!$J$16),0)</f>
        <v>0</v>
      </c>
      <c r="O86" s="442">
        <f>+H86</f>
        <v>0</v>
      </c>
      <c r="P86" s="443">
        <f t="shared" ref="P86:P92" si="50">+N86-O86</f>
        <v>0</v>
      </c>
      <c r="Q86" s="357" t="e">
        <f t="shared" ref="Q86:Q92" si="51">O86/_xlfn.SINGLE(SUM(J86:M86))</f>
        <v>#DIV/0!</v>
      </c>
      <c r="R86" s="630"/>
      <c r="S86" s="630"/>
      <c r="T86" s="630"/>
      <c r="U86" s="630"/>
      <c r="V86" s="630"/>
      <c r="W86" s="630"/>
      <c r="X86" s="630"/>
      <c r="Y86" s="630"/>
      <c r="Z86" s="630"/>
      <c r="AA86" s="630"/>
      <c r="AB86" s="1">
        <f t="shared" ref="AB86:AB92" si="52">SUM(R86:AA86)</f>
        <v>0</v>
      </c>
      <c r="AC86" s="357" t="e">
        <f t="shared" ref="AC86:AC92" si="53">+AB86/(J86+K86+L86)</f>
        <v>#DIV/0!</v>
      </c>
      <c r="AD86" s="864" t="s">
        <v>144</v>
      </c>
      <c r="AE86" s="865"/>
      <c r="AF86" s="865"/>
      <c r="AG86" s="866"/>
      <c r="AH86" s="866"/>
      <c r="AI86" s="867"/>
    </row>
    <row r="87" spans="1:35" x14ac:dyDescent="0.25">
      <c r="A87" s="638"/>
      <c r="C87" s="369"/>
      <c r="D87" s="369"/>
      <c r="E87" s="369"/>
      <c r="F87" s="369"/>
      <c r="G87" s="264">
        <f t="shared" si="48"/>
        <v>0</v>
      </c>
      <c r="H87" s="442">
        <f t="shared" si="49"/>
        <v>0</v>
      </c>
      <c r="J87" s="630"/>
      <c r="K87" s="630"/>
      <c r="L87" s="630"/>
      <c r="M87" s="630"/>
      <c r="N87" s="1">
        <f>IF(C87&gt;0,((J87*Setup_and_Criteria!$F$13)+('M1_1-15th'!K87*Setup_and_Criteria!$F$14)+('M1_1-15th'!L87*Setup_and_Criteria!$F$15)+('M1_1-15th'!M87*Setup_and_Criteria!$F$16)+Setup_and_Criteria!$J$16),0)</f>
        <v>0</v>
      </c>
      <c r="O87" s="442">
        <f t="shared" ref="O87:O92" si="54">+H87</f>
        <v>0</v>
      </c>
      <c r="P87" s="443">
        <f t="shared" si="50"/>
        <v>0</v>
      </c>
      <c r="Q87" s="357" t="e">
        <f t="shared" si="51"/>
        <v>#DIV/0!</v>
      </c>
      <c r="R87" s="630"/>
      <c r="S87" s="630"/>
      <c r="T87" s="630"/>
      <c r="U87" s="630"/>
      <c r="V87" s="630"/>
      <c r="W87" s="630"/>
      <c r="X87" s="630"/>
      <c r="Y87" s="630"/>
      <c r="Z87" s="630"/>
      <c r="AA87" s="630"/>
      <c r="AB87" s="1">
        <f t="shared" si="52"/>
        <v>0</v>
      </c>
      <c r="AC87" s="357" t="e">
        <f t="shared" si="53"/>
        <v>#DIV/0!</v>
      </c>
      <c r="AD87" s="864"/>
      <c r="AE87" s="865"/>
      <c r="AF87" s="865"/>
      <c r="AG87" s="866"/>
      <c r="AH87" s="866"/>
      <c r="AI87" s="867"/>
    </row>
    <row r="88" spans="1:35" x14ac:dyDescent="0.25">
      <c r="A88" s="638"/>
      <c r="C88" s="369"/>
      <c r="D88" s="369"/>
      <c r="E88" s="369"/>
      <c r="F88" s="369"/>
      <c r="G88" s="264">
        <f t="shared" si="48"/>
        <v>0</v>
      </c>
      <c r="H88" s="442">
        <f t="shared" si="49"/>
        <v>0</v>
      </c>
      <c r="J88" s="630"/>
      <c r="K88" s="630"/>
      <c r="L88" s="630"/>
      <c r="M88" s="630"/>
      <c r="N88" s="1">
        <f>IF(C88&gt;0,((J88*Setup_and_Criteria!$F$13)+('M1_1-15th'!K88*Setup_and_Criteria!$F$14)+('M1_1-15th'!L88*Setup_and_Criteria!$F$15)+('M1_1-15th'!M88*Setup_and_Criteria!$F$16)+Setup_and_Criteria!$J$16),0)</f>
        <v>0</v>
      </c>
      <c r="O88" s="442">
        <f t="shared" si="54"/>
        <v>0</v>
      </c>
      <c r="P88" s="443">
        <f t="shared" si="50"/>
        <v>0</v>
      </c>
      <c r="Q88" s="357" t="e">
        <f t="shared" si="51"/>
        <v>#DIV/0!</v>
      </c>
      <c r="R88" s="630"/>
      <c r="S88" s="630"/>
      <c r="T88" s="630"/>
      <c r="U88" s="630"/>
      <c r="V88" s="630"/>
      <c r="W88" s="630"/>
      <c r="X88" s="630"/>
      <c r="Y88" s="630"/>
      <c r="Z88" s="630"/>
      <c r="AA88" s="630"/>
      <c r="AB88" s="1">
        <f t="shared" si="52"/>
        <v>0</v>
      </c>
      <c r="AC88" s="357" t="e">
        <f t="shared" si="53"/>
        <v>#DIV/0!</v>
      </c>
      <c r="AD88" s="864"/>
      <c r="AE88" s="865"/>
      <c r="AF88" s="865"/>
      <c r="AG88" s="866"/>
      <c r="AH88" s="866"/>
      <c r="AI88" s="867"/>
    </row>
    <row r="89" spans="1:35" x14ac:dyDescent="0.25">
      <c r="A89" s="638"/>
      <c r="C89" s="630"/>
      <c r="D89" s="630"/>
      <c r="E89" s="630"/>
      <c r="F89" s="630"/>
      <c r="G89" s="264">
        <f t="shared" si="48"/>
        <v>0</v>
      </c>
      <c r="H89" s="442">
        <f t="shared" si="49"/>
        <v>0</v>
      </c>
      <c r="J89" s="630"/>
      <c r="K89" s="630"/>
      <c r="L89" s="630"/>
      <c r="M89" s="630"/>
      <c r="N89" s="1">
        <f>IF(C89&gt;0,((J89*Setup_and_Criteria!$F$13)+('M1_1-15th'!K89*Setup_and_Criteria!$F$14)+('M1_1-15th'!L89*Setup_and_Criteria!$F$15)+('M1_1-15th'!M89*Setup_and_Criteria!$F$16)+Setup_and_Criteria!$J$16),0)</f>
        <v>0</v>
      </c>
      <c r="O89" s="442">
        <f t="shared" si="54"/>
        <v>0</v>
      </c>
      <c r="P89" s="443">
        <f t="shared" si="50"/>
        <v>0</v>
      </c>
      <c r="Q89" s="357" t="e">
        <f t="shared" si="51"/>
        <v>#DIV/0!</v>
      </c>
      <c r="R89" s="630"/>
      <c r="S89" s="630"/>
      <c r="T89" s="630"/>
      <c r="U89" s="630"/>
      <c r="V89" s="630"/>
      <c r="W89" s="630"/>
      <c r="X89" s="630"/>
      <c r="Y89" s="630"/>
      <c r="Z89" s="630"/>
      <c r="AA89" s="630"/>
      <c r="AB89" s="1">
        <f t="shared" si="52"/>
        <v>0</v>
      </c>
      <c r="AC89" s="357" t="e">
        <f t="shared" si="53"/>
        <v>#DIV/0!</v>
      </c>
      <c r="AD89" s="864"/>
      <c r="AE89" s="865"/>
      <c r="AF89" s="865"/>
      <c r="AG89" s="866"/>
      <c r="AH89" s="866"/>
      <c r="AI89" s="867"/>
    </row>
    <row r="90" spans="1:35" x14ac:dyDescent="0.25">
      <c r="A90" s="638"/>
      <c r="C90" s="630"/>
      <c r="D90" s="630"/>
      <c r="E90" s="630"/>
      <c r="F90" s="630"/>
      <c r="G90" s="264">
        <f t="shared" si="48"/>
        <v>0</v>
      </c>
      <c r="H90" s="442">
        <f t="shared" si="49"/>
        <v>0</v>
      </c>
      <c r="J90" s="630"/>
      <c r="K90" s="630"/>
      <c r="L90" s="630"/>
      <c r="M90" s="630"/>
      <c r="N90" s="1">
        <f>IF(C90&gt;0,((J90*Setup_and_Criteria!$F$13)+('M1_1-15th'!K90*Setup_and_Criteria!$F$14)+('M1_1-15th'!L90*Setup_and_Criteria!$F$15)+('M1_1-15th'!M90*Setup_and_Criteria!$F$16)+Setup_and_Criteria!$J$16),0)</f>
        <v>0</v>
      </c>
      <c r="O90" s="442">
        <f t="shared" si="54"/>
        <v>0</v>
      </c>
      <c r="P90" s="443">
        <f t="shared" si="50"/>
        <v>0</v>
      </c>
      <c r="Q90" s="357" t="e">
        <f t="shared" si="51"/>
        <v>#DIV/0!</v>
      </c>
      <c r="R90" s="630"/>
      <c r="S90" s="630"/>
      <c r="T90" s="630"/>
      <c r="U90" s="630"/>
      <c r="V90" s="630"/>
      <c r="W90" s="630"/>
      <c r="X90" s="630"/>
      <c r="Y90" s="630"/>
      <c r="Z90" s="630"/>
      <c r="AA90" s="630"/>
      <c r="AB90" s="1">
        <f t="shared" si="52"/>
        <v>0</v>
      </c>
      <c r="AC90" s="357" t="e">
        <f t="shared" si="53"/>
        <v>#DIV/0!</v>
      </c>
      <c r="AD90" s="864"/>
      <c r="AE90" s="865"/>
      <c r="AF90" s="865"/>
      <c r="AG90" s="866"/>
      <c r="AH90" s="866"/>
      <c r="AI90" s="867"/>
    </row>
    <row r="91" spans="1:35" ht="15.75" thickBot="1" x14ac:dyDescent="0.3">
      <c r="A91" s="638"/>
      <c r="C91" s="370"/>
      <c r="D91" s="370"/>
      <c r="E91" s="630"/>
      <c r="F91" s="630"/>
      <c r="G91" s="264">
        <f t="shared" si="48"/>
        <v>0</v>
      </c>
      <c r="H91" s="442">
        <f t="shared" si="49"/>
        <v>0</v>
      </c>
      <c r="J91" s="371"/>
      <c r="K91" s="371"/>
      <c r="L91" s="371"/>
      <c r="M91" s="371"/>
      <c r="N91" s="358">
        <f>IF(C91&gt;0,((J91*Setup_and_Criteria!$F$13)+('M1_1-15th'!K91*Setup_and_Criteria!$F$14)+('M1_1-15th'!L91*Setup_and_Criteria!$F$15)+('M1_1-15th'!M91*Setup_and_Criteria!$F$16)+Setup_and_Criteria!$J$16),0)</f>
        <v>0</v>
      </c>
      <c r="O91" s="359">
        <f t="shared" si="54"/>
        <v>0</v>
      </c>
      <c r="P91" s="383">
        <f t="shared" si="50"/>
        <v>0</v>
      </c>
      <c r="Q91" s="360" t="e">
        <f t="shared" si="51"/>
        <v>#DIV/0!</v>
      </c>
      <c r="R91" s="511"/>
      <c r="S91" s="511"/>
      <c r="T91" s="511"/>
      <c r="U91" s="511"/>
      <c r="V91" s="511"/>
      <c r="W91" s="511"/>
      <c r="X91" s="511"/>
      <c r="Y91" s="511"/>
      <c r="Z91" s="511"/>
      <c r="AA91" s="511"/>
      <c r="AB91" s="1">
        <f t="shared" si="52"/>
        <v>0</v>
      </c>
      <c r="AC91" s="357" t="e">
        <f t="shared" si="53"/>
        <v>#DIV/0!</v>
      </c>
      <c r="AD91" s="864"/>
      <c r="AE91" s="865"/>
      <c r="AF91" s="865"/>
      <c r="AG91" s="866"/>
      <c r="AH91" s="866"/>
      <c r="AI91" s="867"/>
    </row>
    <row r="92" spans="1:35" ht="15.75" thickTop="1" x14ac:dyDescent="0.25">
      <c r="A92" s="58"/>
      <c r="H92" s="442">
        <f>SUM(H86:H91)</f>
        <v>0</v>
      </c>
      <c r="J92" s="1">
        <f>SUM(J86:J91)</f>
        <v>0</v>
      </c>
      <c r="K92" s="1">
        <f>SUM(K86:K91)</f>
        <v>0</v>
      </c>
      <c r="L92" s="1">
        <f>SUM(L86:L91)</f>
        <v>0</v>
      </c>
      <c r="M92" s="1">
        <f>SUM(M86:M91)</f>
        <v>0</v>
      </c>
      <c r="N92" s="1">
        <f>SUM(N86:N91)</f>
        <v>0</v>
      </c>
      <c r="O92" s="1">
        <f t="shared" si="54"/>
        <v>0</v>
      </c>
      <c r="P92" s="443">
        <f t="shared" si="50"/>
        <v>0</v>
      </c>
      <c r="Q92" s="357" t="e">
        <f t="shared" si="51"/>
        <v>#DIV/0!</v>
      </c>
      <c r="R92" s="1">
        <f t="shared" ref="R92:AA92" si="55">SUM(R86:R91)</f>
        <v>0</v>
      </c>
      <c r="S92" s="1">
        <f t="shared" si="55"/>
        <v>0</v>
      </c>
      <c r="T92" s="1">
        <f t="shared" si="55"/>
        <v>0</v>
      </c>
      <c r="U92" s="1">
        <f t="shared" si="55"/>
        <v>0</v>
      </c>
      <c r="V92" s="1">
        <f t="shared" si="55"/>
        <v>0</v>
      </c>
      <c r="W92" s="1">
        <f t="shared" si="55"/>
        <v>0</v>
      </c>
      <c r="X92" s="1">
        <f t="shared" si="55"/>
        <v>0</v>
      </c>
      <c r="Y92" s="1">
        <f t="shared" si="55"/>
        <v>0</v>
      </c>
      <c r="Z92" s="1">
        <f t="shared" si="55"/>
        <v>0</v>
      </c>
      <c r="AA92" s="1">
        <f t="shared" si="55"/>
        <v>0</v>
      </c>
      <c r="AB92" s="1">
        <f t="shared" si="52"/>
        <v>0</v>
      </c>
      <c r="AC92" s="357" t="e">
        <f t="shared" si="53"/>
        <v>#DIV/0!</v>
      </c>
      <c r="AD92" s="877"/>
      <c r="AE92" s="878"/>
      <c r="AF92" s="878"/>
      <c r="AG92" s="749"/>
      <c r="AH92" s="749"/>
      <c r="AI92" s="879"/>
    </row>
    <row r="93" spans="1:35" ht="21" customHeight="1" x14ac:dyDescent="0.35">
      <c r="A93" s="58"/>
      <c r="H93" s="442"/>
      <c r="N93" s="888" t="s">
        <v>145</v>
      </c>
      <c r="O93" s="888"/>
      <c r="P93" s="888"/>
      <c r="Q93" s="888"/>
      <c r="R93" s="431" t="s">
        <v>146</v>
      </c>
      <c r="S93" s="431"/>
      <c r="T93" s="431"/>
      <c r="U93" s="431"/>
      <c r="V93" s="431"/>
      <c r="W93" s="431"/>
      <c r="X93" s="431"/>
      <c r="Y93" s="431"/>
      <c r="Z93" s="431"/>
      <c r="AA93" s="431"/>
      <c r="AB93" s="431"/>
      <c r="AC93" s="431"/>
      <c r="AD93" s="880" t="s">
        <v>132</v>
      </c>
      <c r="AE93" s="881"/>
      <c r="AF93" s="881"/>
      <c r="AG93" s="881"/>
      <c r="AH93" s="881"/>
      <c r="AI93" s="882"/>
    </row>
    <row r="94" spans="1:35" ht="31.5" customHeight="1" x14ac:dyDescent="0.35">
      <c r="A94" s="378" t="s">
        <v>147</v>
      </c>
      <c r="C94" s="885" t="s">
        <v>128</v>
      </c>
      <c r="D94" s="885"/>
      <c r="E94" s="885"/>
      <c r="F94" s="885"/>
      <c r="H94" s="442"/>
      <c r="J94" s="444"/>
      <c r="K94" s="445" t="s">
        <v>35</v>
      </c>
      <c r="L94" s="445" t="s">
        <v>148</v>
      </c>
      <c r="N94" s="446" t="s">
        <v>149</v>
      </c>
      <c r="O94" s="447" t="s">
        <v>150</v>
      </c>
      <c r="P94" s="447" t="s">
        <v>138</v>
      </c>
      <c r="Q94" s="447" t="s">
        <v>151</v>
      </c>
      <c r="R94" s="749" t="s">
        <v>152</v>
      </c>
      <c r="S94" s="749"/>
      <c r="T94" s="883" t="s">
        <v>153</v>
      </c>
      <c r="U94" s="883"/>
      <c r="W94" s="425" t="s">
        <v>154</v>
      </c>
      <c r="X94" s="425"/>
      <c r="Y94" s="425"/>
      <c r="Z94" s="425"/>
      <c r="AA94" s="425"/>
      <c r="AB94" s="425"/>
      <c r="AC94" s="425"/>
      <c r="AD94" s="868"/>
      <c r="AE94" s="869"/>
      <c r="AF94" s="869"/>
      <c r="AG94" s="869"/>
      <c r="AH94" s="869"/>
      <c r="AI94" s="870"/>
    </row>
    <row r="95" spans="1:35" ht="18" customHeight="1" thickBot="1" x14ac:dyDescent="0.3">
      <c r="A95" s="639"/>
      <c r="B95" s="375"/>
      <c r="C95" s="372"/>
      <c r="D95" s="372"/>
      <c r="E95" s="372"/>
      <c r="F95" s="372"/>
      <c r="G95" s="366">
        <f>+(D95-C95)+(F95-E95)</f>
        <v>0</v>
      </c>
      <c r="H95" s="367">
        <f>+G95*1440</f>
        <v>0</v>
      </c>
      <c r="I95" s="859" t="s">
        <v>155</v>
      </c>
      <c r="J95" s="860"/>
      <c r="K95" s="373"/>
      <c r="L95" s="374"/>
      <c r="M95" s="423"/>
      <c r="N95" s="629">
        <f>+J92+L92+K92+K95+L95</f>
        <v>0</v>
      </c>
      <c r="O95" s="368">
        <f>+(Setup_and_Criteria!$K$31+(J92*Setup_and_Criteria!$F$20)+('M1_1-15th'!K92*Setup_and_Criteria!$F$21)+('M1_1-15th'!L92*Setup_and_Criteria!$F$20))+T95</f>
        <v>75</v>
      </c>
      <c r="P95" s="367">
        <f>+H95</f>
        <v>0</v>
      </c>
      <c r="Q95" s="367">
        <f>+O95-P95</f>
        <v>75</v>
      </c>
      <c r="R95" s="861"/>
      <c r="S95" s="861"/>
      <c r="T95" s="862"/>
      <c r="U95" s="863"/>
      <c r="V95" s="265" t="s">
        <v>156</v>
      </c>
      <c r="W95" s="854"/>
      <c r="X95" s="855"/>
      <c r="Y95" s="855"/>
      <c r="Z95" s="855"/>
      <c r="AA95" s="855"/>
      <c r="AB95" s="855"/>
      <c r="AC95" s="855"/>
      <c r="AD95" s="868"/>
      <c r="AE95" s="869"/>
      <c r="AF95" s="869"/>
      <c r="AG95" s="869"/>
      <c r="AH95" s="869"/>
      <c r="AI95" s="870"/>
    </row>
    <row r="96" spans="1:35" ht="15.75" thickBot="1" x14ac:dyDescent="0.3">
      <c r="A96" s="449" t="str">
        <f>+A83</f>
        <v>Password to enter data = "Enter Info"</v>
      </c>
      <c r="B96" s="450"/>
      <c r="C96" s="451"/>
      <c r="D96" s="451"/>
      <c r="E96" s="451"/>
      <c r="F96" s="451"/>
      <c r="G96" s="451"/>
      <c r="H96" s="451"/>
      <c r="I96" s="450"/>
      <c r="J96" s="451"/>
      <c r="K96" s="451"/>
      <c r="L96" s="451"/>
      <c r="M96" s="451"/>
      <c r="N96" s="451"/>
      <c r="O96" s="451"/>
      <c r="P96" s="451"/>
      <c r="Q96" s="450"/>
      <c r="R96" s="451"/>
      <c r="S96" s="451"/>
      <c r="T96" s="451"/>
      <c r="U96" s="451"/>
      <c r="V96" s="451"/>
      <c r="W96" s="451"/>
      <c r="X96" s="451"/>
      <c r="Y96" s="451"/>
      <c r="Z96" s="451"/>
      <c r="AA96" s="451"/>
      <c r="AB96" s="450"/>
      <c r="AC96" s="450"/>
      <c r="AD96" s="871"/>
      <c r="AE96" s="872"/>
      <c r="AF96" s="872"/>
      <c r="AG96" s="872"/>
      <c r="AH96" s="872"/>
      <c r="AI96" s="873"/>
    </row>
    <row r="97" spans="1:35" ht="35.25" customHeight="1" x14ac:dyDescent="0.4">
      <c r="A97" s="434" t="str">
        <f>+A84</f>
        <v>April</v>
      </c>
      <c r="B97" s="624">
        <f>+B84+1</f>
        <v>8</v>
      </c>
      <c r="C97" s="884" t="s">
        <v>128</v>
      </c>
      <c r="D97" s="884"/>
      <c r="E97" s="884"/>
      <c r="F97" s="884"/>
      <c r="G97" s="377"/>
      <c r="H97" s="377"/>
      <c r="I97" s="21"/>
      <c r="J97" s="874" t="s">
        <v>129</v>
      </c>
      <c r="K97" s="875"/>
      <c r="L97" s="875"/>
      <c r="M97" s="875"/>
      <c r="N97" s="876" t="s">
        <v>130</v>
      </c>
      <c r="O97" s="876"/>
      <c r="P97" s="876"/>
      <c r="Q97" s="876"/>
      <c r="R97" s="424" t="str">
        <f>+R84</f>
        <v xml:space="preserve"> Corrections Tracking - Check out rooms</v>
      </c>
      <c r="S97" s="424"/>
      <c r="T97" s="424"/>
      <c r="U97" s="424"/>
      <c r="V97" s="424"/>
      <c r="W97" s="424"/>
      <c r="X97" s="424"/>
      <c r="Y97" s="424"/>
      <c r="Z97" s="424"/>
      <c r="AA97" s="424"/>
      <c r="AB97" s="424"/>
      <c r="AC97" s="424"/>
      <c r="AD97" s="461" t="s">
        <v>132</v>
      </c>
      <c r="AE97" s="426"/>
      <c r="AF97" s="426"/>
      <c r="AG97" s="426"/>
      <c r="AH97" s="426"/>
      <c r="AI97" s="427"/>
    </row>
    <row r="98" spans="1:35" ht="59.25" customHeight="1" x14ac:dyDescent="0.25">
      <c r="A98" s="378" t="s">
        <v>133</v>
      </c>
      <c r="C98" s="435" t="s">
        <v>134</v>
      </c>
      <c r="D98" s="435" t="s">
        <v>135</v>
      </c>
      <c r="E98" s="435" t="s">
        <v>134</v>
      </c>
      <c r="F98" s="435" t="s">
        <v>135</v>
      </c>
      <c r="G98" s="1" t="s">
        <v>136</v>
      </c>
      <c r="H98" s="1" t="s">
        <v>108</v>
      </c>
      <c r="I98" s="436"/>
      <c r="J98" s="437" t="str">
        <f>+Setup_and_Criteria!$B$13</f>
        <v>Checkouts</v>
      </c>
      <c r="K98" s="437" t="str">
        <f>+Setup_and_Criteria!$B$14</f>
        <v>Pet Rooms</v>
      </c>
      <c r="L98" s="437" t="str">
        <f>+Setup_and_Criteria!$B$15</f>
        <v>2 Rm &amp; Jac Stes</v>
      </c>
      <c r="M98" s="438" t="str">
        <f>+Setup_and_Criteria!$B$16</f>
        <v>Stayovers</v>
      </c>
      <c r="N98" s="269" t="s">
        <v>137</v>
      </c>
      <c r="O98" s="269" t="s">
        <v>138</v>
      </c>
      <c r="P98" s="439" t="s">
        <v>139</v>
      </c>
      <c r="Q98" s="439" t="s">
        <v>140</v>
      </c>
      <c r="R98" s="440" t="str">
        <f>+Corrections!$C$8</f>
        <v>Vanity</v>
      </c>
      <c r="S98" s="440" t="str">
        <f>+Corrections!$I$8</f>
        <v>Toilet</v>
      </c>
      <c r="T98" s="440" t="str">
        <f>+Corrections!$O$8</f>
        <v>Bed/Pillows</v>
      </c>
      <c r="U98" s="440" t="str">
        <f>+Corrections!$U$8</f>
        <v>Floor</v>
      </c>
      <c r="V98" s="440" t="str">
        <f>+Corrections!$AA$8</f>
        <v>Dusting</v>
      </c>
      <c r="W98" s="440" t="str">
        <f>+Corrections!$AG$8</f>
        <v>Fridge/Micro</v>
      </c>
      <c r="X98" s="440" t="str">
        <f>+Corrections!$AM$8</f>
        <v>Tub</v>
      </c>
      <c r="Y98" s="441" t="str">
        <f>+Corrections!$AS$8</f>
        <v>Mirrors/Glass</v>
      </c>
      <c r="Z98" s="440" t="str">
        <f>+Corrections!$AY$8</f>
        <v>Stocking</v>
      </c>
      <c r="AA98" s="440" t="str">
        <f>+Corrections!$BE$8</f>
        <v>Other</v>
      </c>
      <c r="AB98" s="269" t="s">
        <v>141</v>
      </c>
      <c r="AC98" s="269" t="str">
        <f>+$AC$7</f>
        <v>Daily Corr / Inspected Checkout</v>
      </c>
      <c r="AD98" s="889" t="s">
        <v>143</v>
      </c>
      <c r="AE98" s="890"/>
      <c r="AF98" s="890"/>
      <c r="AG98" s="890"/>
      <c r="AH98" s="890"/>
      <c r="AI98" s="891"/>
    </row>
    <row r="99" spans="1:35" x14ac:dyDescent="0.25">
      <c r="A99" s="638"/>
      <c r="C99" s="369"/>
      <c r="D99" s="369"/>
      <c r="E99" s="369"/>
      <c r="F99" s="369"/>
      <c r="G99" s="264">
        <f t="shared" ref="G99:G104" si="56">+(D99-C99)+(F99-E99)</f>
        <v>0</v>
      </c>
      <c r="H99" s="442">
        <f t="shared" ref="H99:H104" si="57">+G99*1440</f>
        <v>0</v>
      </c>
      <c r="J99" s="630"/>
      <c r="K99" s="630"/>
      <c r="L99" s="630"/>
      <c r="M99" s="630"/>
      <c r="N99" s="1">
        <f>IF(C99&gt;0,((J99*Setup_and_Criteria!$F$13)+('M1_1-15th'!K99*Setup_and_Criteria!$F$14)+('M1_1-15th'!L99*Setup_and_Criteria!$F$15)+('M1_1-15th'!M99*Setup_and_Criteria!$F$16)+Setup_and_Criteria!$J$16),0)</f>
        <v>0</v>
      </c>
      <c r="O99" s="442">
        <f>+H99</f>
        <v>0</v>
      </c>
      <c r="P99" s="443">
        <f t="shared" ref="P99:P105" si="58">+N99-O99</f>
        <v>0</v>
      </c>
      <c r="Q99" s="357" t="e">
        <f t="shared" ref="Q99:Q105" si="59">O99/_xlfn.SINGLE(SUM(J99:M99))</f>
        <v>#DIV/0!</v>
      </c>
      <c r="R99" s="630"/>
      <c r="S99" s="630"/>
      <c r="T99" s="630"/>
      <c r="U99" s="630"/>
      <c r="V99" s="630"/>
      <c r="W99" s="630"/>
      <c r="X99" s="630"/>
      <c r="Y99" s="630"/>
      <c r="Z99" s="630"/>
      <c r="AA99" s="630"/>
      <c r="AB99" s="1">
        <f t="shared" ref="AB99:AB105" si="60">SUM(R99:AA99)</f>
        <v>0</v>
      </c>
      <c r="AC99" s="357" t="e">
        <f t="shared" ref="AC99:AC105" si="61">+AB99/(J99+K99+L99)</f>
        <v>#DIV/0!</v>
      </c>
      <c r="AD99" s="864" t="s">
        <v>144</v>
      </c>
      <c r="AE99" s="865"/>
      <c r="AF99" s="865"/>
      <c r="AG99" s="866"/>
      <c r="AH99" s="866"/>
      <c r="AI99" s="867"/>
    </row>
    <row r="100" spans="1:35" x14ac:dyDescent="0.25">
      <c r="A100" s="638"/>
      <c r="C100" s="369"/>
      <c r="D100" s="369"/>
      <c r="E100" s="369"/>
      <c r="F100" s="369"/>
      <c r="G100" s="264">
        <f t="shared" si="56"/>
        <v>0</v>
      </c>
      <c r="H100" s="442">
        <f t="shared" si="57"/>
        <v>0</v>
      </c>
      <c r="J100" s="630"/>
      <c r="K100" s="630"/>
      <c r="L100" s="630"/>
      <c r="M100" s="630"/>
      <c r="N100" s="1">
        <f>IF(C100&gt;0,((J100*Setup_and_Criteria!$F$13)+('M1_1-15th'!K100*Setup_and_Criteria!$F$14)+('M1_1-15th'!L100*Setup_and_Criteria!$F$15)+('M1_1-15th'!M100*Setup_and_Criteria!$F$16)+Setup_and_Criteria!$J$16),0)</f>
        <v>0</v>
      </c>
      <c r="O100" s="442">
        <f t="shared" ref="O100:O105" si="62">+H100</f>
        <v>0</v>
      </c>
      <c r="P100" s="443">
        <f t="shared" si="58"/>
        <v>0</v>
      </c>
      <c r="Q100" s="357" t="e">
        <f t="shared" si="59"/>
        <v>#DIV/0!</v>
      </c>
      <c r="R100" s="630"/>
      <c r="S100" s="630"/>
      <c r="T100" s="630"/>
      <c r="U100" s="630"/>
      <c r="V100" s="630"/>
      <c r="W100" s="630"/>
      <c r="X100" s="630"/>
      <c r="Y100" s="630"/>
      <c r="Z100" s="630"/>
      <c r="AA100" s="630"/>
      <c r="AB100" s="1">
        <f t="shared" si="60"/>
        <v>0</v>
      </c>
      <c r="AC100" s="357" t="e">
        <f t="shared" si="61"/>
        <v>#DIV/0!</v>
      </c>
      <c r="AD100" s="864"/>
      <c r="AE100" s="865"/>
      <c r="AF100" s="865"/>
      <c r="AG100" s="866"/>
      <c r="AH100" s="866"/>
      <c r="AI100" s="867"/>
    </row>
    <row r="101" spans="1:35" x14ac:dyDescent="0.25">
      <c r="A101" s="638"/>
      <c r="C101" s="630"/>
      <c r="D101" s="630"/>
      <c r="E101" s="630"/>
      <c r="F101" s="630"/>
      <c r="G101" s="264">
        <f t="shared" si="56"/>
        <v>0</v>
      </c>
      <c r="H101" s="442">
        <f t="shared" si="57"/>
        <v>0</v>
      </c>
      <c r="J101" s="630"/>
      <c r="K101" s="630"/>
      <c r="L101" s="630"/>
      <c r="M101" s="630"/>
      <c r="N101" s="1">
        <f>IF(C101&gt;0,((J101*Setup_and_Criteria!$F$13)+('M1_1-15th'!K101*Setup_and_Criteria!$F$14)+('M1_1-15th'!L101*Setup_and_Criteria!$F$15)+('M1_1-15th'!M101*Setup_and_Criteria!$F$16)+Setup_and_Criteria!$J$16),0)</f>
        <v>0</v>
      </c>
      <c r="O101" s="442">
        <f t="shared" si="62"/>
        <v>0</v>
      </c>
      <c r="P101" s="443">
        <f t="shared" si="58"/>
        <v>0</v>
      </c>
      <c r="Q101" s="357" t="e">
        <f t="shared" si="59"/>
        <v>#DIV/0!</v>
      </c>
      <c r="R101" s="630"/>
      <c r="S101" s="630"/>
      <c r="T101" s="630"/>
      <c r="U101" s="630"/>
      <c r="V101" s="630"/>
      <c r="W101" s="630"/>
      <c r="X101" s="630"/>
      <c r="Y101" s="630"/>
      <c r="Z101" s="630"/>
      <c r="AA101" s="630"/>
      <c r="AB101" s="1">
        <f t="shared" si="60"/>
        <v>0</v>
      </c>
      <c r="AC101" s="357" t="e">
        <f t="shared" si="61"/>
        <v>#DIV/0!</v>
      </c>
      <c r="AD101" s="864"/>
      <c r="AE101" s="865"/>
      <c r="AF101" s="865"/>
      <c r="AG101" s="866"/>
      <c r="AH101" s="866"/>
      <c r="AI101" s="867"/>
    </row>
    <row r="102" spans="1:35" x14ac:dyDescent="0.25">
      <c r="A102" s="638"/>
      <c r="C102" s="630"/>
      <c r="D102" s="630"/>
      <c r="E102" s="630"/>
      <c r="F102" s="630"/>
      <c r="G102" s="264">
        <f t="shared" si="56"/>
        <v>0</v>
      </c>
      <c r="H102" s="442">
        <f t="shared" si="57"/>
        <v>0</v>
      </c>
      <c r="J102" s="630"/>
      <c r="K102" s="630"/>
      <c r="L102" s="630"/>
      <c r="M102" s="630"/>
      <c r="N102" s="1">
        <f>IF(C102&gt;0,((J102*Setup_and_Criteria!$F$13)+('M1_1-15th'!K102*Setup_and_Criteria!$F$14)+('M1_1-15th'!L102*Setup_and_Criteria!$F$15)+('M1_1-15th'!M102*Setup_and_Criteria!$F$16)+Setup_and_Criteria!$J$16),0)</f>
        <v>0</v>
      </c>
      <c r="O102" s="442">
        <f t="shared" si="62"/>
        <v>0</v>
      </c>
      <c r="P102" s="443">
        <f t="shared" si="58"/>
        <v>0</v>
      </c>
      <c r="Q102" s="357" t="e">
        <f t="shared" si="59"/>
        <v>#DIV/0!</v>
      </c>
      <c r="R102" s="630"/>
      <c r="S102" s="630"/>
      <c r="T102" s="630"/>
      <c r="U102" s="630"/>
      <c r="V102" s="630"/>
      <c r="W102" s="630"/>
      <c r="X102" s="630"/>
      <c r="Y102" s="630"/>
      <c r="Z102" s="630"/>
      <c r="AA102" s="630"/>
      <c r="AB102" s="1">
        <f t="shared" si="60"/>
        <v>0</v>
      </c>
      <c r="AC102" s="357" t="e">
        <f t="shared" si="61"/>
        <v>#DIV/0!</v>
      </c>
      <c r="AD102" s="864"/>
      <c r="AE102" s="865"/>
      <c r="AF102" s="865"/>
      <c r="AG102" s="866"/>
      <c r="AH102" s="866"/>
      <c r="AI102" s="867"/>
    </row>
    <row r="103" spans="1:35" x14ac:dyDescent="0.25">
      <c r="A103" s="638"/>
      <c r="C103" s="630"/>
      <c r="D103" s="630"/>
      <c r="E103" s="630"/>
      <c r="F103" s="630"/>
      <c r="G103" s="264">
        <f t="shared" si="56"/>
        <v>0</v>
      </c>
      <c r="H103" s="442">
        <f t="shared" si="57"/>
        <v>0</v>
      </c>
      <c r="J103" s="630"/>
      <c r="K103" s="630"/>
      <c r="L103" s="630"/>
      <c r="M103" s="630"/>
      <c r="N103" s="1">
        <f>IF(C103&gt;0,((J103*Setup_and_Criteria!$F$13)+('M1_1-15th'!K103*Setup_and_Criteria!$F$14)+('M1_1-15th'!L103*Setup_and_Criteria!$F$15)+('M1_1-15th'!M103*Setup_and_Criteria!$F$16)+Setup_and_Criteria!$J$16),0)</f>
        <v>0</v>
      </c>
      <c r="O103" s="442">
        <f t="shared" si="62"/>
        <v>0</v>
      </c>
      <c r="P103" s="443">
        <f t="shared" si="58"/>
        <v>0</v>
      </c>
      <c r="Q103" s="357" t="e">
        <f t="shared" si="59"/>
        <v>#DIV/0!</v>
      </c>
      <c r="R103" s="630"/>
      <c r="S103" s="630"/>
      <c r="T103" s="630"/>
      <c r="U103" s="630"/>
      <c r="V103" s="630"/>
      <c r="W103" s="630"/>
      <c r="X103" s="630"/>
      <c r="Y103" s="630"/>
      <c r="Z103" s="630"/>
      <c r="AA103" s="630"/>
      <c r="AB103" s="1">
        <f t="shared" si="60"/>
        <v>0</v>
      </c>
      <c r="AC103" s="357" t="e">
        <f t="shared" si="61"/>
        <v>#DIV/0!</v>
      </c>
      <c r="AD103" s="864"/>
      <c r="AE103" s="865"/>
      <c r="AF103" s="865"/>
      <c r="AG103" s="866"/>
      <c r="AH103" s="866"/>
      <c r="AI103" s="867"/>
    </row>
    <row r="104" spans="1:35" ht="15.75" thickBot="1" x14ac:dyDescent="0.3">
      <c r="A104" s="638"/>
      <c r="C104" s="370"/>
      <c r="D104" s="370"/>
      <c r="E104" s="630"/>
      <c r="F104" s="630"/>
      <c r="G104" s="264">
        <f t="shared" si="56"/>
        <v>0</v>
      </c>
      <c r="H104" s="442">
        <f t="shared" si="57"/>
        <v>0</v>
      </c>
      <c r="J104" s="371"/>
      <c r="K104" s="371"/>
      <c r="L104" s="371"/>
      <c r="M104" s="371"/>
      <c r="N104" s="358">
        <f>IF(C104&gt;0,((J104*Setup_and_Criteria!$F$13)+('M1_1-15th'!K104*Setup_and_Criteria!$F$14)+('M1_1-15th'!L104*Setup_and_Criteria!$F$15)+('M1_1-15th'!M104*Setup_and_Criteria!$F$16)+Setup_and_Criteria!$J$16),0)</f>
        <v>0</v>
      </c>
      <c r="O104" s="359">
        <f t="shared" si="62"/>
        <v>0</v>
      </c>
      <c r="P104" s="383">
        <f t="shared" si="58"/>
        <v>0</v>
      </c>
      <c r="Q104" s="360" t="e">
        <f t="shared" si="59"/>
        <v>#DIV/0!</v>
      </c>
      <c r="R104" s="511"/>
      <c r="S104" s="511"/>
      <c r="T104" s="511"/>
      <c r="U104" s="511"/>
      <c r="V104" s="511"/>
      <c r="W104" s="511"/>
      <c r="X104" s="511"/>
      <c r="Y104" s="511"/>
      <c r="Z104" s="511"/>
      <c r="AA104" s="511"/>
      <c r="AB104" s="1">
        <f t="shared" si="60"/>
        <v>0</v>
      </c>
      <c r="AC104" s="357" t="e">
        <f t="shared" si="61"/>
        <v>#DIV/0!</v>
      </c>
      <c r="AD104" s="864"/>
      <c r="AE104" s="865"/>
      <c r="AF104" s="865"/>
      <c r="AG104" s="866"/>
      <c r="AH104" s="866"/>
      <c r="AI104" s="867"/>
    </row>
    <row r="105" spans="1:35" ht="15.75" thickTop="1" x14ac:dyDescent="0.25">
      <c r="A105" s="58"/>
      <c r="H105" s="442">
        <f>SUM(H99:H104)</f>
        <v>0</v>
      </c>
      <c r="J105" s="1">
        <f>SUM(J99:J104)</f>
        <v>0</v>
      </c>
      <c r="K105" s="1">
        <f>SUM(K99:K104)</f>
        <v>0</v>
      </c>
      <c r="L105" s="1">
        <f>SUM(L99:L104)</f>
        <v>0</v>
      </c>
      <c r="M105" s="1">
        <f>SUM(M99:M104)</f>
        <v>0</v>
      </c>
      <c r="N105" s="1">
        <f>SUM(N99:N104)</f>
        <v>0</v>
      </c>
      <c r="O105" s="1">
        <f t="shared" si="62"/>
        <v>0</v>
      </c>
      <c r="P105" s="443">
        <f t="shared" si="58"/>
        <v>0</v>
      </c>
      <c r="Q105" s="357" t="e">
        <f t="shared" si="59"/>
        <v>#DIV/0!</v>
      </c>
      <c r="R105" s="1">
        <f t="shared" ref="R105:AA105" si="63">SUM(R99:R104)</f>
        <v>0</v>
      </c>
      <c r="S105" s="1">
        <f t="shared" si="63"/>
        <v>0</v>
      </c>
      <c r="T105" s="1">
        <f t="shared" si="63"/>
        <v>0</v>
      </c>
      <c r="U105" s="1">
        <f t="shared" si="63"/>
        <v>0</v>
      </c>
      <c r="V105" s="1">
        <f t="shared" si="63"/>
        <v>0</v>
      </c>
      <c r="W105" s="1">
        <f t="shared" si="63"/>
        <v>0</v>
      </c>
      <c r="X105" s="1">
        <f t="shared" si="63"/>
        <v>0</v>
      </c>
      <c r="Y105" s="1">
        <f t="shared" si="63"/>
        <v>0</v>
      </c>
      <c r="Z105" s="1">
        <f t="shared" si="63"/>
        <v>0</v>
      </c>
      <c r="AA105" s="1">
        <f t="shared" si="63"/>
        <v>0</v>
      </c>
      <c r="AB105" s="1">
        <f t="shared" si="60"/>
        <v>0</v>
      </c>
      <c r="AC105" s="357" t="e">
        <f t="shared" si="61"/>
        <v>#DIV/0!</v>
      </c>
      <c r="AD105" s="877"/>
      <c r="AE105" s="878"/>
      <c r="AF105" s="878"/>
      <c r="AG105" s="749"/>
      <c r="AH105" s="749"/>
      <c r="AI105" s="879"/>
    </row>
    <row r="106" spans="1:35" ht="21" customHeight="1" x14ac:dyDescent="0.35">
      <c r="A106" s="58"/>
      <c r="H106" s="442"/>
      <c r="N106" s="888" t="s">
        <v>145</v>
      </c>
      <c r="O106" s="888"/>
      <c r="P106" s="888"/>
      <c r="Q106" s="888"/>
      <c r="R106" s="431" t="s">
        <v>146</v>
      </c>
      <c r="S106" s="431"/>
      <c r="T106" s="431"/>
      <c r="U106" s="431"/>
      <c r="V106" s="431"/>
      <c r="W106" s="431"/>
      <c r="X106" s="431"/>
      <c r="Y106" s="431"/>
      <c r="Z106" s="431"/>
      <c r="AA106" s="431"/>
      <c r="AB106" s="431"/>
      <c r="AC106" s="431"/>
      <c r="AD106" s="880" t="s">
        <v>132</v>
      </c>
      <c r="AE106" s="881"/>
      <c r="AF106" s="881"/>
      <c r="AG106" s="881"/>
      <c r="AH106" s="881"/>
      <c r="AI106" s="882"/>
    </row>
    <row r="107" spans="1:35" ht="31.5" customHeight="1" x14ac:dyDescent="0.35">
      <c r="A107" s="378" t="s">
        <v>147</v>
      </c>
      <c r="C107" s="885" t="s">
        <v>128</v>
      </c>
      <c r="D107" s="885"/>
      <c r="E107" s="885"/>
      <c r="F107" s="885"/>
      <c r="H107" s="442"/>
      <c r="J107" s="444"/>
      <c r="K107" s="445" t="s">
        <v>35</v>
      </c>
      <c r="L107" s="445" t="s">
        <v>148</v>
      </c>
      <c r="N107" s="446" t="s">
        <v>149</v>
      </c>
      <c r="O107" s="447" t="s">
        <v>150</v>
      </c>
      <c r="P107" s="447" t="s">
        <v>138</v>
      </c>
      <c r="Q107" s="447" t="s">
        <v>151</v>
      </c>
      <c r="R107" s="749" t="s">
        <v>152</v>
      </c>
      <c r="S107" s="749"/>
      <c r="T107" s="883" t="s">
        <v>153</v>
      </c>
      <c r="U107" s="883"/>
      <c r="W107" s="425" t="s">
        <v>154</v>
      </c>
      <c r="X107" s="425"/>
      <c r="Y107" s="425"/>
      <c r="Z107" s="425"/>
      <c r="AA107" s="425"/>
      <c r="AB107" s="425"/>
      <c r="AC107" s="425"/>
      <c r="AD107" s="868"/>
      <c r="AE107" s="869"/>
      <c r="AF107" s="869"/>
      <c r="AG107" s="869"/>
      <c r="AH107" s="869"/>
      <c r="AI107" s="870"/>
    </row>
    <row r="108" spans="1:35" ht="18" customHeight="1" thickBot="1" x14ac:dyDescent="0.3">
      <c r="A108" s="639"/>
      <c r="B108" s="364"/>
      <c r="C108" s="372"/>
      <c r="D108" s="372"/>
      <c r="E108" s="372"/>
      <c r="F108" s="372"/>
      <c r="G108" s="366">
        <f>+(D108-C108)+(F108-E108)</f>
        <v>0</v>
      </c>
      <c r="H108" s="367">
        <f>+G108*1440</f>
        <v>0</v>
      </c>
      <c r="I108" s="859" t="s">
        <v>155</v>
      </c>
      <c r="J108" s="860"/>
      <c r="K108" s="373"/>
      <c r="L108" s="374"/>
      <c r="M108" s="423"/>
      <c r="N108" s="629">
        <f>+J105+L105+K105+K108+L108</f>
        <v>0</v>
      </c>
      <c r="O108" s="368">
        <f>+Setup_and_Criteria!$K$31+(J105*Setup_and_Criteria!$F$20)+('M1_1-15th'!K105*Setup_and_Criteria!$F$21)+('M1_1-15th'!L105*Setup_and_Criteria!$F$20)+T108+(K108*Setup_and_Criteria!$F$21)+(Setup_and_Criteria!$F$22*'M1_1-15th'!L108)</f>
        <v>75</v>
      </c>
      <c r="P108" s="367">
        <f>+H108</f>
        <v>0</v>
      </c>
      <c r="Q108" s="367">
        <f>+O108-P108</f>
        <v>75</v>
      </c>
      <c r="R108" s="861"/>
      <c r="S108" s="861"/>
      <c r="T108" s="862"/>
      <c r="U108" s="863"/>
      <c r="V108" s="265" t="s">
        <v>156</v>
      </c>
      <c r="W108" s="854"/>
      <c r="X108" s="855"/>
      <c r="Y108" s="855"/>
      <c r="Z108" s="855"/>
      <c r="AA108" s="855"/>
      <c r="AB108" s="855"/>
      <c r="AC108" s="855"/>
      <c r="AD108" s="868"/>
      <c r="AE108" s="869"/>
      <c r="AF108" s="869"/>
      <c r="AG108" s="869"/>
      <c r="AH108" s="869"/>
      <c r="AI108" s="870"/>
    </row>
    <row r="109" spans="1:35" ht="15.75" thickBot="1" x14ac:dyDescent="0.3">
      <c r="A109" s="449" t="str">
        <f>+A96</f>
        <v>Password to enter data = "Enter Info"</v>
      </c>
      <c r="B109" s="450"/>
      <c r="C109" s="451"/>
      <c r="D109" s="451"/>
      <c r="E109" s="451"/>
      <c r="F109" s="451"/>
      <c r="G109" s="451"/>
      <c r="H109" s="451"/>
      <c r="I109" s="450"/>
      <c r="J109" s="451"/>
      <c r="K109" s="451"/>
      <c r="L109" s="451"/>
      <c r="M109" s="451"/>
      <c r="N109" s="451"/>
      <c r="O109" s="451"/>
      <c r="P109" s="451"/>
      <c r="Q109" s="450"/>
      <c r="R109" s="451"/>
      <c r="S109" s="451"/>
      <c r="T109" s="451"/>
      <c r="U109" s="451"/>
      <c r="V109" s="451"/>
      <c r="W109" s="451"/>
      <c r="X109" s="451"/>
      <c r="Y109" s="451"/>
      <c r="Z109" s="451"/>
      <c r="AA109" s="451"/>
      <c r="AB109" s="450"/>
      <c r="AC109" s="450"/>
      <c r="AD109" s="871"/>
      <c r="AE109" s="872"/>
      <c r="AF109" s="872"/>
      <c r="AG109" s="872"/>
      <c r="AH109" s="872"/>
      <c r="AI109" s="873"/>
    </row>
    <row r="110" spans="1:35" ht="35.25" customHeight="1" x14ac:dyDescent="0.4">
      <c r="A110" s="434" t="str">
        <f>+A97</f>
        <v>April</v>
      </c>
      <c r="B110" s="624">
        <f>+B97+1</f>
        <v>9</v>
      </c>
      <c r="C110" s="884" t="s">
        <v>128</v>
      </c>
      <c r="D110" s="884"/>
      <c r="E110" s="884"/>
      <c r="F110" s="884"/>
      <c r="G110" s="377"/>
      <c r="H110" s="377"/>
      <c r="I110" s="21"/>
      <c r="J110" s="874" t="s">
        <v>129</v>
      </c>
      <c r="K110" s="875"/>
      <c r="L110" s="875"/>
      <c r="M110" s="875"/>
      <c r="N110" s="876" t="s">
        <v>130</v>
      </c>
      <c r="O110" s="876"/>
      <c r="P110" s="876"/>
      <c r="Q110" s="876"/>
      <c r="R110" s="424" t="str">
        <f>+R97</f>
        <v xml:space="preserve"> Corrections Tracking - Check out rooms</v>
      </c>
      <c r="S110" s="424"/>
      <c r="T110" s="424"/>
      <c r="U110" s="424"/>
      <c r="V110" s="424"/>
      <c r="W110" s="424"/>
      <c r="X110" s="424"/>
      <c r="Y110" s="424"/>
      <c r="Z110" s="424"/>
      <c r="AA110" s="424"/>
      <c r="AB110" s="424"/>
      <c r="AC110" s="424"/>
      <c r="AD110" s="461" t="s">
        <v>132</v>
      </c>
      <c r="AE110" s="426"/>
      <c r="AF110" s="426"/>
      <c r="AG110" s="426"/>
      <c r="AH110" s="426"/>
      <c r="AI110" s="427"/>
    </row>
    <row r="111" spans="1:35" ht="59.25" customHeight="1" x14ac:dyDescent="0.25">
      <c r="A111" s="378" t="s">
        <v>133</v>
      </c>
      <c r="C111" s="435" t="s">
        <v>134</v>
      </c>
      <c r="D111" s="435" t="s">
        <v>135</v>
      </c>
      <c r="E111" s="435" t="s">
        <v>134</v>
      </c>
      <c r="F111" s="435" t="s">
        <v>135</v>
      </c>
      <c r="G111" s="1" t="s">
        <v>136</v>
      </c>
      <c r="H111" s="1" t="s">
        <v>108</v>
      </c>
      <c r="I111" s="436"/>
      <c r="J111" s="437" t="str">
        <f>+Setup_and_Criteria!$B$13</f>
        <v>Checkouts</v>
      </c>
      <c r="K111" s="437" t="str">
        <f>+Setup_and_Criteria!$B$14</f>
        <v>Pet Rooms</v>
      </c>
      <c r="L111" s="437" t="str">
        <f>+Setup_and_Criteria!$B$15</f>
        <v>2 Rm &amp; Jac Stes</v>
      </c>
      <c r="M111" s="438" t="str">
        <f>+Setup_and_Criteria!$B$16</f>
        <v>Stayovers</v>
      </c>
      <c r="N111" s="269" t="s">
        <v>137</v>
      </c>
      <c r="O111" s="269" t="s">
        <v>138</v>
      </c>
      <c r="P111" s="439" t="s">
        <v>139</v>
      </c>
      <c r="Q111" s="439" t="s">
        <v>140</v>
      </c>
      <c r="R111" s="440" t="str">
        <f>+Corrections!$C$8</f>
        <v>Vanity</v>
      </c>
      <c r="S111" s="440" t="str">
        <f>+Corrections!$I$8</f>
        <v>Toilet</v>
      </c>
      <c r="T111" s="440" t="str">
        <f>+Corrections!$O$8</f>
        <v>Bed/Pillows</v>
      </c>
      <c r="U111" s="440" t="str">
        <f>+Corrections!$U$8</f>
        <v>Floor</v>
      </c>
      <c r="V111" s="440" t="str">
        <f>+Corrections!$AA$8</f>
        <v>Dusting</v>
      </c>
      <c r="W111" s="440" t="str">
        <f>+Corrections!$AG$8</f>
        <v>Fridge/Micro</v>
      </c>
      <c r="X111" s="440" t="str">
        <f>+Corrections!$AM$8</f>
        <v>Tub</v>
      </c>
      <c r="Y111" s="441" t="str">
        <f>+Corrections!$AS$8</f>
        <v>Mirrors/Glass</v>
      </c>
      <c r="Z111" s="440" t="str">
        <f>+Corrections!$AY$8</f>
        <v>Stocking</v>
      </c>
      <c r="AA111" s="440" t="str">
        <f>+Corrections!$BE$8</f>
        <v>Other</v>
      </c>
      <c r="AB111" s="269" t="s">
        <v>141</v>
      </c>
      <c r="AC111" s="269" t="str">
        <f>+$AC$7</f>
        <v>Daily Corr / Inspected Checkout</v>
      </c>
      <c r="AD111" s="889" t="s">
        <v>143</v>
      </c>
      <c r="AE111" s="890"/>
      <c r="AF111" s="890"/>
      <c r="AG111" s="890"/>
      <c r="AH111" s="890"/>
      <c r="AI111" s="891"/>
    </row>
    <row r="112" spans="1:35" x14ac:dyDescent="0.25">
      <c r="A112" s="638"/>
      <c r="C112" s="369"/>
      <c r="D112" s="369"/>
      <c r="E112" s="369"/>
      <c r="F112" s="369"/>
      <c r="G112" s="264">
        <f t="shared" ref="G112:G117" si="64">+(D112-C112)+(F112-E112)</f>
        <v>0</v>
      </c>
      <c r="H112" s="442">
        <f t="shared" ref="H112:H117" si="65">+G112*1440</f>
        <v>0</v>
      </c>
      <c r="J112" s="630"/>
      <c r="K112" s="630"/>
      <c r="L112" s="630"/>
      <c r="M112" s="630"/>
      <c r="N112" s="1">
        <f>IF(C112&gt;0,((J112*Setup_and_Criteria!$F$13)+('M1_1-15th'!K112*Setup_and_Criteria!$F$14)+('M1_1-15th'!L112*Setup_and_Criteria!$F$15)+('M1_1-15th'!M112*Setup_and_Criteria!$F$16)+Setup_and_Criteria!$J$16),0)</f>
        <v>0</v>
      </c>
      <c r="O112" s="442">
        <f>+H112</f>
        <v>0</v>
      </c>
      <c r="P112" s="443">
        <f t="shared" ref="P112:P118" si="66">+N112-O112</f>
        <v>0</v>
      </c>
      <c r="Q112" s="357" t="e">
        <f t="shared" ref="Q112:Q118" si="67">O112/_xlfn.SINGLE(SUM(J112:M112))</f>
        <v>#DIV/0!</v>
      </c>
      <c r="R112" s="630"/>
      <c r="S112" s="630"/>
      <c r="T112" s="630"/>
      <c r="U112" s="630"/>
      <c r="V112" s="630"/>
      <c r="W112" s="630"/>
      <c r="X112" s="630"/>
      <c r="Y112" s="630"/>
      <c r="Z112" s="630"/>
      <c r="AA112" s="630"/>
      <c r="AB112" s="1">
        <f t="shared" ref="AB112:AB118" si="68">SUM(R112:AA112)</f>
        <v>0</v>
      </c>
      <c r="AC112" s="357" t="e">
        <f t="shared" ref="AC112:AC118" si="69">+AB112/(J112+K112+L112)</f>
        <v>#DIV/0!</v>
      </c>
      <c r="AD112" s="864" t="s">
        <v>144</v>
      </c>
      <c r="AE112" s="865"/>
      <c r="AF112" s="865"/>
      <c r="AG112" s="866"/>
      <c r="AH112" s="866"/>
      <c r="AI112" s="867"/>
    </row>
    <row r="113" spans="1:35" x14ac:dyDescent="0.25">
      <c r="A113" s="638"/>
      <c r="C113" s="369"/>
      <c r="D113" s="369"/>
      <c r="E113" s="369"/>
      <c r="F113" s="369"/>
      <c r="G113" s="264">
        <f t="shared" si="64"/>
        <v>0</v>
      </c>
      <c r="H113" s="442">
        <f t="shared" si="65"/>
        <v>0</v>
      </c>
      <c r="J113" s="630"/>
      <c r="K113" s="630"/>
      <c r="L113" s="630"/>
      <c r="M113" s="630"/>
      <c r="N113" s="1">
        <f>IF(C113&gt;0,((J113*Setup_and_Criteria!$F$13)+('M1_1-15th'!K113*Setup_and_Criteria!$F$14)+('M1_1-15th'!L113*Setup_and_Criteria!$F$15)+('M1_1-15th'!M113*Setup_and_Criteria!$F$16)+Setup_and_Criteria!$J$16),0)</f>
        <v>0</v>
      </c>
      <c r="O113" s="442">
        <f t="shared" ref="O113:O118" si="70">+H113</f>
        <v>0</v>
      </c>
      <c r="P113" s="443">
        <f t="shared" si="66"/>
        <v>0</v>
      </c>
      <c r="Q113" s="357" t="e">
        <f t="shared" si="67"/>
        <v>#DIV/0!</v>
      </c>
      <c r="R113" s="630"/>
      <c r="S113" s="630"/>
      <c r="T113" s="630"/>
      <c r="U113" s="630"/>
      <c r="V113" s="630"/>
      <c r="W113" s="630"/>
      <c r="X113" s="630"/>
      <c r="Y113" s="630"/>
      <c r="Z113" s="630"/>
      <c r="AA113" s="630"/>
      <c r="AB113" s="1">
        <f t="shared" si="68"/>
        <v>0</v>
      </c>
      <c r="AC113" s="357" t="e">
        <f t="shared" si="69"/>
        <v>#DIV/0!</v>
      </c>
      <c r="AD113" s="864"/>
      <c r="AE113" s="865"/>
      <c r="AF113" s="865"/>
      <c r="AG113" s="866"/>
      <c r="AH113" s="866"/>
      <c r="AI113" s="867"/>
    </row>
    <row r="114" spans="1:35" x14ac:dyDescent="0.25">
      <c r="A114" s="638"/>
      <c r="C114" s="369"/>
      <c r="D114" s="369"/>
      <c r="E114" s="369"/>
      <c r="F114" s="369"/>
      <c r="G114" s="264">
        <f t="shared" si="64"/>
        <v>0</v>
      </c>
      <c r="H114" s="442">
        <f t="shared" si="65"/>
        <v>0</v>
      </c>
      <c r="J114" s="630"/>
      <c r="K114" s="630"/>
      <c r="L114" s="630"/>
      <c r="M114" s="630"/>
      <c r="N114" s="1">
        <f>IF(C114&gt;0,((J114*Setup_and_Criteria!$F$13)+('M1_1-15th'!K114*Setup_and_Criteria!$F$14)+('M1_1-15th'!L114*Setup_and_Criteria!$F$15)+('M1_1-15th'!M114*Setup_and_Criteria!$F$16)+Setup_and_Criteria!$J$16),0)</f>
        <v>0</v>
      </c>
      <c r="O114" s="442">
        <f t="shared" si="70"/>
        <v>0</v>
      </c>
      <c r="P114" s="443">
        <f t="shared" si="66"/>
        <v>0</v>
      </c>
      <c r="Q114" s="357" t="e">
        <f t="shared" si="67"/>
        <v>#DIV/0!</v>
      </c>
      <c r="R114" s="630"/>
      <c r="S114" s="630"/>
      <c r="T114" s="630"/>
      <c r="U114" s="630"/>
      <c r="V114" s="630"/>
      <c r="W114" s="630"/>
      <c r="X114" s="630"/>
      <c r="Y114" s="630"/>
      <c r="Z114" s="630"/>
      <c r="AA114" s="630"/>
      <c r="AB114" s="1">
        <f t="shared" si="68"/>
        <v>0</v>
      </c>
      <c r="AC114" s="357" t="e">
        <f t="shared" si="69"/>
        <v>#DIV/0!</v>
      </c>
      <c r="AD114" s="864"/>
      <c r="AE114" s="865"/>
      <c r="AF114" s="865"/>
      <c r="AG114" s="866"/>
      <c r="AH114" s="866"/>
      <c r="AI114" s="867"/>
    </row>
    <row r="115" spans="1:35" x14ac:dyDescent="0.25">
      <c r="A115" s="638"/>
      <c r="C115" s="630"/>
      <c r="D115" s="630"/>
      <c r="E115" s="630"/>
      <c r="F115" s="630"/>
      <c r="G115" s="264">
        <f t="shared" si="64"/>
        <v>0</v>
      </c>
      <c r="H115" s="442">
        <f t="shared" si="65"/>
        <v>0</v>
      </c>
      <c r="J115" s="630"/>
      <c r="K115" s="630"/>
      <c r="L115" s="630"/>
      <c r="M115" s="630"/>
      <c r="N115" s="1">
        <f>IF(C115&gt;0,((J115*Setup_and_Criteria!$F$13)+('M1_1-15th'!K115*Setup_and_Criteria!$F$14)+('M1_1-15th'!L115*Setup_and_Criteria!$F$15)+('M1_1-15th'!M115*Setup_and_Criteria!$F$16)+Setup_and_Criteria!$J$16),0)</f>
        <v>0</v>
      </c>
      <c r="O115" s="442">
        <f t="shared" si="70"/>
        <v>0</v>
      </c>
      <c r="P115" s="443">
        <f t="shared" si="66"/>
        <v>0</v>
      </c>
      <c r="Q115" s="357" t="e">
        <f t="shared" si="67"/>
        <v>#DIV/0!</v>
      </c>
      <c r="R115" s="630"/>
      <c r="S115" s="630"/>
      <c r="T115" s="630"/>
      <c r="U115" s="630"/>
      <c r="V115" s="630"/>
      <c r="W115" s="630"/>
      <c r="X115" s="630"/>
      <c r="Y115" s="630"/>
      <c r="Z115" s="630"/>
      <c r="AA115" s="630"/>
      <c r="AB115" s="1">
        <f t="shared" si="68"/>
        <v>0</v>
      </c>
      <c r="AC115" s="357" t="e">
        <f t="shared" si="69"/>
        <v>#DIV/0!</v>
      </c>
      <c r="AD115" s="864"/>
      <c r="AE115" s="865"/>
      <c r="AF115" s="865"/>
      <c r="AG115" s="866"/>
      <c r="AH115" s="866"/>
      <c r="AI115" s="867"/>
    </row>
    <row r="116" spans="1:35" x14ac:dyDescent="0.25">
      <c r="A116" s="638"/>
      <c r="C116" s="630"/>
      <c r="D116" s="630"/>
      <c r="E116" s="630"/>
      <c r="F116" s="630"/>
      <c r="G116" s="264">
        <f t="shared" si="64"/>
        <v>0</v>
      </c>
      <c r="H116" s="442">
        <f t="shared" si="65"/>
        <v>0</v>
      </c>
      <c r="J116" s="630"/>
      <c r="K116" s="630"/>
      <c r="L116" s="630"/>
      <c r="M116" s="630"/>
      <c r="N116" s="1">
        <f>IF(C116&gt;0,((J116*Setup_and_Criteria!$F$13)+('M1_1-15th'!K116*Setup_and_Criteria!$F$14)+('M1_1-15th'!L116*Setup_and_Criteria!$F$15)+('M1_1-15th'!M116*Setup_and_Criteria!$F$16)+Setup_and_Criteria!$J$16),0)</f>
        <v>0</v>
      </c>
      <c r="O116" s="442">
        <f t="shared" si="70"/>
        <v>0</v>
      </c>
      <c r="P116" s="443">
        <f t="shared" si="66"/>
        <v>0</v>
      </c>
      <c r="Q116" s="357" t="e">
        <f t="shared" si="67"/>
        <v>#DIV/0!</v>
      </c>
      <c r="R116" s="630"/>
      <c r="S116" s="630"/>
      <c r="T116" s="630"/>
      <c r="U116" s="630"/>
      <c r="V116" s="630"/>
      <c r="W116" s="630"/>
      <c r="X116" s="630"/>
      <c r="Y116" s="630"/>
      <c r="Z116" s="630"/>
      <c r="AA116" s="630"/>
      <c r="AB116" s="1">
        <f t="shared" si="68"/>
        <v>0</v>
      </c>
      <c r="AC116" s="357" t="e">
        <f t="shared" si="69"/>
        <v>#DIV/0!</v>
      </c>
      <c r="AD116" s="864"/>
      <c r="AE116" s="865"/>
      <c r="AF116" s="865"/>
      <c r="AG116" s="866"/>
      <c r="AH116" s="866"/>
      <c r="AI116" s="867"/>
    </row>
    <row r="117" spans="1:35" ht="15.75" thickBot="1" x14ac:dyDescent="0.3">
      <c r="A117" s="638"/>
      <c r="C117" s="370"/>
      <c r="D117" s="370"/>
      <c r="E117" s="630"/>
      <c r="F117" s="630"/>
      <c r="G117" s="264">
        <f t="shared" si="64"/>
        <v>0</v>
      </c>
      <c r="H117" s="442">
        <f t="shared" si="65"/>
        <v>0</v>
      </c>
      <c r="J117" s="371"/>
      <c r="K117" s="371"/>
      <c r="L117" s="371"/>
      <c r="M117" s="371"/>
      <c r="N117" s="358">
        <f>IF(C117&gt;0,((J117*Setup_and_Criteria!$F$13)+('M1_1-15th'!K117*Setup_and_Criteria!$F$14)+('M1_1-15th'!L117*Setup_and_Criteria!$F$15)+('M1_1-15th'!M117*Setup_and_Criteria!$F$16)+Setup_and_Criteria!$J$16),0)</f>
        <v>0</v>
      </c>
      <c r="O117" s="359">
        <f t="shared" si="70"/>
        <v>0</v>
      </c>
      <c r="P117" s="383">
        <f t="shared" si="66"/>
        <v>0</v>
      </c>
      <c r="Q117" s="360" t="e">
        <f t="shared" si="67"/>
        <v>#DIV/0!</v>
      </c>
      <c r="R117" s="511"/>
      <c r="S117" s="511"/>
      <c r="T117" s="511"/>
      <c r="U117" s="511"/>
      <c r="V117" s="511"/>
      <c r="W117" s="511"/>
      <c r="X117" s="511"/>
      <c r="Y117" s="511"/>
      <c r="Z117" s="511"/>
      <c r="AA117" s="511"/>
      <c r="AB117" s="1">
        <f t="shared" si="68"/>
        <v>0</v>
      </c>
      <c r="AC117" s="357" t="e">
        <f t="shared" si="69"/>
        <v>#DIV/0!</v>
      </c>
      <c r="AD117" s="864"/>
      <c r="AE117" s="865"/>
      <c r="AF117" s="865"/>
      <c r="AG117" s="866"/>
      <c r="AH117" s="866"/>
      <c r="AI117" s="867"/>
    </row>
    <row r="118" spans="1:35" ht="15.75" thickTop="1" x14ac:dyDescent="0.25">
      <c r="A118" s="58"/>
      <c r="H118" s="442">
        <f>SUM(H112:H117)</f>
        <v>0</v>
      </c>
      <c r="J118" s="1">
        <f>SUM(J112:J117)</f>
        <v>0</v>
      </c>
      <c r="K118" s="1">
        <f>SUM(K112:K117)</f>
        <v>0</v>
      </c>
      <c r="L118" s="1">
        <f>SUM(L112:L117)</f>
        <v>0</v>
      </c>
      <c r="M118" s="1">
        <f>SUM(M112:M117)</f>
        <v>0</v>
      </c>
      <c r="N118" s="1">
        <f>SUM(N112:N117)</f>
        <v>0</v>
      </c>
      <c r="O118" s="1">
        <f t="shared" si="70"/>
        <v>0</v>
      </c>
      <c r="P118" s="443">
        <f t="shared" si="66"/>
        <v>0</v>
      </c>
      <c r="Q118" s="357" t="e">
        <f t="shared" si="67"/>
        <v>#DIV/0!</v>
      </c>
      <c r="R118" s="1">
        <f t="shared" ref="R118:AA118" si="71">SUM(R112:R117)</f>
        <v>0</v>
      </c>
      <c r="S118" s="1">
        <f t="shared" si="71"/>
        <v>0</v>
      </c>
      <c r="T118" s="1">
        <f t="shared" si="71"/>
        <v>0</v>
      </c>
      <c r="U118" s="1">
        <f t="shared" si="71"/>
        <v>0</v>
      </c>
      <c r="V118" s="1">
        <f t="shared" si="71"/>
        <v>0</v>
      </c>
      <c r="W118" s="1">
        <f t="shared" si="71"/>
        <v>0</v>
      </c>
      <c r="X118" s="1">
        <f t="shared" si="71"/>
        <v>0</v>
      </c>
      <c r="Y118" s="1">
        <f t="shared" si="71"/>
        <v>0</v>
      </c>
      <c r="Z118" s="1">
        <f t="shared" si="71"/>
        <v>0</v>
      </c>
      <c r="AA118" s="1">
        <f t="shared" si="71"/>
        <v>0</v>
      </c>
      <c r="AB118" s="1">
        <f t="shared" si="68"/>
        <v>0</v>
      </c>
      <c r="AC118" s="357" t="e">
        <f t="shared" si="69"/>
        <v>#DIV/0!</v>
      </c>
      <c r="AD118" s="877"/>
      <c r="AE118" s="878"/>
      <c r="AF118" s="878"/>
      <c r="AG118" s="749"/>
      <c r="AH118" s="749"/>
      <c r="AI118" s="879"/>
    </row>
    <row r="119" spans="1:35" ht="21" customHeight="1" x14ac:dyDescent="0.35">
      <c r="A119" s="58"/>
      <c r="H119" s="442"/>
      <c r="N119" s="888" t="s">
        <v>145</v>
      </c>
      <c r="O119" s="888"/>
      <c r="P119" s="888"/>
      <c r="Q119" s="888"/>
      <c r="R119" s="431" t="s">
        <v>146</v>
      </c>
      <c r="S119" s="431"/>
      <c r="T119" s="431"/>
      <c r="U119" s="431"/>
      <c r="V119" s="431"/>
      <c r="W119" s="431"/>
      <c r="X119" s="431"/>
      <c r="Y119" s="431"/>
      <c r="Z119" s="431"/>
      <c r="AA119" s="431"/>
      <c r="AB119" s="431"/>
      <c r="AC119" s="431"/>
      <c r="AD119" s="880" t="s">
        <v>132</v>
      </c>
      <c r="AE119" s="881"/>
      <c r="AF119" s="881"/>
      <c r="AG119" s="881"/>
      <c r="AH119" s="881"/>
      <c r="AI119" s="882"/>
    </row>
    <row r="120" spans="1:35" ht="31.5" customHeight="1" x14ac:dyDescent="0.35">
      <c r="A120" s="378" t="s">
        <v>147</v>
      </c>
      <c r="C120" s="885" t="s">
        <v>128</v>
      </c>
      <c r="D120" s="885"/>
      <c r="E120" s="885"/>
      <c r="F120" s="885"/>
      <c r="H120" s="442"/>
      <c r="J120" s="444"/>
      <c r="K120" s="445" t="s">
        <v>35</v>
      </c>
      <c r="L120" s="445" t="s">
        <v>148</v>
      </c>
      <c r="N120" s="446" t="s">
        <v>149</v>
      </c>
      <c r="O120" s="447" t="s">
        <v>150</v>
      </c>
      <c r="P120" s="447" t="s">
        <v>138</v>
      </c>
      <c r="Q120" s="447" t="s">
        <v>151</v>
      </c>
      <c r="R120" s="749" t="s">
        <v>152</v>
      </c>
      <c r="S120" s="749"/>
      <c r="T120" s="883" t="s">
        <v>153</v>
      </c>
      <c r="U120" s="883"/>
      <c r="W120" s="425" t="s">
        <v>154</v>
      </c>
      <c r="X120" s="425"/>
      <c r="Y120" s="425"/>
      <c r="Z120" s="425"/>
      <c r="AA120" s="425"/>
      <c r="AB120" s="425"/>
      <c r="AC120" s="425"/>
      <c r="AD120" s="868"/>
      <c r="AE120" s="869"/>
      <c r="AF120" s="869"/>
      <c r="AG120" s="869"/>
      <c r="AH120" s="869"/>
      <c r="AI120" s="870"/>
    </row>
    <row r="121" spans="1:35" ht="18" customHeight="1" thickBot="1" x14ac:dyDescent="0.3">
      <c r="A121" s="639"/>
      <c r="B121" s="375"/>
      <c r="C121" s="372"/>
      <c r="D121" s="372"/>
      <c r="E121" s="372"/>
      <c r="F121" s="372"/>
      <c r="G121" s="366">
        <f>+(D121-C121)+(F121-E121)</f>
        <v>0</v>
      </c>
      <c r="H121" s="367">
        <f>+G121*1440</f>
        <v>0</v>
      </c>
      <c r="I121" s="859" t="s">
        <v>155</v>
      </c>
      <c r="J121" s="860"/>
      <c r="K121" s="373"/>
      <c r="L121" s="374"/>
      <c r="M121" s="423"/>
      <c r="N121" s="629">
        <f>+J118+L118+K118+K121+L121</f>
        <v>0</v>
      </c>
      <c r="O121" s="368">
        <f>+(Setup_and_Criteria!$K$31+(J118*Setup_and_Criteria!$F$20)+('M1_1-15th'!K118*Setup_and_Criteria!$F$21)+('M1_1-15th'!L118*Setup_and_Criteria!$F$20))+T121+(K121*Setup_and_Criteria!$F$21)+(Setup_and_Criteria!$F$22*'M1_1-15th'!L121)</f>
        <v>75</v>
      </c>
      <c r="P121" s="367">
        <f>+H121</f>
        <v>0</v>
      </c>
      <c r="Q121" s="367">
        <f>+O121-P121</f>
        <v>75</v>
      </c>
      <c r="R121" s="861"/>
      <c r="S121" s="861"/>
      <c r="T121" s="862"/>
      <c r="U121" s="863"/>
      <c r="V121" s="265" t="s">
        <v>156</v>
      </c>
      <c r="W121" s="854"/>
      <c r="X121" s="855"/>
      <c r="Y121" s="855"/>
      <c r="Z121" s="855"/>
      <c r="AA121" s="855"/>
      <c r="AB121" s="855"/>
      <c r="AC121" s="855"/>
      <c r="AD121" s="868"/>
      <c r="AE121" s="869"/>
      <c r="AF121" s="869"/>
      <c r="AG121" s="869"/>
      <c r="AH121" s="869"/>
      <c r="AI121" s="870"/>
    </row>
    <row r="122" spans="1:35" ht="15.75" thickBot="1" x14ac:dyDescent="0.3">
      <c r="A122" s="449" t="str">
        <f>+A109</f>
        <v>Password to enter data = "Enter Info"</v>
      </c>
      <c r="B122" s="450"/>
      <c r="C122" s="451"/>
      <c r="D122" s="451"/>
      <c r="E122" s="451"/>
      <c r="F122" s="451"/>
      <c r="G122" s="451"/>
      <c r="H122" s="451"/>
      <c r="I122" s="450"/>
      <c r="J122" s="451"/>
      <c r="K122" s="451"/>
      <c r="L122" s="451"/>
      <c r="M122" s="451"/>
      <c r="N122" s="451"/>
      <c r="O122" s="451"/>
      <c r="P122" s="451"/>
      <c r="Q122" s="450"/>
      <c r="R122" s="451"/>
      <c r="S122" s="451"/>
      <c r="T122" s="451"/>
      <c r="U122" s="451"/>
      <c r="V122" s="451"/>
      <c r="W122" s="451"/>
      <c r="X122" s="451"/>
      <c r="Y122" s="451"/>
      <c r="Z122" s="451"/>
      <c r="AA122" s="451"/>
      <c r="AB122" s="450"/>
      <c r="AC122" s="450"/>
      <c r="AD122" s="871"/>
      <c r="AE122" s="872"/>
      <c r="AF122" s="872"/>
      <c r="AG122" s="872"/>
      <c r="AH122" s="872"/>
      <c r="AI122" s="873"/>
    </row>
    <row r="123" spans="1:35" ht="35.25" customHeight="1" x14ac:dyDescent="0.4">
      <c r="A123" s="434" t="str">
        <f>+A110</f>
        <v>April</v>
      </c>
      <c r="B123" s="624">
        <f>+B110+1</f>
        <v>10</v>
      </c>
      <c r="C123" s="884" t="s">
        <v>128</v>
      </c>
      <c r="D123" s="884"/>
      <c r="E123" s="884"/>
      <c r="F123" s="884"/>
      <c r="G123" s="377"/>
      <c r="H123" s="377"/>
      <c r="I123" s="21"/>
      <c r="J123" s="874" t="s">
        <v>129</v>
      </c>
      <c r="K123" s="875"/>
      <c r="L123" s="875"/>
      <c r="M123" s="875"/>
      <c r="N123" s="876" t="s">
        <v>130</v>
      </c>
      <c r="O123" s="876"/>
      <c r="P123" s="876"/>
      <c r="Q123" s="876"/>
      <c r="R123" s="424" t="str">
        <f>+R110</f>
        <v xml:space="preserve"> Corrections Tracking - Check out rooms</v>
      </c>
      <c r="S123" s="424"/>
      <c r="T123" s="424"/>
      <c r="U123" s="424"/>
      <c r="V123" s="424"/>
      <c r="W123" s="424"/>
      <c r="X123" s="424"/>
      <c r="Y123" s="424"/>
      <c r="Z123" s="424"/>
      <c r="AA123" s="424"/>
      <c r="AB123" s="424"/>
      <c r="AC123" s="424"/>
      <c r="AD123" s="461" t="s">
        <v>132</v>
      </c>
      <c r="AE123" s="426"/>
      <c r="AF123" s="426"/>
      <c r="AG123" s="426"/>
      <c r="AH123" s="426"/>
      <c r="AI123" s="427"/>
    </row>
    <row r="124" spans="1:35" ht="59.25" customHeight="1" x14ac:dyDescent="0.25">
      <c r="A124" s="378" t="s">
        <v>133</v>
      </c>
      <c r="C124" s="435" t="s">
        <v>134</v>
      </c>
      <c r="D124" s="435" t="s">
        <v>135</v>
      </c>
      <c r="E124" s="435" t="s">
        <v>134</v>
      </c>
      <c r="F124" s="435" t="s">
        <v>135</v>
      </c>
      <c r="G124" s="1" t="s">
        <v>136</v>
      </c>
      <c r="H124" s="1" t="s">
        <v>108</v>
      </c>
      <c r="I124" s="436"/>
      <c r="J124" s="437" t="str">
        <f>+Setup_and_Criteria!$B$13</f>
        <v>Checkouts</v>
      </c>
      <c r="K124" s="437" t="str">
        <f>+Setup_and_Criteria!$B$14</f>
        <v>Pet Rooms</v>
      </c>
      <c r="L124" s="437" t="str">
        <f>+Setup_and_Criteria!$B$15</f>
        <v>2 Rm &amp; Jac Stes</v>
      </c>
      <c r="M124" s="438" t="str">
        <f>+Setup_and_Criteria!$B$16</f>
        <v>Stayovers</v>
      </c>
      <c r="N124" s="269" t="s">
        <v>137</v>
      </c>
      <c r="O124" s="269" t="s">
        <v>138</v>
      </c>
      <c r="P124" s="439" t="s">
        <v>139</v>
      </c>
      <c r="Q124" s="439" t="s">
        <v>140</v>
      </c>
      <c r="R124" s="440" t="str">
        <f>+Corrections!$C$8</f>
        <v>Vanity</v>
      </c>
      <c r="S124" s="440" t="str">
        <f>+Corrections!$I$8</f>
        <v>Toilet</v>
      </c>
      <c r="T124" s="440" t="str">
        <f>+Corrections!$O$8</f>
        <v>Bed/Pillows</v>
      </c>
      <c r="U124" s="440" t="str">
        <f>+Corrections!$U$8</f>
        <v>Floor</v>
      </c>
      <c r="V124" s="440" t="str">
        <f>+Corrections!$AA$8</f>
        <v>Dusting</v>
      </c>
      <c r="W124" s="440" t="str">
        <f>+Corrections!$AG$8</f>
        <v>Fridge/Micro</v>
      </c>
      <c r="X124" s="440" t="str">
        <f>+Corrections!$AM$8</f>
        <v>Tub</v>
      </c>
      <c r="Y124" s="441" t="str">
        <f>+Corrections!$AS$8</f>
        <v>Mirrors/Glass</v>
      </c>
      <c r="Z124" s="440" t="str">
        <f>+Corrections!$AY$8</f>
        <v>Stocking</v>
      </c>
      <c r="AA124" s="440" t="str">
        <f>+Corrections!$BE$8</f>
        <v>Other</v>
      </c>
      <c r="AB124" s="269" t="s">
        <v>141</v>
      </c>
      <c r="AC124" s="269" t="str">
        <f>+$AC$7</f>
        <v>Daily Corr / Inspected Checkout</v>
      </c>
      <c r="AD124" s="889" t="s">
        <v>143</v>
      </c>
      <c r="AE124" s="890"/>
      <c r="AF124" s="890"/>
      <c r="AG124" s="890"/>
      <c r="AH124" s="890"/>
      <c r="AI124" s="891"/>
    </row>
    <row r="125" spans="1:35" x14ac:dyDescent="0.25">
      <c r="A125" s="638"/>
      <c r="C125" s="369"/>
      <c r="D125" s="369"/>
      <c r="E125" s="369"/>
      <c r="F125" s="369"/>
      <c r="G125" s="264">
        <f t="shared" ref="G125:G130" si="72">+(D125-C125)+(F125-E125)</f>
        <v>0</v>
      </c>
      <c r="H125" s="442">
        <f t="shared" ref="H125:H130" si="73">+G125*1440</f>
        <v>0</v>
      </c>
      <c r="J125" s="630"/>
      <c r="K125" s="630"/>
      <c r="L125" s="630"/>
      <c r="M125" s="630"/>
      <c r="N125" s="1">
        <f>IF(C125&gt;0,((J125*Setup_and_Criteria!$F$13)+('M1_1-15th'!K125*Setup_and_Criteria!$F$14)+('M1_1-15th'!L125*Setup_and_Criteria!$F$15)+('M1_1-15th'!M125*Setup_and_Criteria!$F$16)+Setup_and_Criteria!$J$16),0)</f>
        <v>0</v>
      </c>
      <c r="O125" s="442">
        <f>+H125</f>
        <v>0</v>
      </c>
      <c r="P125" s="443">
        <f t="shared" ref="P125:P131" si="74">+N125-O125</f>
        <v>0</v>
      </c>
      <c r="Q125" s="357" t="e">
        <f t="shared" ref="Q125:Q131" si="75">O125/_xlfn.SINGLE(SUM(J125:M125))</f>
        <v>#DIV/0!</v>
      </c>
      <c r="R125" s="630"/>
      <c r="S125" s="630"/>
      <c r="T125" s="630"/>
      <c r="U125" s="630"/>
      <c r="V125" s="630"/>
      <c r="W125" s="630"/>
      <c r="X125" s="630"/>
      <c r="Y125" s="630"/>
      <c r="Z125" s="630"/>
      <c r="AA125" s="630"/>
      <c r="AB125" s="1">
        <f t="shared" ref="AB125:AB131" si="76">SUM(R125:AA125)</f>
        <v>0</v>
      </c>
      <c r="AC125" s="357" t="e">
        <f t="shared" ref="AC125:AC131" si="77">+AB125/(J125+K125+L125)</f>
        <v>#DIV/0!</v>
      </c>
      <c r="AD125" s="864"/>
      <c r="AE125" s="865"/>
      <c r="AF125" s="865"/>
      <c r="AG125" s="866"/>
      <c r="AH125" s="866"/>
      <c r="AI125" s="867"/>
    </row>
    <row r="126" spans="1:35" x14ac:dyDescent="0.25">
      <c r="A126" s="638"/>
      <c r="C126" s="630"/>
      <c r="D126" s="630"/>
      <c r="E126" s="630"/>
      <c r="F126" s="630"/>
      <c r="G126" s="264">
        <f t="shared" si="72"/>
        <v>0</v>
      </c>
      <c r="H126" s="442">
        <f t="shared" si="73"/>
        <v>0</v>
      </c>
      <c r="J126" s="630"/>
      <c r="K126" s="630"/>
      <c r="L126" s="630"/>
      <c r="M126" s="630"/>
      <c r="N126" s="1">
        <f>IF(C126&gt;0,((J126*Setup_and_Criteria!$F$13)+('M1_1-15th'!K126*Setup_and_Criteria!$F$14)+('M1_1-15th'!L126*Setup_and_Criteria!$F$15)+('M1_1-15th'!M126*Setup_and_Criteria!$F$16)+Setup_and_Criteria!$J$16),0)</f>
        <v>0</v>
      </c>
      <c r="O126" s="442">
        <f t="shared" ref="O126:O131" si="78">+H126</f>
        <v>0</v>
      </c>
      <c r="P126" s="443">
        <f t="shared" si="74"/>
        <v>0</v>
      </c>
      <c r="Q126" s="357" t="e">
        <f t="shared" si="75"/>
        <v>#DIV/0!</v>
      </c>
      <c r="R126" s="630"/>
      <c r="S126" s="630"/>
      <c r="T126" s="630"/>
      <c r="U126" s="630"/>
      <c r="V126" s="630"/>
      <c r="W126" s="630"/>
      <c r="X126" s="630"/>
      <c r="Y126" s="630"/>
      <c r="Z126" s="630"/>
      <c r="AA126" s="630"/>
      <c r="AB126" s="1">
        <f t="shared" si="76"/>
        <v>0</v>
      </c>
      <c r="AC126" s="357" t="e">
        <f t="shared" si="77"/>
        <v>#DIV/0!</v>
      </c>
      <c r="AD126" s="864"/>
      <c r="AE126" s="865"/>
      <c r="AF126" s="865"/>
      <c r="AG126" s="866"/>
      <c r="AH126" s="866"/>
      <c r="AI126" s="867"/>
    </row>
    <row r="127" spans="1:35" x14ac:dyDescent="0.25">
      <c r="A127" s="638"/>
      <c r="C127" s="630"/>
      <c r="D127" s="630"/>
      <c r="E127" s="630"/>
      <c r="F127" s="630"/>
      <c r="G127" s="264">
        <f t="shared" si="72"/>
        <v>0</v>
      </c>
      <c r="H127" s="442">
        <f t="shared" si="73"/>
        <v>0</v>
      </c>
      <c r="J127" s="630"/>
      <c r="K127" s="630"/>
      <c r="L127" s="630"/>
      <c r="M127" s="630"/>
      <c r="N127" s="1">
        <f>IF(C127&gt;0,((J127*Setup_and_Criteria!$F$13)+('M1_1-15th'!K127*Setup_and_Criteria!$F$14)+('M1_1-15th'!L127*Setup_and_Criteria!$F$15)+('M1_1-15th'!M127*Setup_and_Criteria!$F$16)+Setup_and_Criteria!$J$16),0)</f>
        <v>0</v>
      </c>
      <c r="O127" s="442">
        <f t="shared" si="78"/>
        <v>0</v>
      </c>
      <c r="P127" s="443">
        <f t="shared" si="74"/>
        <v>0</v>
      </c>
      <c r="Q127" s="357" t="e">
        <f t="shared" si="75"/>
        <v>#DIV/0!</v>
      </c>
      <c r="R127" s="630"/>
      <c r="S127" s="630"/>
      <c r="T127" s="630"/>
      <c r="U127" s="630"/>
      <c r="V127" s="630"/>
      <c r="W127" s="630"/>
      <c r="X127" s="630"/>
      <c r="Y127" s="630"/>
      <c r="Z127" s="630"/>
      <c r="AA127" s="630"/>
      <c r="AB127" s="1">
        <f t="shared" si="76"/>
        <v>0</v>
      </c>
      <c r="AC127" s="357" t="e">
        <f t="shared" si="77"/>
        <v>#DIV/0!</v>
      </c>
      <c r="AD127" s="864"/>
      <c r="AE127" s="865"/>
      <c r="AF127" s="865"/>
      <c r="AG127" s="866"/>
      <c r="AH127" s="866"/>
      <c r="AI127" s="867"/>
    </row>
    <row r="128" spans="1:35" x14ac:dyDescent="0.25">
      <c r="A128" s="638"/>
      <c r="C128" s="630"/>
      <c r="D128" s="630"/>
      <c r="E128" s="630"/>
      <c r="F128" s="630"/>
      <c r="G128" s="264">
        <f t="shared" si="72"/>
        <v>0</v>
      </c>
      <c r="H128" s="442">
        <f t="shared" si="73"/>
        <v>0</v>
      </c>
      <c r="J128" s="630"/>
      <c r="K128" s="630"/>
      <c r="L128" s="630"/>
      <c r="M128" s="630"/>
      <c r="N128" s="1">
        <f>IF(C128&gt;0,((J128*Setup_and_Criteria!$F$13)+('M1_1-15th'!K128*Setup_and_Criteria!$F$14)+('M1_1-15th'!L128*Setup_and_Criteria!$F$15)+('M1_1-15th'!M128*Setup_and_Criteria!$F$16)+Setup_and_Criteria!$J$16),0)</f>
        <v>0</v>
      </c>
      <c r="O128" s="442">
        <f t="shared" si="78"/>
        <v>0</v>
      </c>
      <c r="P128" s="443">
        <f t="shared" si="74"/>
        <v>0</v>
      </c>
      <c r="Q128" s="357" t="e">
        <f t="shared" si="75"/>
        <v>#DIV/0!</v>
      </c>
      <c r="R128" s="630"/>
      <c r="S128" s="630"/>
      <c r="T128" s="630"/>
      <c r="U128" s="630"/>
      <c r="V128" s="630"/>
      <c r="W128" s="630"/>
      <c r="X128" s="630"/>
      <c r="Y128" s="630"/>
      <c r="Z128" s="630"/>
      <c r="AA128" s="630"/>
      <c r="AB128" s="1">
        <f t="shared" si="76"/>
        <v>0</v>
      </c>
      <c r="AC128" s="357" t="e">
        <f t="shared" si="77"/>
        <v>#DIV/0!</v>
      </c>
      <c r="AD128" s="864"/>
      <c r="AE128" s="865"/>
      <c r="AF128" s="865"/>
      <c r="AG128" s="866"/>
      <c r="AH128" s="866"/>
      <c r="AI128" s="867"/>
    </row>
    <row r="129" spans="1:35" x14ac:dyDescent="0.25">
      <c r="A129" s="638"/>
      <c r="C129" s="630"/>
      <c r="D129" s="630"/>
      <c r="E129" s="630"/>
      <c r="F129" s="630"/>
      <c r="G129" s="264">
        <f t="shared" si="72"/>
        <v>0</v>
      </c>
      <c r="H129" s="442">
        <f t="shared" si="73"/>
        <v>0</v>
      </c>
      <c r="J129" s="630"/>
      <c r="K129" s="630"/>
      <c r="L129" s="630"/>
      <c r="M129" s="630"/>
      <c r="N129" s="1">
        <f>IF(C129&gt;0,((J129*Setup_and_Criteria!$F$13)+('M1_1-15th'!K129*Setup_and_Criteria!$F$14)+('M1_1-15th'!L129*Setup_and_Criteria!$F$15)+('M1_1-15th'!M129*Setup_and_Criteria!$F$16)+Setup_and_Criteria!$J$16),0)</f>
        <v>0</v>
      </c>
      <c r="O129" s="442">
        <f t="shared" si="78"/>
        <v>0</v>
      </c>
      <c r="P129" s="443">
        <f t="shared" si="74"/>
        <v>0</v>
      </c>
      <c r="Q129" s="357" t="e">
        <f t="shared" si="75"/>
        <v>#DIV/0!</v>
      </c>
      <c r="R129" s="630"/>
      <c r="S129" s="630"/>
      <c r="T129" s="630"/>
      <c r="U129" s="630"/>
      <c r="V129" s="630"/>
      <c r="W129" s="630"/>
      <c r="X129" s="630"/>
      <c r="Y129" s="630"/>
      <c r="Z129" s="630"/>
      <c r="AA129" s="630"/>
      <c r="AB129" s="1">
        <f t="shared" si="76"/>
        <v>0</v>
      </c>
      <c r="AC129" s="357" t="e">
        <f t="shared" si="77"/>
        <v>#DIV/0!</v>
      </c>
      <c r="AD129" s="864"/>
      <c r="AE129" s="865"/>
      <c r="AF129" s="865"/>
      <c r="AG129" s="866"/>
      <c r="AH129" s="866"/>
      <c r="AI129" s="867"/>
    </row>
    <row r="130" spans="1:35" ht="15.75" thickBot="1" x14ac:dyDescent="0.3">
      <c r="A130" s="638"/>
      <c r="C130" s="370"/>
      <c r="D130" s="370"/>
      <c r="E130" s="630"/>
      <c r="F130" s="630"/>
      <c r="G130" s="264">
        <f t="shared" si="72"/>
        <v>0</v>
      </c>
      <c r="H130" s="442">
        <f t="shared" si="73"/>
        <v>0</v>
      </c>
      <c r="J130" s="371"/>
      <c r="K130" s="371"/>
      <c r="L130" s="371"/>
      <c r="M130" s="371"/>
      <c r="N130" s="358">
        <f>IF(C130&gt;0,((J130*Setup_and_Criteria!$F$13)+('M1_1-15th'!K130*Setup_and_Criteria!$F$14)+('M1_1-15th'!L130*Setup_and_Criteria!$F$15)+('M1_1-15th'!M130*Setup_and_Criteria!$F$16)+Setup_and_Criteria!$J$16),0)</f>
        <v>0</v>
      </c>
      <c r="O130" s="359">
        <f t="shared" si="78"/>
        <v>0</v>
      </c>
      <c r="P130" s="383">
        <f t="shared" si="74"/>
        <v>0</v>
      </c>
      <c r="Q130" s="360" t="e">
        <f t="shared" si="75"/>
        <v>#DIV/0!</v>
      </c>
      <c r="R130" s="511"/>
      <c r="S130" s="511"/>
      <c r="T130" s="511"/>
      <c r="U130" s="511"/>
      <c r="V130" s="511"/>
      <c r="W130" s="511"/>
      <c r="X130" s="511"/>
      <c r="Y130" s="511"/>
      <c r="Z130" s="511"/>
      <c r="AA130" s="511"/>
      <c r="AB130" s="1">
        <f t="shared" si="76"/>
        <v>0</v>
      </c>
      <c r="AC130" s="357" t="e">
        <f t="shared" si="77"/>
        <v>#DIV/0!</v>
      </c>
      <c r="AD130" s="864"/>
      <c r="AE130" s="865"/>
      <c r="AF130" s="865"/>
      <c r="AG130" s="866"/>
      <c r="AH130" s="866"/>
      <c r="AI130" s="867"/>
    </row>
    <row r="131" spans="1:35" ht="15.75" thickTop="1" x14ac:dyDescent="0.25">
      <c r="A131" s="58"/>
      <c r="H131" s="442">
        <f>SUM(H125:H130)</f>
        <v>0</v>
      </c>
      <c r="J131" s="1">
        <f>SUM(J125:J130)</f>
        <v>0</v>
      </c>
      <c r="K131" s="1">
        <f>SUM(K125:K130)</f>
        <v>0</v>
      </c>
      <c r="L131" s="1">
        <f>SUM(L125:L130)</f>
        <v>0</v>
      </c>
      <c r="M131" s="1">
        <f>SUM(M125:M130)</f>
        <v>0</v>
      </c>
      <c r="N131" s="1">
        <f>SUM(N125:N130)</f>
        <v>0</v>
      </c>
      <c r="O131" s="1">
        <f t="shared" si="78"/>
        <v>0</v>
      </c>
      <c r="P131" s="443">
        <f t="shared" si="74"/>
        <v>0</v>
      </c>
      <c r="Q131" s="357" t="e">
        <f t="shared" si="75"/>
        <v>#DIV/0!</v>
      </c>
      <c r="R131" s="1">
        <f t="shared" ref="R131:AA131" si="79">SUM(R125:R130)</f>
        <v>0</v>
      </c>
      <c r="S131" s="1">
        <f t="shared" si="79"/>
        <v>0</v>
      </c>
      <c r="T131" s="1">
        <f t="shared" si="79"/>
        <v>0</v>
      </c>
      <c r="U131" s="1">
        <f t="shared" si="79"/>
        <v>0</v>
      </c>
      <c r="V131" s="1">
        <f t="shared" si="79"/>
        <v>0</v>
      </c>
      <c r="W131" s="1">
        <f t="shared" si="79"/>
        <v>0</v>
      </c>
      <c r="X131" s="1">
        <f t="shared" si="79"/>
        <v>0</v>
      </c>
      <c r="Y131" s="1">
        <f t="shared" si="79"/>
        <v>0</v>
      </c>
      <c r="Z131" s="1">
        <f t="shared" si="79"/>
        <v>0</v>
      </c>
      <c r="AA131" s="1">
        <f t="shared" si="79"/>
        <v>0</v>
      </c>
      <c r="AB131" s="1">
        <f t="shared" si="76"/>
        <v>0</v>
      </c>
      <c r="AC131" s="357" t="e">
        <f t="shared" si="77"/>
        <v>#DIV/0!</v>
      </c>
      <c r="AD131" s="877"/>
      <c r="AE131" s="878"/>
      <c r="AF131" s="878"/>
      <c r="AG131" s="749"/>
      <c r="AH131" s="749"/>
      <c r="AI131" s="879"/>
    </row>
    <row r="132" spans="1:35" ht="21" customHeight="1" x14ac:dyDescent="0.35">
      <c r="A132" s="58"/>
      <c r="H132" s="442"/>
      <c r="N132" s="888" t="s">
        <v>145</v>
      </c>
      <c r="O132" s="888"/>
      <c r="P132" s="888"/>
      <c r="Q132" s="888"/>
      <c r="R132" s="431" t="s">
        <v>146</v>
      </c>
      <c r="S132" s="431"/>
      <c r="T132" s="431"/>
      <c r="U132" s="431"/>
      <c r="V132" s="431"/>
      <c r="W132" s="431"/>
      <c r="X132" s="431"/>
      <c r="Y132" s="431"/>
      <c r="Z132" s="431"/>
      <c r="AA132" s="431"/>
      <c r="AB132" s="431"/>
      <c r="AC132" s="431"/>
      <c r="AD132" s="880" t="s">
        <v>132</v>
      </c>
      <c r="AE132" s="881"/>
      <c r="AF132" s="881"/>
      <c r="AG132" s="881"/>
      <c r="AH132" s="881"/>
      <c r="AI132" s="882"/>
    </row>
    <row r="133" spans="1:35" ht="31.5" customHeight="1" x14ac:dyDescent="0.35">
      <c r="A133" s="617" t="s">
        <v>147</v>
      </c>
      <c r="C133" s="885" t="s">
        <v>128</v>
      </c>
      <c r="D133" s="885"/>
      <c r="E133" s="885"/>
      <c r="F133" s="885"/>
      <c r="H133" s="442"/>
      <c r="J133" s="444"/>
      <c r="K133" s="445" t="s">
        <v>35</v>
      </c>
      <c r="L133" s="445" t="s">
        <v>148</v>
      </c>
      <c r="N133" s="446" t="s">
        <v>149</v>
      </c>
      <c r="O133" s="447" t="s">
        <v>150</v>
      </c>
      <c r="P133" s="447" t="s">
        <v>138</v>
      </c>
      <c r="Q133" s="447" t="s">
        <v>151</v>
      </c>
      <c r="R133" s="749" t="s">
        <v>152</v>
      </c>
      <c r="S133" s="749"/>
      <c r="T133" s="883" t="s">
        <v>153</v>
      </c>
      <c r="U133" s="883"/>
      <c r="W133" s="425" t="s">
        <v>154</v>
      </c>
      <c r="X133" s="425"/>
      <c r="Y133" s="425"/>
      <c r="Z133" s="425"/>
      <c r="AA133" s="425"/>
      <c r="AB133" s="425"/>
      <c r="AC133" s="425"/>
      <c r="AD133" s="868"/>
      <c r="AE133" s="869"/>
      <c r="AF133" s="869"/>
      <c r="AG133" s="869"/>
      <c r="AH133" s="869"/>
      <c r="AI133" s="870"/>
    </row>
    <row r="134" spans="1:35" ht="18" customHeight="1" thickBot="1" x14ac:dyDescent="0.3">
      <c r="A134" s="639"/>
      <c r="B134" s="375"/>
      <c r="C134" s="372"/>
      <c r="D134" s="372"/>
      <c r="E134" s="372"/>
      <c r="F134" s="372"/>
      <c r="G134" s="366">
        <f>+(D134-C134)+(F134-E134)</f>
        <v>0</v>
      </c>
      <c r="H134" s="367">
        <f>+G134*1440</f>
        <v>0</v>
      </c>
      <c r="I134" s="859" t="s">
        <v>155</v>
      </c>
      <c r="J134" s="860"/>
      <c r="K134" s="373"/>
      <c r="L134" s="374"/>
      <c r="M134" s="423"/>
      <c r="N134" s="629">
        <f>+J131+L131+K131+K134+L134</f>
        <v>0</v>
      </c>
      <c r="O134" s="368">
        <f>+(Setup_and_Criteria!$K$31+(J131*Setup_and_Criteria!$F$20)+('M1_1-15th'!K131*Setup_and_Criteria!$F$21)+('M1_1-15th'!L131*Setup_and_Criteria!$F$20))+T134+(K134*Setup_and_Criteria!$F$21)+(Setup_and_Criteria!$F$22*'M1_1-15th'!L134)</f>
        <v>75</v>
      </c>
      <c r="P134" s="367">
        <f>+H134</f>
        <v>0</v>
      </c>
      <c r="Q134" s="367">
        <f>+O134-P134</f>
        <v>75</v>
      </c>
      <c r="R134" s="861"/>
      <c r="S134" s="861"/>
      <c r="T134" s="862"/>
      <c r="U134" s="863"/>
      <c r="V134" s="265" t="s">
        <v>156</v>
      </c>
      <c r="W134" s="854"/>
      <c r="X134" s="855"/>
      <c r="Y134" s="855"/>
      <c r="Z134" s="855"/>
      <c r="AA134" s="855"/>
      <c r="AB134" s="855"/>
      <c r="AC134" s="855"/>
      <c r="AD134" s="868"/>
      <c r="AE134" s="869"/>
      <c r="AF134" s="869"/>
      <c r="AG134" s="869"/>
      <c r="AH134" s="869"/>
      <c r="AI134" s="870"/>
    </row>
    <row r="135" spans="1:35" ht="15.75" thickBot="1" x14ac:dyDescent="0.3">
      <c r="A135" s="449" t="str">
        <f>+A122</f>
        <v>Password to enter data = "Enter Info"</v>
      </c>
      <c r="B135" s="450"/>
      <c r="C135" s="451"/>
      <c r="D135" s="451"/>
      <c r="E135" s="451"/>
      <c r="F135" s="451"/>
      <c r="G135" s="451"/>
      <c r="H135" s="451"/>
      <c r="I135" s="450"/>
      <c r="J135" s="451"/>
      <c r="K135" s="451"/>
      <c r="L135" s="451"/>
      <c r="M135" s="451"/>
      <c r="N135" s="451"/>
      <c r="O135" s="451"/>
      <c r="P135" s="451"/>
      <c r="Q135" s="450"/>
      <c r="R135" s="451"/>
      <c r="S135" s="451"/>
      <c r="T135" s="451"/>
      <c r="U135" s="451"/>
      <c r="V135" s="451"/>
      <c r="W135" s="451"/>
      <c r="X135" s="451"/>
      <c r="Y135" s="451"/>
      <c r="Z135" s="451"/>
      <c r="AA135" s="451"/>
      <c r="AB135" s="450"/>
      <c r="AC135" s="450"/>
      <c r="AD135" s="871"/>
      <c r="AE135" s="872"/>
      <c r="AF135" s="872"/>
      <c r="AG135" s="872"/>
      <c r="AH135" s="872"/>
      <c r="AI135" s="873"/>
    </row>
    <row r="136" spans="1:35" ht="35.25" customHeight="1" x14ac:dyDescent="0.4">
      <c r="A136" s="434" t="str">
        <f>+A123</f>
        <v>April</v>
      </c>
      <c r="B136" s="624">
        <f>+B123+1</f>
        <v>11</v>
      </c>
      <c r="C136" s="884" t="s">
        <v>128</v>
      </c>
      <c r="D136" s="884"/>
      <c r="E136" s="884"/>
      <c r="F136" s="884"/>
      <c r="G136" s="377"/>
      <c r="H136" s="377"/>
      <c r="I136" s="21"/>
      <c r="J136" s="874" t="s">
        <v>129</v>
      </c>
      <c r="K136" s="875"/>
      <c r="L136" s="875"/>
      <c r="M136" s="875"/>
      <c r="N136" s="876" t="s">
        <v>130</v>
      </c>
      <c r="O136" s="876"/>
      <c r="P136" s="876"/>
      <c r="Q136" s="876"/>
      <c r="R136" s="424" t="str">
        <f>+R123</f>
        <v xml:space="preserve"> Corrections Tracking - Check out rooms</v>
      </c>
      <c r="S136" s="424"/>
      <c r="T136" s="424"/>
      <c r="U136" s="424"/>
      <c r="V136" s="424"/>
      <c r="W136" s="424"/>
      <c r="X136" s="424"/>
      <c r="Y136" s="424"/>
      <c r="Z136" s="424"/>
      <c r="AA136" s="424"/>
      <c r="AB136" s="424"/>
      <c r="AC136" s="424"/>
      <c r="AD136" s="461" t="s">
        <v>132</v>
      </c>
      <c r="AE136" s="426"/>
      <c r="AF136" s="426"/>
      <c r="AG136" s="426"/>
      <c r="AH136" s="426"/>
      <c r="AI136" s="427"/>
    </row>
    <row r="137" spans="1:35" ht="59.25" customHeight="1" x14ac:dyDescent="0.25">
      <c r="A137" s="378" t="s">
        <v>133</v>
      </c>
      <c r="C137" s="435" t="s">
        <v>134</v>
      </c>
      <c r="D137" s="435" t="s">
        <v>135</v>
      </c>
      <c r="E137" s="435" t="s">
        <v>134</v>
      </c>
      <c r="F137" s="435" t="s">
        <v>135</v>
      </c>
      <c r="G137" s="1" t="s">
        <v>136</v>
      </c>
      <c r="H137" s="1" t="s">
        <v>108</v>
      </c>
      <c r="I137" s="436"/>
      <c r="J137" s="437" t="str">
        <f>+Setup_and_Criteria!$B$13</f>
        <v>Checkouts</v>
      </c>
      <c r="K137" s="437" t="str">
        <f>+Setup_and_Criteria!$B$14</f>
        <v>Pet Rooms</v>
      </c>
      <c r="L137" s="437" t="str">
        <f>+Setup_and_Criteria!$B$15</f>
        <v>2 Rm &amp; Jac Stes</v>
      </c>
      <c r="M137" s="438" t="str">
        <f>+Setup_and_Criteria!$B$16</f>
        <v>Stayovers</v>
      </c>
      <c r="N137" s="269" t="s">
        <v>137</v>
      </c>
      <c r="O137" s="269" t="s">
        <v>138</v>
      </c>
      <c r="P137" s="439" t="s">
        <v>139</v>
      </c>
      <c r="Q137" s="439" t="s">
        <v>140</v>
      </c>
      <c r="R137" s="440" t="str">
        <f>+Corrections!$C$8</f>
        <v>Vanity</v>
      </c>
      <c r="S137" s="440" t="str">
        <f>+Corrections!$I$8</f>
        <v>Toilet</v>
      </c>
      <c r="T137" s="440" t="str">
        <f>+Corrections!$O$8</f>
        <v>Bed/Pillows</v>
      </c>
      <c r="U137" s="440" t="str">
        <f>+Corrections!$U$8</f>
        <v>Floor</v>
      </c>
      <c r="V137" s="440" t="str">
        <f>+Corrections!$AA$8</f>
        <v>Dusting</v>
      </c>
      <c r="W137" s="440" t="str">
        <f>+Corrections!$AG$8</f>
        <v>Fridge/Micro</v>
      </c>
      <c r="X137" s="440" t="str">
        <f>+Corrections!$AM$8</f>
        <v>Tub</v>
      </c>
      <c r="Y137" s="441" t="str">
        <f>+Corrections!$AS$8</f>
        <v>Mirrors/Glass</v>
      </c>
      <c r="Z137" s="440" t="str">
        <f>+Corrections!$AY$8</f>
        <v>Stocking</v>
      </c>
      <c r="AA137" s="440" t="str">
        <f>+Corrections!$BE$8</f>
        <v>Other</v>
      </c>
      <c r="AB137" s="269" t="s">
        <v>141</v>
      </c>
      <c r="AC137" s="269" t="str">
        <f>+$AC$7</f>
        <v>Daily Corr / Inspected Checkout</v>
      </c>
      <c r="AD137" s="889" t="s">
        <v>143</v>
      </c>
      <c r="AE137" s="890"/>
      <c r="AF137" s="890"/>
      <c r="AG137" s="890"/>
      <c r="AH137" s="890"/>
      <c r="AI137" s="891"/>
    </row>
    <row r="138" spans="1:35" x14ac:dyDescent="0.25">
      <c r="A138" s="638"/>
      <c r="C138" s="369"/>
      <c r="D138" s="369"/>
      <c r="E138" s="369"/>
      <c r="F138" s="369"/>
      <c r="G138" s="264">
        <f t="shared" ref="G138:G143" si="80">+(D138-C138)+(F138-E138)</f>
        <v>0</v>
      </c>
      <c r="H138" s="442">
        <f t="shared" ref="H138:H143" si="81">+G138*1440</f>
        <v>0</v>
      </c>
      <c r="J138" s="630"/>
      <c r="K138" s="630"/>
      <c r="L138" s="630"/>
      <c r="M138" s="630"/>
      <c r="N138" s="1">
        <f>IF(C138&gt;0,((J138*Setup_and_Criteria!$F$13)+('M1_1-15th'!K138*Setup_and_Criteria!$F$14)+('M1_1-15th'!L138*Setup_and_Criteria!$F$15)+('M1_1-15th'!M138*Setup_and_Criteria!$F$16)+Setup_and_Criteria!$J$16),0)</f>
        <v>0</v>
      </c>
      <c r="O138" s="442">
        <f>+H138</f>
        <v>0</v>
      </c>
      <c r="P138" s="443">
        <f t="shared" ref="P138:P144" si="82">+N138-O138</f>
        <v>0</v>
      </c>
      <c r="Q138" s="357" t="e">
        <f t="shared" ref="Q138:Q144" si="83">O138/_xlfn.SINGLE(SUM(J138:M138))</f>
        <v>#DIV/0!</v>
      </c>
      <c r="R138" s="630"/>
      <c r="S138" s="630"/>
      <c r="T138" s="630"/>
      <c r="U138" s="630"/>
      <c r="V138" s="630"/>
      <c r="W138" s="630"/>
      <c r="X138" s="630"/>
      <c r="Y138" s="630"/>
      <c r="Z138" s="630"/>
      <c r="AA138" s="630"/>
      <c r="AB138" s="1">
        <f t="shared" ref="AB138:AB144" si="84">SUM(R138:AA138)</f>
        <v>0</v>
      </c>
      <c r="AC138" s="357" t="e">
        <f t="shared" ref="AC138:AC144" si="85">+AB138/(J138+K138+L138)</f>
        <v>#DIV/0!</v>
      </c>
      <c r="AD138" s="864" t="s">
        <v>144</v>
      </c>
      <c r="AE138" s="865"/>
      <c r="AF138" s="865"/>
      <c r="AG138" s="866"/>
      <c r="AH138" s="866"/>
      <c r="AI138" s="867"/>
    </row>
    <row r="139" spans="1:35" x14ac:dyDescent="0.25">
      <c r="A139" s="638"/>
      <c r="C139" s="369"/>
      <c r="D139" s="369"/>
      <c r="E139" s="369"/>
      <c r="F139" s="369"/>
      <c r="G139" s="264">
        <f t="shared" si="80"/>
        <v>0</v>
      </c>
      <c r="H139" s="442">
        <f t="shared" si="81"/>
        <v>0</v>
      </c>
      <c r="J139" s="630"/>
      <c r="K139" s="630"/>
      <c r="L139" s="630"/>
      <c r="M139" s="630"/>
      <c r="N139" s="1">
        <f>IF(C139&gt;0,((J139*Setup_and_Criteria!$F$13)+('M1_1-15th'!K139*Setup_and_Criteria!$F$14)+('M1_1-15th'!L139*Setup_and_Criteria!$F$15)+('M1_1-15th'!M139*Setup_and_Criteria!$F$16)+Setup_and_Criteria!$J$16),0)</f>
        <v>0</v>
      </c>
      <c r="O139" s="442">
        <f t="shared" ref="O139:O144" si="86">+H139</f>
        <v>0</v>
      </c>
      <c r="P139" s="443">
        <f t="shared" si="82"/>
        <v>0</v>
      </c>
      <c r="Q139" s="357" t="e">
        <f t="shared" si="83"/>
        <v>#DIV/0!</v>
      </c>
      <c r="R139" s="630"/>
      <c r="S139" s="630"/>
      <c r="T139" s="630"/>
      <c r="U139" s="630"/>
      <c r="V139" s="630"/>
      <c r="W139" s="630"/>
      <c r="X139" s="630"/>
      <c r="Y139" s="630"/>
      <c r="Z139" s="630"/>
      <c r="AA139" s="630"/>
      <c r="AB139" s="1">
        <f t="shared" si="84"/>
        <v>0</v>
      </c>
      <c r="AC139" s="357" t="e">
        <f t="shared" si="85"/>
        <v>#DIV/0!</v>
      </c>
      <c r="AD139" s="864"/>
      <c r="AE139" s="865"/>
      <c r="AF139" s="865"/>
      <c r="AG139" s="866"/>
      <c r="AH139" s="866"/>
      <c r="AI139" s="867"/>
    </row>
    <row r="140" spans="1:35" x14ac:dyDescent="0.25">
      <c r="A140" s="638"/>
      <c r="C140" s="630"/>
      <c r="D140" s="630"/>
      <c r="E140" s="630"/>
      <c r="F140" s="630"/>
      <c r="G140" s="264">
        <f t="shared" si="80"/>
        <v>0</v>
      </c>
      <c r="H140" s="442">
        <f t="shared" si="81"/>
        <v>0</v>
      </c>
      <c r="J140" s="630"/>
      <c r="K140" s="630"/>
      <c r="L140" s="630"/>
      <c r="M140" s="630"/>
      <c r="N140" s="1">
        <f>IF(C140&gt;0,((J140*Setup_and_Criteria!$F$13)+('M1_1-15th'!K140*Setup_and_Criteria!$F$14)+('M1_1-15th'!L140*Setup_and_Criteria!$F$15)+('M1_1-15th'!M140*Setup_and_Criteria!$F$16)+Setup_and_Criteria!$J$16),0)</f>
        <v>0</v>
      </c>
      <c r="O140" s="442">
        <f t="shared" si="86"/>
        <v>0</v>
      </c>
      <c r="P140" s="443">
        <f t="shared" si="82"/>
        <v>0</v>
      </c>
      <c r="Q140" s="357" t="e">
        <f t="shared" si="83"/>
        <v>#DIV/0!</v>
      </c>
      <c r="R140" s="630"/>
      <c r="S140" s="630"/>
      <c r="T140" s="630"/>
      <c r="U140" s="630"/>
      <c r="V140" s="630"/>
      <c r="W140" s="630"/>
      <c r="X140" s="630"/>
      <c r="Y140" s="630"/>
      <c r="Z140" s="630"/>
      <c r="AA140" s="630"/>
      <c r="AB140" s="1">
        <f t="shared" si="84"/>
        <v>0</v>
      </c>
      <c r="AC140" s="357" t="e">
        <f t="shared" si="85"/>
        <v>#DIV/0!</v>
      </c>
      <c r="AD140" s="864"/>
      <c r="AE140" s="865"/>
      <c r="AF140" s="865"/>
      <c r="AG140" s="866"/>
      <c r="AH140" s="866"/>
      <c r="AI140" s="867"/>
    </row>
    <row r="141" spans="1:35" x14ac:dyDescent="0.25">
      <c r="A141" s="638"/>
      <c r="C141" s="630"/>
      <c r="D141" s="630"/>
      <c r="E141" s="630"/>
      <c r="F141" s="630"/>
      <c r="G141" s="264">
        <f t="shared" si="80"/>
        <v>0</v>
      </c>
      <c r="H141" s="442">
        <f t="shared" si="81"/>
        <v>0</v>
      </c>
      <c r="J141" s="630"/>
      <c r="K141" s="630"/>
      <c r="L141" s="630"/>
      <c r="M141" s="630"/>
      <c r="N141" s="1">
        <f>IF(C141&gt;0,((J141*Setup_and_Criteria!$F$13)+('M1_1-15th'!K141*Setup_and_Criteria!$F$14)+('M1_1-15th'!L141*Setup_and_Criteria!$F$15)+('M1_1-15th'!M141*Setup_and_Criteria!$F$16)+Setup_and_Criteria!$J$16),0)</f>
        <v>0</v>
      </c>
      <c r="O141" s="442">
        <f t="shared" si="86"/>
        <v>0</v>
      </c>
      <c r="P141" s="443">
        <f t="shared" si="82"/>
        <v>0</v>
      </c>
      <c r="Q141" s="357" t="e">
        <f t="shared" si="83"/>
        <v>#DIV/0!</v>
      </c>
      <c r="R141" s="630"/>
      <c r="S141" s="630"/>
      <c r="T141" s="630"/>
      <c r="U141" s="630"/>
      <c r="V141" s="630"/>
      <c r="W141" s="630"/>
      <c r="X141" s="630"/>
      <c r="Y141" s="630"/>
      <c r="Z141" s="630"/>
      <c r="AA141" s="630"/>
      <c r="AB141" s="1">
        <f t="shared" si="84"/>
        <v>0</v>
      </c>
      <c r="AC141" s="357" t="e">
        <f t="shared" si="85"/>
        <v>#DIV/0!</v>
      </c>
      <c r="AD141" s="864"/>
      <c r="AE141" s="865"/>
      <c r="AF141" s="865"/>
      <c r="AG141" s="866"/>
      <c r="AH141" s="866"/>
      <c r="AI141" s="867"/>
    </row>
    <row r="142" spans="1:35" x14ac:dyDescent="0.25">
      <c r="A142" s="638"/>
      <c r="C142" s="630"/>
      <c r="D142" s="630"/>
      <c r="E142" s="630"/>
      <c r="F142" s="630"/>
      <c r="G142" s="264">
        <f t="shared" si="80"/>
        <v>0</v>
      </c>
      <c r="H142" s="442">
        <f t="shared" si="81"/>
        <v>0</v>
      </c>
      <c r="J142" s="630"/>
      <c r="K142" s="630"/>
      <c r="L142" s="630"/>
      <c r="M142" s="630"/>
      <c r="N142" s="1">
        <f>IF(C142&gt;0,((J142*Setup_and_Criteria!$F$13)+('M1_1-15th'!K142*Setup_and_Criteria!$F$14)+('M1_1-15th'!L142*Setup_and_Criteria!$F$15)+('M1_1-15th'!M142*Setup_and_Criteria!$F$16)+Setup_and_Criteria!$J$16),0)</f>
        <v>0</v>
      </c>
      <c r="O142" s="442">
        <f t="shared" si="86"/>
        <v>0</v>
      </c>
      <c r="P142" s="443">
        <f t="shared" si="82"/>
        <v>0</v>
      </c>
      <c r="Q142" s="357" t="e">
        <f t="shared" si="83"/>
        <v>#DIV/0!</v>
      </c>
      <c r="R142" s="630"/>
      <c r="S142" s="630"/>
      <c r="T142" s="630"/>
      <c r="U142" s="630"/>
      <c r="V142" s="630"/>
      <c r="W142" s="630"/>
      <c r="X142" s="630"/>
      <c r="Y142" s="630"/>
      <c r="Z142" s="630"/>
      <c r="AA142" s="630"/>
      <c r="AB142" s="1">
        <f t="shared" si="84"/>
        <v>0</v>
      </c>
      <c r="AC142" s="357" t="e">
        <f t="shared" si="85"/>
        <v>#DIV/0!</v>
      </c>
      <c r="AD142" s="864"/>
      <c r="AE142" s="865"/>
      <c r="AF142" s="865"/>
      <c r="AG142" s="866"/>
      <c r="AH142" s="866"/>
      <c r="AI142" s="867"/>
    </row>
    <row r="143" spans="1:35" ht="15.75" thickBot="1" x14ac:dyDescent="0.3">
      <c r="A143" s="638"/>
      <c r="C143" s="370"/>
      <c r="D143" s="370"/>
      <c r="E143" s="630"/>
      <c r="F143" s="630"/>
      <c r="G143" s="264">
        <f t="shared" si="80"/>
        <v>0</v>
      </c>
      <c r="H143" s="442">
        <f t="shared" si="81"/>
        <v>0</v>
      </c>
      <c r="J143" s="371"/>
      <c r="K143" s="371"/>
      <c r="L143" s="371"/>
      <c r="M143" s="371"/>
      <c r="N143" s="358">
        <f>IF(C143&gt;0,((J143*Setup_and_Criteria!$F$13)+('M1_1-15th'!K143*Setup_and_Criteria!$F$14)+('M1_1-15th'!L143*Setup_and_Criteria!$F$15)+('M1_1-15th'!M143*Setup_and_Criteria!$F$16)+Setup_and_Criteria!$J$16),0)</f>
        <v>0</v>
      </c>
      <c r="O143" s="359">
        <f t="shared" si="86"/>
        <v>0</v>
      </c>
      <c r="P143" s="383">
        <f t="shared" si="82"/>
        <v>0</v>
      </c>
      <c r="Q143" s="360" t="e">
        <f t="shared" si="83"/>
        <v>#DIV/0!</v>
      </c>
      <c r="R143" s="511"/>
      <c r="S143" s="511"/>
      <c r="T143" s="511"/>
      <c r="U143" s="511"/>
      <c r="V143" s="511"/>
      <c r="W143" s="511"/>
      <c r="X143" s="511"/>
      <c r="Y143" s="511"/>
      <c r="Z143" s="511"/>
      <c r="AA143" s="511"/>
      <c r="AB143" s="1">
        <f t="shared" si="84"/>
        <v>0</v>
      </c>
      <c r="AC143" s="357" t="e">
        <f t="shared" si="85"/>
        <v>#DIV/0!</v>
      </c>
      <c r="AD143" s="864"/>
      <c r="AE143" s="865"/>
      <c r="AF143" s="865"/>
      <c r="AG143" s="866"/>
      <c r="AH143" s="866"/>
      <c r="AI143" s="867"/>
    </row>
    <row r="144" spans="1:35" ht="15.75" thickTop="1" x14ac:dyDescent="0.25">
      <c r="A144" s="58"/>
      <c r="H144" s="442">
        <f>SUM(H138:H143)</f>
        <v>0</v>
      </c>
      <c r="J144" s="1">
        <f>SUM(J138:J143)</f>
        <v>0</v>
      </c>
      <c r="K144" s="1">
        <f>SUM(K138:K143)</f>
        <v>0</v>
      </c>
      <c r="L144" s="1">
        <f>SUM(L138:L143)</f>
        <v>0</v>
      </c>
      <c r="M144" s="1">
        <f>SUM(M138:M143)</f>
        <v>0</v>
      </c>
      <c r="N144" s="1">
        <f>SUM(N138:N143)</f>
        <v>0</v>
      </c>
      <c r="O144" s="1">
        <f t="shared" si="86"/>
        <v>0</v>
      </c>
      <c r="P144" s="443">
        <f t="shared" si="82"/>
        <v>0</v>
      </c>
      <c r="Q144" s="357" t="e">
        <f t="shared" si="83"/>
        <v>#DIV/0!</v>
      </c>
      <c r="R144" s="1">
        <f t="shared" ref="R144:AA144" si="87">SUM(R138:R143)</f>
        <v>0</v>
      </c>
      <c r="S144" s="1">
        <f t="shared" si="87"/>
        <v>0</v>
      </c>
      <c r="T144" s="1">
        <f t="shared" si="87"/>
        <v>0</v>
      </c>
      <c r="U144" s="1">
        <f t="shared" si="87"/>
        <v>0</v>
      </c>
      <c r="V144" s="1">
        <f t="shared" si="87"/>
        <v>0</v>
      </c>
      <c r="W144" s="1">
        <f t="shared" si="87"/>
        <v>0</v>
      </c>
      <c r="X144" s="1">
        <f t="shared" si="87"/>
        <v>0</v>
      </c>
      <c r="Y144" s="1">
        <f t="shared" si="87"/>
        <v>0</v>
      </c>
      <c r="Z144" s="1">
        <f t="shared" si="87"/>
        <v>0</v>
      </c>
      <c r="AA144" s="1">
        <f t="shared" si="87"/>
        <v>0</v>
      </c>
      <c r="AB144" s="1">
        <f t="shared" si="84"/>
        <v>0</v>
      </c>
      <c r="AC144" s="357" t="e">
        <f t="shared" si="85"/>
        <v>#DIV/0!</v>
      </c>
      <c r="AD144" s="877"/>
      <c r="AE144" s="878"/>
      <c r="AF144" s="878"/>
      <c r="AG144" s="749"/>
      <c r="AH144" s="749"/>
      <c r="AI144" s="879"/>
    </row>
    <row r="145" spans="1:35" ht="21" customHeight="1" x14ac:dyDescent="0.35">
      <c r="A145" s="58"/>
      <c r="H145" s="442"/>
      <c r="N145" s="888" t="s">
        <v>145</v>
      </c>
      <c r="O145" s="888"/>
      <c r="P145" s="888"/>
      <c r="Q145" s="888"/>
      <c r="R145" s="431" t="s">
        <v>146</v>
      </c>
      <c r="S145" s="431"/>
      <c r="T145" s="431"/>
      <c r="U145" s="431"/>
      <c r="V145" s="431"/>
      <c r="W145" s="431"/>
      <c r="X145" s="431"/>
      <c r="Y145" s="431"/>
      <c r="Z145" s="431"/>
      <c r="AA145" s="431"/>
      <c r="AB145" s="431"/>
      <c r="AC145" s="431"/>
      <c r="AD145" s="880" t="s">
        <v>132</v>
      </c>
      <c r="AE145" s="881"/>
      <c r="AF145" s="881"/>
      <c r="AG145" s="881"/>
      <c r="AH145" s="881"/>
      <c r="AI145" s="882"/>
    </row>
    <row r="146" spans="1:35" ht="31.5" customHeight="1" x14ac:dyDescent="0.35">
      <c r="A146" s="617" t="s">
        <v>147</v>
      </c>
      <c r="C146" s="885" t="s">
        <v>128</v>
      </c>
      <c r="D146" s="885"/>
      <c r="E146" s="885"/>
      <c r="F146" s="885"/>
      <c r="H146" s="442"/>
      <c r="J146" s="444"/>
      <c r="K146" s="445" t="s">
        <v>35</v>
      </c>
      <c r="L146" s="445" t="s">
        <v>148</v>
      </c>
      <c r="N146" s="446" t="s">
        <v>149</v>
      </c>
      <c r="O146" s="447" t="s">
        <v>150</v>
      </c>
      <c r="P146" s="447" t="s">
        <v>138</v>
      </c>
      <c r="Q146" s="447" t="s">
        <v>151</v>
      </c>
      <c r="R146" s="749" t="s">
        <v>152</v>
      </c>
      <c r="S146" s="749"/>
      <c r="T146" s="883" t="s">
        <v>153</v>
      </c>
      <c r="U146" s="883"/>
      <c r="W146" s="425" t="s">
        <v>154</v>
      </c>
      <c r="X146" s="425"/>
      <c r="Y146" s="425"/>
      <c r="Z146" s="425"/>
      <c r="AA146" s="425"/>
      <c r="AB146" s="425"/>
      <c r="AC146" s="425"/>
      <c r="AD146" s="868"/>
      <c r="AE146" s="869"/>
      <c r="AF146" s="869"/>
      <c r="AG146" s="869"/>
      <c r="AH146" s="869"/>
      <c r="AI146" s="870"/>
    </row>
    <row r="147" spans="1:35" ht="18" customHeight="1" thickBot="1" x14ac:dyDescent="0.3">
      <c r="A147" s="639"/>
      <c r="B147" s="375"/>
      <c r="C147" s="372"/>
      <c r="D147" s="372"/>
      <c r="E147" s="372"/>
      <c r="F147" s="372"/>
      <c r="G147" s="366">
        <f>+(D147-C147)+(F147-E147)</f>
        <v>0</v>
      </c>
      <c r="H147" s="367">
        <f>+G147*1440</f>
        <v>0</v>
      </c>
      <c r="I147" s="859" t="s">
        <v>155</v>
      </c>
      <c r="J147" s="860"/>
      <c r="K147" s="373"/>
      <c r="L147" s="374"/>
      <c r="M147" s="423"/>
      <c r="N147" s="629">
        <f>+J144+L144+K144+K147+L147</f>
        <v>0</v>
      </c>
      <c r="O147" s="368">
        <f>+(Setup_and_Criteria!$K$31+(J144*Setup_and_Criteria!$F$20)+('M1_1-15th'!K144*Setup_and_Criteria!$F$21)+('M1_1-15th'!L144*Setup_and_Criteria!$F$20))+T147+(K147*Setup_and_Criteria!$F$21)+(Setup_and_Criteria!$F$22*'M1_1-15th'!L147)</f>
        <v>75</v>
      </c>
      <c r="P147" s="367">
        <f>+H147</f>
        <v>0</v>
      </c>
      <c r="Q147" s="367">
        <f>+O147-P147</f>
        <v>75</v>
      </c>
      <c r="R147" s="861"/>
      <c r="S147" s="861"/>
      <c r="T147" s="862"/>
      <c r="U147" s="863"/>
      <c r="V147" s="265" t="s">
        <v>156</v>
      </c>
      <c r="W147" s="854"/>
      <c r="X147" s="855"/>
      <c r="Y147" s="855"/>
      <c r="Z147" s="855"/>
      <c r="AA147" s="855"/>
      <c r="AB147" s="855"/>
      <c r="AC147" s="855"/>
      <c r="AD147" s="868"/>
      <c r="AE147" s="869"/>
      <c r="AF147" s="869"/>
      <c r="AG147" s="869"/>
      <c r="AH147" s="869"/>
      <c r="AI147" s="870"/>
    </row>
    <row r="148" spans="1:35" ht="15.75" thickBot="1" x14ac:dyDescent="0.3">
      <c r="A148" s="449" t="str">
        <f>+A135</f>
        <v>Password to enter data = "Enter Info"</v>
      </c>
      <c r="B148" s="450"/>
      <c r="C148" s="451"/>
      <c r="D148" s="451"/>
      <c r="E148" s="451"/>
      <c r="F148" s="451"/>
      <c r="G148" s="451"/>
      <c r="H148" s="451"/>
      <c r="I148" s="450"/>
      <c r="J148" s="451"/>
      <c r="K148" s="451"/>
      <c r="L148" s="451"/>
      <c r="M148" s="451"/>
      <c r="N148" s="451"/>
      <c r="O148" s="451"/>
      <c r="P148" s="451"/>
      <c r="Q148" s="450"/>
      <c r="R148" s="451"/>
      <c r="S148" s="451"/>
      <c r="T148" s="451"/>
      <c r="U148" s="451"/>
      <c r="V148" s="451"/>
      <c r="W148" s="451"/>
      <c r="X148" s="451"/>
      <c r="Y148" s="451"/>
      <c r="Z148" s="451"/>
      <c r="AA148" s="451"/>
      <c r="AB148" s="450"/>
      <c r="AC148" s="450"/>
      <c r="AD148" s="871"/>
      <c r="AE148" s="872"/>
      <c r="AF148" s="872"/>
      <c r="AG148" s="872"/>
      <c r="AH148" s="872"/>
      <c r="AI148" s="873"/>
    </row>
    <row r="149" spans="1:35" ht="35.25" customHeight="1" x14ac:dyDescent="0.4">
      <c r="A149" s="434" t="str">
        <f>+A136</f>
        <v>April</v>
      </c>
      <c r="B149" s="624">
        <f>+B136+1</f>
        <v>12</v>
      </c>
      <c r="C149" s="884" t="s">
        <v>128</v>
      </c>
      <c r="D149" s="884"/>
      <c r="E149" s="884"/>
      <c r="F149" s="884"/>
      <c r="G149" s="377"/>
      <c r="H149" s="377"/>
      <c r="I149" s="21"/>
      <c r="J149" s="874" t="s">
        <v>129</v>
      </c>
      <c r="K149" s="875"/>
      <c r="L149" s="875"/>
      <c r="M149" s="875"/>
      <c r="N149" s="876" t="s">
        <v>130</v>
      </c>
      <c r="O149" s="876"/>
      <c r="P149" s="876"/>
      <c r="Q149" s="876"/>
      <c r="R149" s="424" t="str">
        <f>+R136</f>
        <v xml:space="preserve"> Corrections Tracking - Check out rooms</v>
      </c>
      <c r="S149" s="424"/>
      <c r="T149" s="424"/>
      <c r="U149" s="424"/>
      <c r="V149" s="424"/>
      <c r="W149" s="424"/>
      <c r="X149" s="424"/>
      <c r="Y149" s="424"/>
      <c r="Z149" s="424"/>
      <c r="AA149" s="424"/>
      <c r="AB149" s="424"/>
      <c r="AC149" s="424"/>
      <c r="AD149" s="461" t="s">
        <v>132</v>
      </c>
      <c r="AE149" s="426"/>
      <c r="AF149" s="426"/>
      <c r="AG149" s="426"/>
      <c r="AH149" s="426"/>
      <c r="AI149" s="427"/>
    </row>
    <row r="150" spans="1:35" ht="59.25" customHeight="1" x14ac:dyDescent="0.25">
      <c r="A150" s="378" t="s">
        <v>133</v>
      </c>
      <c r="C150" s="435" t="s">
        <v>134</v>
      </c>
      <c r="D150" s="435" t="s">
        <v>135</v>
      </c>
      <c r="E150" s="435" t="s">
        <v>134</v>
      </c>
      <c r="F150" s="435" t="s">
        <v>135</v>
      </c>
      <c r="G150" s="1" t="s">
        <v>136</v>
      </c>
      <c r="H150" s="1" t="s">
        <v>108</v>
      </c>
      <c r="I150" s="436"/>
      <c r="J150" s="437" t="str">
        <f>+Setup_and_Criteria!$B$13</f>
        <v>Checkouts</v>
      </c>
      <c r="K150" s="437" t="str">
        <f>+Setup_and_Criteria!$B$14</f>
        <v>Pet Rooms</v>
      </c>
      <c r="L150" s="437" t="str">
        <f>+Setup_and_Criteria!$B$15</f>
        <v>2 Rm &amp; Jac Stes</v>
      </c>
      <c r="M150" s="438" t="str">
        <f>+Setup_and_Criteria!$B$16</f>
        <v>Stayovers</v>
      </c>
      <c r="N150" s="269" t="s">
        <v>137</v>
      </c>
      <c r="O150" s="269" t="s">
        <v>138</v>
      </c>
      <c r="P150" s="439" t="s">
        <v>139</v>
      </c>
      <c r="Q150" s="439" t="s">
        <v>140</v>
      </c>
      <c r="R150" s="440" t="str">
        <f>+Corrections!$C$8</f>
        <v>Vanity</v>
      </c>
      <c r="S150" s="440" t="str">
        <f>+Corrections!$I$8</f>
        <v>Toilet</v>
      </c>
      <c r="T150" s="440" t="str">
        <f>+Corrections!$O$8</f>
        <v>Bed/Pillows</v>
      </c>
      <c r="U150" s="440" t="str">
        <f>+Corrections!$U$8</f>
        <v>Floor</v>
      </c>
      <c r="V150" s="440" t="str">
        <f>+Corrections!$AA$8</f>
        <v>Dusting</v>
      </c>
      <c r="W150" s="440" t="str">
        <f>+Corrections!$AG$8</f>
        <v>Fridge/Micro</v>
      </c>
      <c r="X150" s="440" t="str">
        <f>+Corrections!$AM$8</f>
        <v>Tub</v>
      </c>
      <c r="Y150" s="441" t="str">
        <f>+Corrections!$AS$8</f>
        <v>Mirrors/Glass</v>
      </c>
      <c r="Z150" s="440" t="str">
        <f>+Corrections!$AY$8</f>
        <v>Stocking</v>
      </c>
      <c r="AA150" s="440" t="str">
        <f>+Corrections!$BE$8</f>
        <v>Other</v>
      </c>
      <c r="AB150" s="269" t="s">
        <v>141</v>
      </c>
      <c r="AC150" s="269" t="str">
        <f>+$AC$7</f>
        <v>Daily Corr / Inspected Checkout</v>
      </c>
      <c r="AD150" s="889" t="s">
        <v>143</v>
      </c>
      <c r="AE150" s="890"/>
      <c r="AF150" s="890"/>
      <c r="AG150" s="890"/>
      <c r="AH150" s="890"/>
      <c r="AI150" s="891"/>
    </row>
    <row r="151" spans="1:35" x14ac:dyDescent="0.25">
      <c r="A151" s="638"/>
      <c r="C151" s="369"/>
      <c r="D151" s="369"/>
      <c r="E151" s="369"/>
      <c r="F151" s="369"/>
      <c r="G151" s="264">
        <f t="shared" ref="G151:G156" si="88">+(D151-C151)+(F151-E151)</f>
        <v>0</v>
      </c>
      <c r="H151" s="442">
        <f t="shared" ref="H151:H156" si="89">+G151*1440</f>
        <v>0</v>
      </c>
      <c r="J151" s="630"/>
      <c r="K151" s="630"/>
      <c r="L151" s="630"/>
      <c r="M151" s="630"/>
      <c r="N151" s="1">
        <f>IF(C151&gt;0,((J151*Setup_and_Criteria!$F$13)+('M1_1-15th'!K151*Setup_and_Criteria!$F$14)+('M1_1-15th'!L151*Setup_and_Criteria!$F$15)+('M1_1-15th'!M151*Setup_and_Criteria!$F$16)+Setup_and_Criteria!$J$16),0)</f>
        <v>0</v>
      </c>
      <c r="O151" s="442">
        <f>+H151</f>
        <v>0</v>
      </c>
      <c r="P151" s="443">
        <f t="shared" ref="P151:P157" si="90">+N151-O151</f>
        <v>0</v>
      </c>
      <c r="Q151" s="357" t="e">
        <f t="shared" ref="Q151:Q157" si="91">O151/_xlfn.SINGLE(SUM(J151:M151))</f>
        <v>#DIV/0!</v>
      </c>
      <c r="R151" s="630"/>
      <c r="S151" s="630"/>
      <c r="T151" s="630"/>
      <c r="U151" s="630"/>
      <c r="V151" s="630"/>
      <c r="W151" s="630"/>
      <c r="X151" s="630"/>
      <c r="Y151" s="630"/>
      <c r="Z151" s="630"/>
      <c r="AA151" s="630"/>
      <c r="AB151" s="1">
        <f t="shared" ref="AB151:AB157" si="92">SUM(R151:AA151)</f>
        <v>0</v>
      </c>
      <c r="AC151" s="357" t="e">
        <f t="shared" ref="AC151:AC157" si="93">+AB151/(J151+K151+L151)</f>
        <v>#DIV/0!</v>
      </c>
      <c r="AD151" s="864" t="s">
        <v>144</v>
      </c>
      <c r="AE151" s="865"/>
      <c r="AF151" s="865"/>
      <c r="AG151" s="866"/>
      <c r="AH151" s="866"/>
      <c r="AI151" s="867"/>
    </row>
    <row r="152" spans="1:35" x14ac:dyDescent="0.25">
      <c r="A152" s="638"/>
      <c r="C152" s="369"/>
      <c r="D152" s="369"/>
      <c r="E152" s="369"/>
      <c r="F152" s="369"/>
      <c r="G152" s="264">
        <f t="shared" si="88"/>
        <v>0</v>
      </c>
      <c r="H152" s="442">
        <f t="shared" si="89"/>
        <v>0</v>
      </c>
      <c r="J152" s="630"/>
      <c r="K152" s="630"/>
      <c r="L152" s="630"/>
      <c r="M152" s="630"/>
      <c r="N152" s="1">
        <f>IF(C152&gt;0,((J152*Setup_and_Criteria!$F$13)+('M1_1-15th'!K152*Setup_and_Criteria!$F$14)+('M1_1-15th'!L152*Setup_and_Criteria!$F$15)+('M1_1-15th'!M152*Setup_and_Criteria!$F$16)+Setup_and_Criteria!$J$16),0)</f>
        <v>0</v>
      </c>
      <c r="O152" s="442">
        <f t="shared" ref="O152:O157" si="94">+H152</f>
        <v>0</v>
      </c>
      <c r="P152" s="443">
        <f t="shared" si="90"/>
        <v>0</v>
      </c>
      <c r="Q152" s="357" t="e">
        <f t="shared" si="91"/>
        <v>#DIV/0!</v>
      </c>
      <c r="R152" s="630"/>
      <c r="S152" s="630"/>
      <c r="T152" s="630"/>
      <c r="U152" s="630"/>
      <c r="V152" s="630"/>
      <c r="W152" s="630"/>
      <c r="X152" s="630"/>
      <c r="Y152" s="630"/>
      <c r="Z152" s="630"/>
      <c r="AA152" s="630"/>
      <c r="AB152" s="1">
        <f t="shared" si="92"/>
        <v>0</v>
      </c>
      <c r="AC152" s="357" t="e">
        <f t="shared" si="93"/>
        <v>#DIV/0!</v>
      </c>
      <c r="AD152" s="864"/>
      <c r="AE152" s="865"/>
      <c r="AF152" s="865"/>
      <c r="AG152" s="866"/>
      <c r="AH152" s="866"/>
      <c r="AI152" s="867"/>
    </row>
    <row r="153" spans="1:35" x14ac:dyDescent="0.25">
      <c r="A153" s="638"/>
      <c r="C153" s="630"/>
      <c r="D153" s="630"/>
      <c r="E153" s="630"/>
      <c r="F153" s="630"/>
      <c r="G153" s="264">
        <f t="shared" si="88"/>
        <v>0</v>
      </c>
      <c r="H153" s="442">
        <f t="shared" si="89"/>
        <v>0</v>
      </c>
      <c r="J153" s="630"/>
      <c r="K153" s="630"/>
      <c r="L153" s="630"/>
      <c r="M153" s="630"/>
      <c r="N153" s="1">
        <f>IF(C153&gt;0,((J153*Setup_and_Criteria!$F$13)+('M1_1-15th'!K153*Setup_and_Criteria!$F$14)+('M1_1-15th'!L153*Setup_and_Criteria!$F$15)+('M1_1-15th'!M153*Setup_and_Criteria!$F$16)+Setup_and_Criteria!$J$16),0)</f>
        <v>0</v>
      </c>
      <c r="O153" s="442">
        <f t="shared" si="94"/>
        <v>0</v>
      </c>
      <c r="P153" s="443">
        <f t="shared" si="90"/>
        <v>0</v>
      </c>
      <c r="Q153" s="357" t="e">
        <f t="shared" si="91"/>
        <v>#DIV/0!</v>
      </c>
      <c r="R153" s="630"/>
      <c r="S153" s="630"/>
      <c r="T153" s="630"/>
      <c r="U153" s="630"/>
      <c r="V153" s="630"/>
      <c r="W153" s="630"/>
      <c r="X153" s="630"/>
      <c r="Y153" s="630"/>
      <c r="Z153" s="630"/>
      <c r="AA153" s="630"/>
      <c r="AB153" s="1">
        <f t="shared" si="92"/>
        <v>0</v>
      </c>
      <c r="AC153" s="357" t="e">
        <f t="shared" si="93"/>
        <v>#DIV/0!</v>
      </c>
      <c r="AD153" s="864"/>
      <c r="AE153" s="865"/>
      <c r="AF153" s="865"/>
      <c r="AG153" s="866"/>
      <c r="AH153" s="866"/>
      <c r="AI153" s="867"/>
    </row>
    <row r="154" spans="1:35" x14ac:dyDescent="0.25">
      <c r="A154" s="638"/>
      <c r="C154" s="630"/>
      <c r="D154" s="630"/>
      <c r="E154" s="630"/>
      <c r="F154" s="630"/>
      <c r="G154" s="264">
        <f t="shared" si="88"/>
        <v>0</v>
      </c>
      <c r="H154" s="442">
        <f t="shared" si="89"/>
        <v>0</v>
      </c>
      <c r="J154" s="630"/>
      <c r="K154" s="630"/>
      <c r="L154" s="630"/>
      <c r="M154" s="630"/>
      <c r="N154" s="1">
        <f>IF(C154&gt;0,((J154*Setup_and_Criteria!$F$13)+('M1_1-15th'!K154*Setup_and_Criteria!$F$14)+('M1_1-15th'!L154*Setup_and_Criteria!$F$15)+('M1_1-15th'!M154*Setup_and_Criteria!$F$16)+Setup_and_Criteria!$J$16),0)</f>
        <v>0</v>
      </c>
      <c r="O154" s="442">
        <f t="shared" si="94"/>
        <v>0</v>
      </c>
      <c r="P154" s="443">
        <f t="shared" si="90"/>
        <v>0</v>
      </c>
      <c r="Q154" s="357" t="e">
        <f t="shared" si="91"/>
        <v>#DIV/0!</v>
      </c>
      <c r="R154" s="630"/>
      <c r="S154" s="630"/>
      <c r="T154" s="630"/>
      <c r="U154" s="630"/>
      <c r="V154" s="630"/>
      <c r="W154" s="630"/>
      <c r="X154" s="630"/>
      <c r="Y154" s="630"/>
      <c r="Z154" s="630"/>
      <c r="AA154" s="630"/>
      <c r="AB154" s="1">
        <f t="shared" si="92"/>
        <v>0</v>
      </c>
      <c r="AC154" s="357" t="e">
        <f t="shared" si="93"/>
        <v>#DIV/0!</v>
      </c>
      <c r="AD154" s="864"/>
      <c r="AE154" s="865"/>
      <c r="AF154" s="865"/>
      <c r="AG154" s="866"/>
      <c r="AH154" s="866"/>
      <c r="AI154" s="867"/>
    </row>
    <row r="155" spans="1:35" x14ac:dyDescent="0.25">
      <c r="A155" s="638"/>
      <c r="C155" s="630"/>
      <c r="D155" s="630"/>
      <c r="E155" s="630"/>
      <c r="F155" s="630"/>
      <c r="G155" s="264">
        <f t="shared" si="88"/>
        <v>0</v>
      </c>
      <c r="H155" s="442">
        <f t="shared" si="89"/>
        <v>0</v>
      </c>
      <c r="J155" s="630"/>
      <c r="K155" s="630"/>
      <c r="L155" s="630"/>
      <c r="M155" s="630"/>
      <c r="N155" s="1">
        <f>IF(C155&gt;0,((J155*Setup_and_Criteria!$F$13)+('M1_1-15th'!K155*Setup_and_Criteria!$F$14)+('M1_1-15th'!L155*Setup_and_Criteria!$F$15)+('M1_1-15th'!M155*Setup_and_Criteria!$F$16)+Setup_and_Criteria!$J$16),0)</f>
        <v>0</v>
      </c>
      <c r="O155" s="442">
        <f t="shared" si="94"/>
        <v>0</v>
      </c>
      <c r="P155" s="443">
        <f t="shared" si="90"/>
        <v>0</v>
      </c>
      <c r="Q155" s="357" t="e">
        <f t="shared" si="91"/>
        <v>#DIV/0!</v>
      </c>
      <c r="R155" s="630"/>
      <c r="S155" s="630"/>
      <c r="T155" s="630"/>
      <c r="U155" s="630"/>
      <c r="V155" s="630"/>
      <c r="W155" s="630"/>
      <c r="X155" s="630"/>
      <c r="Y155" s="630"/>
      <c r="Z155" s="630"/>
      <c r="AA155" s="630"/>
      <c r="AB155" s="1">
        <f t="shared" si="92"/>
        <v>0</v>
      </c>
      <c r="AC155" s="357" t="e">
        <f t="shared" si="93"/>
        <v>#DIV/0!</v>
      </c>
      <c r="AD155" s="864"/>
      <c r="AE155" s="865"/>
      <c r="AF155" s="865"/>
      <c r="AG155" s="866"/>
      <c r="AH155" s="866"/>
      <c r="AI155" s="867"/>
    </row>
    <row r="156" spans="1:35" ht="15.75" thickBot="1" x14ac:dyDescent="0.3">
      <c r="A156" s="638"/>
      <c r="C156" s="370"/>
      <c r="D156" s="370"/>
      <c r="E156" s="630"/>
      <c r="F156" s="630"/>
      <c r="G156" s="264">
        <f t="shared" si="88"/>
        <v>0</v>
      </c>
      <c r="H156" s="442">
        <f t="shared" si="89"/>
        <v>0</v>
      </c>
      <c r="J156" s="371"/>
      <c r="K156" s="371"/>
      <c r="L156" s="371"/>
      <c r="M156" s="371"/>
      <c r="N156" s="1">
        <f>IF(C156&gt;0,((J156*Setup_and_Criteria!$F$13)+('M1_1-15th'!K156*Setup_and_Criteria!$F$14)+('M1_1-15th'!L156*Setup_and_Criteria!$F$15)+('M1_1-15th'!M156*Setup_and_Criteria!$F$16)+Setup_and_Criteria!$J$16),0)</f>
        <v>0</v>
      </c>
      <c r="O156" s="359">
        <f t="shared" si="94"/>
        <v>0</v>
      </c>
      <c r="P156" s="383">
        <f t="shared" si="90"/>
        <v>0</v>
      </c>
      <c r="Q156" s="360" t="e">
        <f t="shared" si="91"/>
        <v>#DIV/0!</v>
      </c>
      <c r="R156" s="511"/>
      <c r="S156" s="511"/>
      <c r="T156" s="511"/>
      <c r="U156" s="511"/>
      <c r="V156" s="511"/>
      <c r="W156" s="511"/>
      <c r="X156" s="511"/>
      <c r="Y156" s="511"/>
      <c r="Z156" s="511"/>
      <c r="AA156" s="511"/>
      <c r="AB156" s="1">
        <f t="shared" si="92"/>
        <v>0</v>
      </c>
      <c r="AC156" s="357" t="e">
        <f t="shared" si="93"/>
        <v>#DIV/0!</v>
      </c>
      <c r="AD156" s="864"/>
      <c r="AE156" s="865"/>
      <c r="AF156" s="865"/>
      <c r="AG156" s="866"/>
      <c r="AH156" s="866"/>
      <c r="AI156" s="867"/>
    </row>
    <row r="157" spans="1:35" ht="15.75" thickTop="1" x14ac:dyDescent="0.25">
      <c r="A157" s="58"/>
      <c r="H157" s="442">
        <f>SUM(H151:H156)</f>
        <v>0</v>
      </c>
      <c r="J157" s="1">
        <f>SUM(J151:J156)</f>
        <v>0</v>
      </c>
      <c r="K157" s="1">
        <f>SUM(K151:K156)</f>
        <v>0</v>
      </c>
      <c r="L157" s="1">
        <f>SUM(L151:L156)</f>
        <v>0</v>
      </c>
      <c r="M157" s="1">
        <f>SUM(M151:M156)</f>
        <v>0</v>
      </c>
      <c r="N157" s="1">
        <f>SUM(N151:N156)</f>
        <v>0</v>
      </c>
      <c r="O157" s="1">
        <f t="shared" si="94"/>
        <v>0</v>
      </c>
      <c r="P157" s="443">
        <f t="shared" si="90"/>
        <v>0</v>
      </c>
      <c r="Q157" s="357" t="e">
        <f t="shared" si="91"/>
        <v>#DIV/0!</v>
      </c>
      <c r="R157" s="1">
        <f t="shared" ref="R157:AA157" si="95">SUM(R151:R156)</f>
        <v>0</v>
      </c>
      <c r="S157" s="1">
        <f t="shared" si="95"/>
        <v>0</v>
      </c>
      <c r="T157" s="1">
        <f t="shared" si="95"/>
        <v>0</v>
      </c>
      <c r="U157" s="1">
        <f t="shared" si="95"/>
        <v>0</v>
      </c>
      <c r="V157" s="1">
        <f t="shared" si="95"/>
        <v>0</v>
      </c>
      <c r="W157" s="1">
        <f t="shared" si="95"/>
        <v>0</v>
      </c>
      <c r="X157" s="1">
        <f t="shared" si="95"/>
        <v>0</v>
      </c>
      <c r="Y157" s="1">
        <f t="shared" si="95"/>
        <v>0</v>
      </c>
      <c r="Z157" s="1">
        <f t="shared" si="95"/>
        <v>0</v>
      </c>
      <c r="AA157" s="1">
        <f t="shared" si="95"/>
        <v>0</v>
      </c>
      <c r="AB157" s="1">
        <f t="shared" si="92"/>
        <v>0</v>
      </c>
      <c r="AC157" s="357" t="e">
        <f t="shared" si="93"/>
        <v>#DIV/0!</v>
      </c>
      <c r="AD157" s="877"/>
      <c r="AE157" s="878"/>
      <c r="AF157" s="878"/>
      <c r="AG157" s="749"/>
      <c r="AH157" s="749"/>
      <c r="AI157" s="879"/>
    </row>
    <row r="158" spans="1:35" ht="21" customHeight="1" x14ac:dyDescent="0.35">
      <c r="A158" s="58"/>
      <c r="H158" s="442"/>
      <c r="N158" s="888" t="s">
        <v>145</v>
      </c>
      <c r="O158" s="888"/>
      <c r="P158" s="888"/>
      <c r="Q158" s="888"/>
      <c r="R158" s="431" t="s">
        <v>146</v>
      </c>
      <c r="S158" s="431"/>
      <c r="T158" s="431"/>
      <c r="U158" s="431"/>
      <c r="V158" s="431"/>
      <c r="W158" s="431"/>
      <c r="X158" s="431"/>
      <c r="Y158" s="431"/>
      <c r="Z158" s="431"/>
      <c r="AA158" s="431"/>
      <c r="AB158" s="431"/>
      <c r="AC158" s="431"/>
      <c r="AD158" s="880" t="s">
        <v>132</v>
      </c>
      <c r="AE158" s="881"/>
      <c r="AF158" s="881"/>
      <c r="AG158" s="881"/>
      <c r="AH158" s="881"/>
      <c r="AI158" s="882"/>
    </row>
    <row r="159" spans="1:35" ht="31.5" customHeight="1" x14ac:dyDescent="0.35">
      <c r="A159" s="617" t="s">
        <v>147</v>
      </c>
      <c r="C159" s="885" t="s">
        <v>128</v>
      </c>
      <c r="D159" s="885"/>
      <c r="E159" s="885"/>
      <c r="F159" s="885"/>
      <c r="H159" s="442"/>
      <c r="J159" s="444"/>
      <c r="K159" s="445" t="s">
        <v>35</v>
      </c>
      <c r="L159" s="445" t="s">
        <v>148</v>
      </c>
      <c r="N159" s="446" t="s">
        <v>149</v>
      </c>
      <c r="O159" s="447" t="s">
        <v>150</v>
      </c>
      <c r="P159" s="447" t="s">
        <v>138</v>
      </c>
      <c r="Q159" s="447" t="s">
        <v>151</v>
      </c>
      <c r="R159" s="749" t="s">
        <v>152</v>
      </c>
      <c r="S159" s="749"/>
      <c r="T159" s="883" t="s">
        <v>153</v>
      </c>
      <c r="U159" s="883"/>
      <c r="W159" s="425" t="s">
        <v>154</v>
      </c>
      <c r="X159" s="425"/>
      <c r="Y159" s="425"/>
      <c r="Z159" s="425"/>
      <c r="AA159" s="425"/>
      <c r="AB159" s="425"/>
      <c r="AC159" s="425"/>
      <c r="AD159" s="868"/>
      <c r="AE159" s="869"/>
      <c r="AF159" s="869"/>
      <c r="AG159" s="869"/>
      <c r="AH159" s="869"/>
      <c r="AI159" s="870"/>
    </row>
    <row r="160" spans="1:35" ht="18" customHeight="1" thickBot="1" x14ac:dyDescent="0.3">
      <c r="A160" s="639"/>
      <c r="B160" s="375"/>
      <c r="C160" s="372"/>
      <c r="D160" s="372"/>
      <c r="E160" s="372"/>
      <c r="F160" s="372"/>
      <c r="G160" s="366">
        <f>+(D160-C160)+(F160-E160)</f>
        <v>0</v>
      </c>
      <c r="H160" s="367">
        <f>+G160*1440</f>
        <v>0</v>
      </c>
      <c r="I160" s="859" t="s">
        <v>155</v>
      </c>
      <c r="J160" s="860"/>
      <c r="K160" s="373"/>
      <c r="L160" s="374"/>
      <c r="M160" s="423"/>
      <c r="N160" s="629">
        <f>+J157+L157+K157+K160+L160</f>
        <v>0</v>
      </c>
      <c r="O160" s="368">
        <f>+(Setup_and_Criteria!$K$31+(J157*Setup_and_Criteria!$F$20)+('M1_1-15th'!K157*Setup_and_Criteria!$F$21)+('M1_1-15th'!L157*Setup_and_Criteria!$F$20))+T160</f>
        <v>75</v>
      </c>
      <c r="P160" s="367">
        <f>+H160</f>
        <v>0</v>
      </c>
      <c r="Q160" s="367">
        <f>+O160-P160</f>
        <v>75</v>
      </c>
      <c r="R160" s="861"/>
      <c r="S160" s="861"/>
      <c r="T160" s="862"/>
      <c r="U160" s="863"/>
      <c r="V160" s="265" t="s">
        <v>156</v>
      </c>
      <c r="W160" s="854"/>
      <c r="X160" s="855"/>
      <c r="Y160" s="855"/>
      <c r="Z160" s="855"/>
      <c r="AA160" s="855"/>
      <c r="AB160" s="855"/>
      <c r="AC160" s="855"/>
      <c r="AD160" s="868"/>
      <c r="AE160" s="869"/>
      <c r="AF160" s="869"/>
      <c r="AG160" s="869"/>
      <c r="AH160" s="869"/>
      <c r="AI160" s="870"/>
    </row>
    <row r="161" spans="1:35" ht="15.75" thickBot="1" x14ac:dyDescent="0.3">
      <c r="A161" s="449" t="str">
        <f>+A148</f>
        <v>Password to enter data = "Enter Info"</v>
      </c>
      <c r="B161" s="450"/>
      <c r="C161" s="451"/>
      <c r="D161" s="451"/>
      <c r="E161" s="451"/>
      <c r="F161" s="451"/>
      <c r="G161" s="451"/>
      <c r="H161" s="451"/>
      <c r="I161" s="450"/>
      <c r="J161" s="451"/>
      <c r="K161" s="451"/>
      <c r="L161" s="451"/>
      <c r="M161" s="451"/>
      <c r="N161" s="451"/>
      <c r="O161" s="451"/>
      <c r="P161" s="451"/>
      <c r="Q161" s="450"/>
      <c r="R161" s="451"/>
      <c r="S161" s="451"/>
      <c r="T161" s="451"/>
      <c r="U161" s="451"/>
      <c r="V161" s="451"/>
      <c r="W161" s="451"/>
      <c r="X161" s="451"/>
      <c r="Y161" s="451"/>
      <c r="Z161" s="451"/>
      <c r="AA161" s="451"/>
      <c r="AB161" s="450"/>
      <c r="AC161" s="450"/>
      <c r="AD161" s="871"/>
      <c r="AE161" s="872"/>
      <c r="AF161" s="872"/>
      <c r="AG161" s="872"/>
      <c r="AH161" s="872"/>
      <c r="AI161" s="873"/>
    </row>
    <row r="162" spans="1:35" ht="35.25" customHeight="1" x14ac:dyDescent="0.4">
      <c r="A162" s="434" t="str">
        <f>+A149</f>
        <v>April</v>
      </c>
      <c r="B162" s="624">
        <f>+B149+1</f>
        <v>13</v>
      </c>
      <c r="C162" s="884" t="s">
        <v>128</v>
      </c>
      <c r="D162" s="884"/>
      <c r="E162" s="884"/>
      <c r="F162" s="884"/>
      <c r="G162" s="377"/>
      <c r="H162" s="377"/>
      <c r="I162" s="21"/>
      <c r="J162" s="874" t="s">
        <v>129</v>
      </c>
      <c r="K162" s="875"/>
      <c r="L162" s="875"/>
      <c r="M162" s="875"/>
      <c r="N162" s="876" t="s">
        <v>130</v>
      </c>
      <c r="O162" s="876"/>
      <c r="P162" s="876"/>
      <c r="Q162" s="876"/>
      <c r="R162" s="424" t="str">
        <f>+R149</f>
        <v xml:space="preserve"> Corrections Tracking - Check out rooms</v>
      </c>
      <c r="S162" s="424"/>
      <c r="T162" s="424"/>
      <c r="U162" s="424"/>
      <c r="V162" s="424"/>
      <c r="W162" s="424"/>
      <c r="X162" s="424"/>
      <c r="Y162" s="424"/>
      <c r="Z162" s="424"/>
      <c r="AA162" s="424"/>
      <c r="AB162" s="424"/>
      <c r="AC162" s="424"/>
      <c r="AD162" s="461" t="s">
        <v>132</v>
      </c>
      <c r="AE162" s="426"/>
      <c r="AF162" s="426"/>
      <c r="AG162" s="426"/>
      <c r="AH162" s="426"/>
      <c r="AI162" s="427"/>
    </row>
    <row r="163" spans="1:35" ht="59.25" customHeight="1" x14ac:dyDescent="0.25">
      <c r="A163" s="378" t="s">
        <v>133</v>
      </c>
      <c r="C163" s="435" t="s">
        <v>134</v>
      </c>
      <c r="D163" s="435" t="s">
        <v>135</v>
      </c>
      <c r="E163" s="435" t="s">
        <v>134</v>
      </c>
      <c r="F163" s="435" t="s">
        <v>135</v>
      </c>
      <c r="G163" s="1" t="s">
        <v>136</v>
      </c>
      <c r="H163" s="1" t="s">
        <v>108</v>
      </c>
      <c r="I163" s="436"/>
      <c r="J163" s="437" t="str">
        <f>+Setup_and_Criteria!$B$13</f>
        <v>Checkouts</v>
      </c>
      <c r="K163" s="437" t="str">
        <f>+Setup_and_Criteria!$B$14</f>
        <v>Pet Rooms</v>
      </c>
      <c r="L163" s="437" t="str">
        <f>+Setup_and_Criteria!$B$15</f>
        <v>2 Rm &amp; Jac Stes</v>
      </c>
      <c r="M163" s="438" t="str">
        <f>+Setup_and_Criteria!$B$16</f>
        <v>Stayovers</v>
      </c>
      <c r="N163" s="269" t="s">
        <v>137</v>
      </c>
      <c r="O163" s="269" t="s">
        <v>138</v>
      </c>
      <c r="P163" s="439" t="s">
        <v>139</v>
      </c>
      <c r="Q163" s="439" t="s">
        <v>140</v>
      </c>
      <c r="R163" s="440" t="str">
        <f>+Corrections!$C$8</f>
        <v>Vanity</v>
      </c>
      <c r="S163" s="440" t="str">
        <f>+Corrections!$I$8</f>
        <v>Toilet</v>
      </c>
      <c r="T163" s="440" t="str">
        <f>+Corrections!$O$8</f>
        <v>Bed/Pillows</v>
      </c>
      <c r="U163" s="440" t="str">
        <f>+Corrections!$U$8</f>
        <v>Floor</v>
      </c>
      <c r="V163" s="440" t="str">
        <f>+Corrections!$AA$8</f>
        <v>Dusting</v>
      </c>
      <c r="W163" s="440" t="str">
        <f>+Corrections!$AG$8</f>
        <v>Fridge/Micro</v>
      </c>
      <c r="X163" s="440" t="str">
        <f>+Corrections!$AM$8</f>
        <v>Tub</v>
      </c>
      <c r="Y163" s="441" t="str">
        <f>+Corrections!$AS$8</f>
        <v>Mirrors/Glass</v>
      </c>
      <c r="Z163" s="440" t="str">
        <f>+Corrections!$AY$8</f>
        <v>Stocking</v>
      </c>
      <c r="AA163" s="440" t="str">
        <f>+Corrections!$BE$8</f>
        <v>Other</v>
      </c>
      <c r="AB163" s="269" t="s">
        <v>141</v>
      </c>
      <c r="AC163" s="269" t="str">
        <f>+$AC$7</f>
        <v>Daily Corr / Inspected Checkout</v>
      </c>
      <c r="AD163" s="889" t="s">
        <v>143</v>
      </c>
      <c r="AE163" s="890"/>
      <c r="AF163" s="890"/>
      <c r="AG163" s="890"/>
      <c r="AH163" s="890"/>
      <c r="AI163" s="891"/>
    </row>
    <row r="164" spans="1:35" x14ac:dyDescent="0.25">
      <c r="A164" s="638"/>
      <c r="C164" s="369"/>
      <c r="D164" s="369"/>
      <c r="E164" s="369"/>
      <c r="F164" s="369"/>
      <c r="G164" s="264">
        <f t="shared" ref="G164:G169" si="96">+(D164-C164)+(F164-E164)</f>
        <v>0</v>
      </c>
      <c r="H164" s="442">
        <f t="shared" ref="H164:H169" si="97">+G164*1440</f>
        <v>0</v>
      </c>
      <c r="J164" s="630"/>
      <c r="K164" s="630"/>
      <c r="L164" s="630"/>
      <c r="M164" s="630"/>
      <c r="N164" s="1">
        <f>IF(C164&gt;0,((J164*Setup_and_Criteria!$F$13)+('M1_1-15th'!K164*Setup_and_Criteria!$F$14)+('M1_1-15th'!L164*Setup_and_Criteria!$F$15)+('M1_1-15th'!M164*Setup_and_Criteria!$F$16)+Setup_and_Criteria!$J$16),0)</f>
        <v>0</v>
      </c>
      <c r="O164" s="442">
        <f>+H164</f>
        <v>0</v>
      </c>
      <c r="P164" s="443">
        <f t="shared" ref="P164:P169" si="98">+N164-O164</f>
        <v>0</v>
      </c>
      <c r="Q164" s="357" t="e">
        <f t="shared" ref="Q164:Q170" si="99">O164/_xlfn.SINGLE(SUM(J164:M164))</f>
        <v>#DIV/0!</v>
      </c>
      <c r="R164" s="630"/>
      <c r="S164" s="630"/>
      <c r="T164" s="630"/>
      <c r="U164" s="630"/>
      <c r="V164" s="630"/>
      <c r="W164" s="630"/>
      <c r="X164" s="630"/>
      <c r="Y164" s="630"/>
      <c r="Z164" s="630"/>
      <c r="AA164" s="630"/>
      <c r="AB164" s="1">
        <f t="shared" ref="AB164:AB170" si="100">SUM(R164:AA164)</f>
        <v>0</v>
      </c>
      <c r="AC164" s="357" t="e">
        <f t="shared" ref="AC164:AC170" si="101">+AB164/(J164+K164+L164)</f>
        <v>#DIV/0!</v>
      </c>
      <c r="AD164" s="864" t="s">
        <v>144</v>
      </c>
      <c r="AE164" s="865"/>
      <c r="AF164" s="865"/>
      <c r="AG164" s="866"/>
      <c r="AH164" s="866"/>
      <c r="AI164" s="867"/>
    </row>
    <row r="165" spans="1:35" x14ac:dyDescent="0.25">
      <c r="A165" s="638"/>
      <c r="C165" s="369"/>
      <c r="D165" s="369"/>
      <c r="E165" s="369"/>
      <c r="F165" s="369"/>
      <c r="G165" s="264">
        <f t="shared" si="96"/>
        <v>0</v>
      </c>
      <c r="H165" s="442">
        <f t="shared" si="97"/>
        <v>0</v>
      </c>
      <c r="J165" s="630"/>
      <c r="K165" s="630"/>
      <c r="L165" s="630"/>
      <c r="M165" s="630"/>
      <c r="N165" s="1">
        <f>IF(C165&gt;0,((J165*Setup_and_Criteria!$F$13)+('M1_1-15th'!K165*Setup_and_Criteria!$F$14)+('M1_1-15th'!L165*Setup_and_Criteria!$F$15)+('M1_1-15th'!M165*Setup_and_Criteria!$F$16)+Setup_and_Criteria!$J$16),0)</f>
        <v>0</v>
      </c>
      <c r="O165" s="442">
        <f t="shared" ref="O165:O170" si="102">+H165</f>
        <v>0</v>
      </c>
      <c r="P165" s="443">
        <f t="shared" si="98"/>
        <v>0</v>
      </c>
      <c r="Q165" s="357" t="e">
        <f t="shared" si="99"/>
        <v>#DIV/0!</v>
      </c>
      <c r="R165" s="630"/>
      <c r="S165" s="630"/>
      <c r="T165" s="630"/>
      <c r="U165" s="630"/>
      <c r="V165" s="630"/>
      <c r="W165" s="630"/>
      <c r="X165" s="630"/>
      <c r="Y165" s="630"/>
      <c r="Z165" s="630"/>
      <c r="AA165" s="630"/>
      <c r="AB165" s="1">
        <f t="shared" si="100"/>
        <v>0</v>
      </c>
      <c r="AC165" s="357" t="e">
        <f t="shared" si="101"/>
        <v>#DIV/0!</v>
      </c>
      <c r="AD165" s="864"/>
      <c r="AE165" s="865"/>
      <c r="AF165" s="865"/>
      <c r="AG165" s="866"/>
      <c r="AH165" s="866"/>
      <c r="AI165" s="867"/>
    </row>
    <row r="166" spans="1:35" x14ac:dyDescent="0.25">
      <c r="A166" s="638"/>
      <c r="C166" s="630"/>
      <c r="D166" s="630"/>
      <c r="E166" s="630"/>
      <c r="F166" s="630"/>
      <c r="G166" s="264">
        <f t="shared" si="96"/>
        <v>0</v>
      </c>
      <c r="H166" s="442">
        <f t="shared" si="97"/>
        <v>0</v>
      </c>
      <c r="J166" s="630"/>
      <c r="K166" s="630"/>
      <c r="L166" s="630"/>
      <c r="M166" s="630"/>
      <c r="N166" s="1">
        <f>IF(C166&gt;0,((J166*Setup_and_Criteria!$F$13)+('M1_1-15th'!K166*Setup_and_Criteria!$F$14)+('M1_1-15th'!L166*Setup_and_Criteria!$F$15)+('M1_1-15th'!M166*Setup_and_Criteria!$F$16)+Setup_and_Criteria!$J$16),0)</f>
        <v>0</v>
      </c>
      <c r="O166" s="442">
        <f t="shared" si="102"/>
        <v>0</v>
      </c>
      <c r="P166" s="443">
        <f t="shared" si="98"/>
        <v>0</v>
      </c>
      <c r="Q166" s="357" t="e">
        <f t="shared" si="99"/>
        <v>#DIV/0!</v>
      </c>
      <c r="R166" s="630"/>
      <c r="S166" s="630"/>
      <c r="T166" s="630"/>
      <c r="U166" s="630"/>
      <c r="V166" s="630"/>
      <c r="W166" s="630"/>
      <c r="X166" s="630"/>
      <c r="Y166" s="630"/>
      <c r="Z166" s="630"/>
      <c r="AA166" s="630"/>
      <c r="AB166" s="1">
        <f t="shared" si="100"/>
        <v>0</v>
      </c>
      <c r="AC166" s="357" t="e">
        <f t="shared" si="101"/>
        <v>#DIV/0!</v>
      </c>
      <c r="AD166" s="864"/>
      <c r="AE166" s="865"/>
      <c r="AF166" s="865"/>
      <c r="AG166" s="866"/>
      <c r="AH166" s="866"/>
      <c r="AI166" s="867"/>
    </row>
    <row r="167" spans="1:35" x14ac:dyDescent="0.25">
      <c r="A167" s="638"/>
      <c r="C167" s="630"/>
      <c r="D167" s="630"/>
      <c r="E167" s="630"/>
      <c r="F167" s="630"/>
      <c r="G167" s="264">
        <f t="shared" si="96"/>
        <v>0</v>
      </c>
      <c r="H167" s="442">
        <f t="shared" si="97"/>
        <v>0</v>
      </c>
      <c r="J167" s="630"/>
      <c r="K167" s="630"/>
      <c r="L167" s="630"/>
      <c r="M167" s="630"/>
      <c r="N167" s="1">
        <f>IF(C167&gt;0,((J167*Setup_and_Criteria!$F$13)+('M1_1-15th'!K167*Setup_and_Criteria!$F$14)+('M1_1-15th'!L167*Setup_and_Criteria!$F$15)+('M1_1-15th'!M167*Setup_and_Criteria!$F$16)+Setup_and_Criteria!$J$16),0)</f>
        <v>0</v>
      </c>
      <c r="O167" s="442">
        <f t="shared" si="102"/>
        <v>0</v>
      </c>
      <c r="P167" s="443">
        <f t="shared" si="98"/>
        <v>0</v>
      </c>
      <c r="Q167" s="357" t="e">
        <f t="shared" si="99"/>
        <v>#DIV/0!</v>
      </c>
      <c r="R167" s="630"/>
      <c r="S167" s="630"/>
      <c r="T167" s="630"/>
      <c r="U167" s="630"/>
      <c r="V167" s="630"/>
      <c r="W167" s="630"/>
      <c r="X167" s="630"/>
      <c r="Y167" s="630"/>
      <c r="Z167" s="630"/>
      <c r="AA167" s="630"/>
      <c r="AB167" s="1">
        <f t="shared" si="100"/>
        <v>0</v>
      </c>
      <c r="AC167" s="357" t="e">
        <f t="shared" si="101"/>
        <v>#DIV/0!</v>
      </c>
      <c r="AD167" s="864"/>
      <c r="AE167" s="865"/>
      <c r="AF167" s="865"/>
      <c r="AG167" s="866"/>
      <c r="AH167" s="866"/>
      <c r="AI167" s="867"/>
    </row>
    <row r="168" spans="1:35" x14ac:dyDescent="0.25">
      <c r="A168" s="638"/>
      <c r="C168" s="630"/>
      <c r="D168" s="630"/>
      <c r="E168" s="630"/>
      <c r="F168" s="630"/>
      <c r="G168" s="264">
        <f t="shared" si="96"/>
        <v>0</v>
      </c>
      <c r="H168" s="442">
        <f t="shared" si="97"/>
        <v>0</v>
      </c>
      <c r="J168" s="630"/>
      <c r="K168" s="630"/>
      <c r="L168" s="630"/>
      <c r="M168" s="630"/>
      <c r="N168" s="1">
        <f>IF(C168&gt;0,((J168*Setup_and_Criteria!$F$13)+('M1_1-15th'!K168*Setup_and_Criteria!$F$14)+('M1_1-15th'!L168*Setup_and_Criteria!$F$15)+('M1_1-15th'!M168*Setup_and_Criteria!$F$16)+Setup_and_Criteria!$J$16),0)</f>
        <v>0</v>
      </c>
      <c r="O168" s="442">
        <f t="shared" si="102"/>
        <v>0</v>
      </c>
      <c r="P168" s="443">
        <f t="shared" si="98"/>
        <v>0</v>
      </c>
      <c r="Q168" s="357" t="e">
        <f t="shared" si="99"/>
        <v>#DIV/0!</v>
      </c>
      <c r="R168" s="630"/>
      <c r="S168" s="630"/>
      <c r="T168" s="630"/>
      <c r="U168" s="630"/>
      <c r="V168" s="630"/>
      <c r="W168" s="630"/>
      <c r="X168" s="630"/>
      <c r="Y168" s="630"/>
      <c r="Z168" s="630"/>
      <c r="AA168" s="630"/>
      <c r="AB168" s="1">
        <f t="shared" si="100"/>
        <v>0</v>
      </c>
      <c r="AC168" s="357" t="e">
        <f t="shared" si="101"/>
        <v>#DIV/0!</v>
      </c>
      <c r="AD168" s="864"/>
      <c r="AE168" s="865"/>
      <c r="AF168" s="865"/>
      <c r="AG168" s="866"/>
      <c r="AH168" s="866"/>
      <c r="AI168" s="867"/>
    </row>
    <row r="169" spans="1:35" ht="15.75" thickBot="1" x14ac:dyDescent="0.3">
      <c r="A169" s="638"/>
      <c r="C169" s="370"/>
      <c r="D169" s="370"/>
      <c r="E169" s="630"/>
      <c r="F169" s="630"/>
      <c r="G169" s="264">
        <f t="shared" si="96"/>
        <v>0</v>
      </c>
      <c r="H169" s="442">
        <f t="shared" si="97"/>
        <v>0</v>
      </c>
      <c r="J169" s="371"/>
      <c r="K169" s="371"/>
      <c r="L169" s="371"/>
      <c r="M169" s="371"/>
      <c r="N169" s="358">
        <f>IF(C169&gt;0,((J169*Setup_and_Criteria!$F$13)+('M1_1-15th'!K169*Setup_and_Criteria!$F$14)+('M1_1-15th'!L169*Setup_and_Criteria!$F$15)+('M1_1-15th'!M169*Setup_and_Criteria!$F$16)+Setup_and_Criteria!$J$16),0)</f>
        <v>0</v>
      </c>
      <c r="O169" s="359">
        <f t="shared" si="102"/>
        <v>0</v>
      </c>
      <c r="P169" s="383">
        <f t="shared" si="98"/>
        <v>0</v>
      </c>
      <c r="Q169" s="360" t="e">
        <f t="shared" si="99"/>
        <v>#DIV/0!</v>
      </c>
      <c r="R169" s="511"/>
      <c r="S169" s="511"/>
      <c r="T169" s="511"/>
      <c r="U169" s="511"/>
      <c r="V169" s="511"/>
      <c r="W169" s="511"/>
      <c r="X169" s="511"/>
      <c r="Y169" s="511"/>
      <c r="Z169" s="511"/>
      <c r="AA169" s="511"/>
      <c r="AB169" s="1">
        <f t="shared" si="100"/>
        <v>0</v>
      </c>
      <c r="AC169" s="357" t="e">
        <f t="shared" si="101"/>
        <v>#DIV/0!</v>
      </c>
      <c r="AD169" s="864"/>
      <c r="AE169" s="865"/>
      <c r="AF169" s="865"/>
      <c r="AG169" s="866"/>
      <c r="AH169" s="866"/>
      <c r="AI169" s="867"/>
    </row>
    <row r="170" spans="1:35" ht="15.75" thickTop="1" x14ac:dyDescent="0.25">
      <c r="A170" s="58"/>
      <c r="H170" s="442">
        <f>SUM(H164:H169)</f>
        <v>0</v>
      </c>
      <c r="J170" s="1">
        <f>SUM(J164:J169)</f>
        <v>0</v>
      </c>
      <c r="K170" s="1">
        <f>SUM(K164:K169)</f>
        <v>0</v>
      </c>
      <c r="L170" s="1">
        <f>SUM(L164:L169)</f>
        <v>0</v>
      </c>
      <c r="M170" s="1">
        <f>SUM(M164:M169)</f>
        <v>0</v>
      </c>
      <c r="N170" s="1">
        <f>SUM(N164:N169)</f>
        <v>0</v>
      </c>
      <c r="O170" s="1">
        <f t="shared" si="102"/>
        <v>0</v>
      </c>
      <c r="P170" s="443">
        <f>+N170-O170</f>
        <v>0</v>
      </c>
      <c r="Q170" s="357" t="e">
        <f t="shared" si="99"/>
        <v>#DIV/0!</v>
      </c>
      <c r="R170" s="1">
        <f t="shared" ref="R170:AA170" si="103">SUM(R164:R169)</f>
        <v>0</v>
      </c>
      <c r="S170" s="1">
        <f t="shared" si="103"/>
        <v>0</v>
      </c>
      <c r="T170" s="1">
        <f t="shared" si="103"/>
        <v>0</v>
      </c>
      <c r="U170" s="1">
        <f t="shared" si="103"/>
        <v>0</v>
      </c>
      <c r="V170" s="1">
        <f t="shared" si="103"/>
        <v>0</v>
      </c>
      <c r="W170" s="1">
        <f t="shared" si="103"/>
        <v>0</v>
      </c>
      <c r="X170" s="1">
        <f t="shared" si="103"/>
        <v>0</v>
      </c>
      <c r="Y170" s="1">
        <f t="shared" si="103"/>
        <v>0</v>
      </c>
      <c r="Z170" s="1">
        <f t="shared" si="103"/>
        <v>0</v>
      </c>
      <c r="AA170" s="1">
        <f t="shared" si="103"/>
        <v>0</v>
      </c>
      <c r="AB170" s="1">
        <f t="shared" si="100"/>
        <v>0</v>
      </c>
      <c r="AC170" s="357" t="e">
        <f t="shared" si="101"/>
        <v>#DIV/0!</v>
      </c>
      <c r="AD170" s="877"/>
      <c r="AE170" s="878"/>
      <c r="AF170" s="878"/>
      <c r="AG170" s="749"/>
      <c r="AH170" s="749"/>
      <c r="AI170" s="879"/>
    </row>
    <row r="171" spans="1:35" ht="21" customHeight="1" x14ac:dyDescent="0.35">
      <c r="A171" s="58"/>
      <c r="H171" s="442"/>
      <c r="N171" s="888" t="s">
        <v>145</v>
      </c>
      <c r="O171" s="888"/>
      <c r="P171" s="888"/>
      <c r="Q171" s="888"/>
      <c r="R171" s="431" t="s">
        <v>146</v>
      </c>
      <c r="S171" s="431"/>
      <c r="T171" s="431"/>
      <c r="U171" s="431"/>
      <c r="V171" s="431"/>
      <c r="W171" s="431"/>
      <c r="X171" s="431"/>
      <c r="Y171" s="431"/>
      <c r="Z171" s="431"/>
      <c r="AA171" s="431"/>
      <c r="AB171" s="431"/>
      <c r="AC171" s="431"/>
      <c r="AD171" s="880" t="s">
        <v>132</v>
      </c>
      <c r="AE171" s="881"/>
      <c r="AF171" s="881"/>
      <c r="AG171" s="881"/>
      <c r="AH171" s="881"/>
      <c r="AI171" s="882"/>
    </row>
    <row r="172" spans="1:35" ht="31.5" customHeight="1" x14ac:dyDescent="0.35">
      <c r="A172" s="617" t="s">
        <v>147</v>
      </c>
      <c r="C172" s="885" t="s">
        <v>128</v>
      </c>
      <c r="D172" s="885"/>
      <c r="E172" s="885"/>
      <c r="F172" s="885"/>
      <c r="H172" s="442"/>
      <c r="J172" s="444"/>
      <c r="L172" s="445" t="s">
        <v>148</v>
      </c>
      <c r="N172" s="446" t="s">
        <v>149</v>
      </c>
      <c r="O172" s="447" t="s">
        <v>150</v>
      </c>
      <c r="P172" s="447" t="s">
        <v>138</v>
      </c>
      <c r="Q172" s="447" t="s">
        <v>151</v>
      </c>
      <c r="R172" s="749" t="s">
        <v>152</v>
      </c>
      <c r="S172" s="749"/>
      <c r="T172" s="883" t="s">
        <v>153</v>
      </c>
      <c r="U172" s="883"/>
      <c r="W172" s="425" t="s">
        <v>154</v>
      </c>
      <c r="X172" s="425"/>
      <c r="Y172" s="425"/>
      <c r="Z172" s="425"/>
      <c r="AA172" s="425"/>
      <c r="AB172" s="425"/>
      <c r="AC172" s="425"/>
      <c r="AD172" s="868"/>
      <c r="AE172" s="869"/>
      <c r="AF172" s="869"/>
      <c r="AG172" s="869"/>
      <c r="AH172" s="869"/>
      <c r="AI172" s="870"/>
    </row>
    <row r="173" spans="1:35" ht="18" customHeight="1" thickBot="1" x14ac:dyDescent="0.3">
      <c r="A173" s="639"/>
      <c r="B173" s="375"/>
      <c r="C173" s="372"/>
      <c r="D173" s="372"/>
      <c r="E173" s="372"/>
      <c r="F173" s="372"/>
      <c r="G173" s="366">
        <f>+(D173-C173)+(F173-E173)</f>
        <v>0</v>
      </c>
      <c r="H173" s="367">
        <f>+G173*1440</f>
        <v>0</v>
      </c>
      <c r="I173" s="859" t="s">
        <v>155</v>
      </c>
      <c r="J173" s="860"/>
      <c r="K173" s="373"/>
      <c r="L173" s="374"/>
      <c r="M173" s="423"/>
      <c r="N173" s="629">
        <f>+J170+L170+K170+K173+L173</f>
        <v>0</v>
      </c>
      <c r="O173" s="368">
        <f>+(Setup_and_Criteria!$K$31+(J170*Setup_and_Criteria!$F$20)+('M1_1-15th'!K170*Setup_and_Criteria!$F$21)+('M1_1-15th'!L170*Setup_and_Criteria!$F$20))+T173+(K173*Setup_and_Criteria!$F$21)+(Setup_and_Criteria!$F$22*'M1_1-15th'!L173)</f>
        <v>75</v>
      </c>
      <c r="P173" s="367">
        <f>+H173</f>
        <v>0</v>
      </c>
      <c r="Q173" s="367">
        <f>+O173-P173</f>
        <v>75</v>
      </c>
      <c r="R173" s="861"/>
      <c r="S173" s="861"/>
      <c r="T173" s="862"/>
      <c r="U173" s="863"/>
      <c r="V173" s="265" t="s">
        <v>156</v>
      </c>
      <c r="W173" s="854"/>
      <c r="X173" s="855"/>
      <c r="Y173" s="855"/>
      <c r="Z173" s="855"/>
      <c r="AA173" s="855"/>
      <c r="AB173" s="855"/>
      <c r="AC173" s="855"/>
      <c r="AD173" s="868"/>
      <c r="AE173" s="869"/>
      <c r="AF173" s="869"/>
      <c r="AG173" s="869"/>
      <c r="AH173" s="869"/>
      <c r="AI173" s="870"/>
    </row>
    <row r="174" spans="1:35" ht="15.75" thickBot="1" x14ac:dyDescent="0.3">
      <c r="A174" s="449" t="str">
        <f>+A161</f>
        <v>Password to enter data = "Enter Info"</v>
      </c>
      <c r="B174" s="450"/>
      <c r="C174" s="451"/>
      <c r="D174" s="451"/>
      <c r="E174" s="451"/>
      <c r="F174" s="451"/>
      <c r="G174" s="451"/>
      <c r="H174" s="451"/>
      <c r="I174" s="450"/>
      <c r="J174" s="451"/>
      <c r="K174" s="451"/>
      <c r="L174" s="451"/>
      <c r="M174" s="451"/>
      <c r="N174" s="451"/>
      <c r="O174" s="451"/>
      <c r="P174" s="451"/>
      <c r="Q174" s="450"/>
      <c r="R174" s="451"/>
      <c r="S174" s="451"/>
      <c r="T174" s="451"/>
      <c r="U174" s="451"/>
      <c r="V174" s="451"/>
      <c r="W174" s="451"/>
      <c r="X174" s="451"/>
      <c r="Y174" s="451"/>
      <c r="Z174" s="451"/>
      <c r="AA174" s="451"/>
      <c r="AB174" s="450"/>
      <c r="AC174" s="450"/>
      <c r="AD174" s="871"/>
      <c r="AE174" s="872"/>
      <c r="AF174" s="872"/>
      <c r="AG174" s="872"/>
      <c r="AH174" s="872"/>
      <c r="AI174" s="873"/>
    </row>
    <row r="175" spans="1:35" ht="35.25" customHeight="1" x14ac:dyDescent="0.4">
      <c r="A175" s="434" t="str">
        <f>+A162</f>
        <v>April</v>
      </c>
      <c r="B175" s="624">
        <f>+B162+1</f>
        <v>14</v>
      </c>
      <c r="C175" s="884" t="s">
        <v>128</v>
      </c>
      <c r="D175" s="884"/>
      <c r="E175" s="884"/>
      <c r="F175" s="884"/>
      <c r="G175" s="377"/>
      <c r="H175" s="377"/>
      <c r="I175" s="21"/>
      <c r="J175" s="874" t="s">
        <v>129</v>
      </c>
      <c r="K175" s="875"/>
      <c r="L175" s="875"/>
      <c r="M175" s="875"/>
      <c r="N175" s="876" t="s">
        <v>130</v>
      </c>
      <c r="O175" s="876"/>
      <c r="P175" s="876"/>
      <c r="Q175" s="876"/>
      <c r="R175" s="424" t="str">
        <f>+R162</f>
        <v xml:space="preserve"> Corrections Tracking - Check out rooms</v>
      </c>
      <c r="S175" s="424"/>
      <c r="T175" s="424"/>
      <c r="U175" s="424"/>
      <c r="V175" s="424"/>
      <c r="W175" s="424"/>
      <c r="X175" s="424"/>
      <c r="Y175" s="424"/>
      <c r="Z175" s="424"/>
      <c r="AA175" s="424"/>
      <c r="AB175" s="424"/>
      <c r="AC175" s="424"/>
      <c r="AD175" s="461" t="s">
        <v>132</v>
      </c>
      <c r="AE175" s="426"/>
      <c r="AF175" s="426"/>
      <c r="AG175" s="426"/>
      <c r="AH175" s="426"/>
      <c r="AI175" s="427"/>
    </row>
    <row r="176" spans="1:35" ht="59.25" customHeight="1" x14ac:dyDescent="0.25">
      <c r="A176" s="378" t="s">
        <v>133</v>
      </c>
      <c r="C176" s="435" t="s">
        <v>134</v>
      </c>
      <c r="D176" s="435" t="s">
        <v>135</v>
      </c>
      <c r="E176" s="435" t="s">
        <v>134</v>
      </c>
      <c r="F176" s="435" t="s">
        <v>135</v>
      </c>
      <c r="G176" s="1" t="s">
        <v>136</v>
      </c>
      <c r="H176" s="1" t="s">
        <v>108</v>
      </c>
      <c r="I176" s="436"/>
      <c r="J176" s="437" t="str">
        <f>+Setup_and_Criteria!$B$13</f>
        <v>Checkouts</v>
      </c>
      <c r="K176" s="437" t="str">
        <f>+Setup_and_Criteria!$B$14</f>
        <v>Pet Rooms</v>
      </c>
      <c r="L176" s="437" t="str">
        <f>+Setup_and_Criteria!$B$15</f>
        <v>2 Rm &amp; Jac Stes</v>
      </c>
      <c r="M176" s="438" t="str">
        <f>+Setup_and_Criteria!$B$16</f>
        <v>Stayovers</v>
      </c>
      <c r="N176" s="269" t="s">
        <v>137</v>
      </c>
      <c r="O176" s="269" t="s">
        <v>138</v>
      </c>
      <c r="P176" s="439" t="s">
        <v>139</v>
      </c>
      <c r="Q176" s="439" t="s">
        <v>140</v>
      </c>
      <c r="R176" s="440" t="str">
        <f>+Corrections!$C$8</f>
        <v>Vanity</v>
      </c>
      <c r="S176" s="440" t="str">
        <f>+Corrections!$I$8</f>
        <v>Toilet</v>
      </c>
      <c r="T176" s="440" t="str">
        <f>+Corrections!$O$8</f>
        <v>Bed/Pillows</v>
      </c>
      <c r="U176" s="440" t="str">
        <f>+Corrections!$U$8</f>
        <v>Floor</v>
      </c>
      <c r="V176" s="440" t="str">
        <f>+Corrections!$AA$8</f>
        <v>Dusting</v>
      </c>
      <c r="W176" s="440" t="str">
        <f>+Corrections!$AG$8</f>
        <v>Fridge/Micro</v>
      </c>
      <c r="X176" s="440" t="str">
        <f>+Corrections!$AM$8</f>
        <v>Tub</v>
      </c>
      <c r="Y176" s="441" t="str">
        <f>+Corrections!$AS$8</f>
        <v>Mirrors/Glass</v>
      </c>
      <c r="Z176" s="440" t="str">
        <f>+Corrections!$AY$8</f>
        <v>Stocking</v>
      </c>
      <c r="AA176" s="440" t="str">
        <f>+Corrections!$BE$8</f>
        <v>Other</v>
      </c>
      <c r="AB176" s="269" t="s">
        <v>141</v>
      </c>
      <c r="AC176" s="269" t="str">
        <f>+$AC$7</f>
        <v>Daily Corr / Inspected Checkout</v>
      </c>
      <c r="AD176" s="889" t="s">
        <v>143</v>
      </c>
      <c r="AE176" s="890"/>
      <c r="AF176" s="890"/>
      <c r="AG176" s="890"/>
      <c r="AH176" s="890"/>
      <c r="AI176" s="891"/>
    </row>
    <row r="177" spans="1:35" x14ac:dyDescent="0.25">
      <c r="A177" s="638"/>
      <c r="C177" s="369"/>
      <c r="D177" s="369"/>
      <c r="E177" s="369"/>
      <c r="F177" s="369"/>
      <c r="G177" s="264">
        <f t="shared" ref="G177:G182" si="104">+(D177-C177)+(F177-E177)</f>
        <v>0</v>
      </c>
      <c r="H177" s="442">
        <f t="shared" ref="H177:H182" si="105">+G177*1440</f>
        <v>0</v>
      </c>
      <c r="J177" s="630"/>
      <c r="K177" s="630"/>
      <c r="L177" s="630"/>
      <c r="M177" s="630"/>
      <c r="N177" s="1">
        <f>IF(C177&gt;0,((J177*Setup_and_Criteria!$F$13)+('M1_1-15th'!K177*Setup_and_Criteria!$F$14)+('M1_1-15th'!L177*Setup_and_Criteria!$F$15)+('M1_1-15th'!M177*Setup_and_Criteria!$F$16)+Setup_and_Criteria!$J$16),0)</f>
        <v>0</v>
      </c>
      <c r="O177" s="442">
        <f>+H177</f>
        <v>0</v>
      </c>
      <c r="P177" s="443">
        <f t="shared" ref="P177:P183" si="106">+N177-O177</f>
        <v>0</v>
      </c>
      <c r="Q177" s="357" t="e">
        <f t="shared" ref="Q177:Q183" si="107">O177/_xlfn.SINGLE(SUM(J177:M177))</f>
        <v>#DIV/0!</v>
      </c>
      <c r="R177" s="630"/>
      <c r="S177" s="630"/>
      <c r="T177" s="630"/>
      <c r="U177" s="630"/>
      <c r="V177" s="630"/>
      <c r="W177" s="630"/>
      <c r="X177" s="630"/>
      <c r="Y177" s="630"/>
      <c r="Z177" s="630"/>
      <c r="AA177" s="630"/>
      <c r="AB177" s="1">
        <f t="shared" ref="AB177:AB183" si="108">SUM(R177:AA177)</f>
        <v>0</v>
      </c>
      <c r="AC177" s="357" t="e">
        <f t="shared" ref="AC177:AC183" si="109">+AB177/(J177+K177+L177)</f>
        <v>#DIV/0!</v>
      </c>
      <c r="AD177" s="864" t="s">
        <v>144</v>
      </c>
      <c r="AE177" s="865"/>
      <c r="AF177" s="865"/>
      <c r="AG177" s="866"/>
      <c r="AH177" s="866"/>
      <c r="AI177" s="867"/>
    </row>
    <row r="178" spans="1:35" x14ac:dyDescent="0.25">
      <c r="A178" s="638"/>
      <c r="C178" s="369"/>
      <c r="D178" s="369"/>
      <c r="E178" s="369"/>
      <c r="F178" s="369"/>
      <c r="G178" s="264">
        <f t="shared" si="104"/>
        <v>0</v>
      </c>
      <c r="H178" s="442">
        <f t="shared" si="105"/>
        <v>0</v>
      </c>
      <c r="J178" s="630"/>
      <c r="K178" s="630"/>
      <c r="L178" s="630"/>
      <c r="M178" s="630"/>
      <c r="N178" s="1">
        <f>IF(C178&gt;0,((J178*Setup_and_Criteria!$F$13)+('M1_1-15th'!K178*Setup_and_Criteria!$F$14)+('M1_1-15th'!L178*Setup_and_Criteria!$F$15)+('M1_1-15th'!M178*Setup_and_Criteria!$F$16)+Setup_and_Criteria!$J$16),0)</f>
        <v>0</v>
      </c>
      <c r="O178" s="442">
        <f t="shared" ref="O178:O183" si="110">+H178</f>
        <v>0</v>
      </c>
      <c r="P178" s="443">
        <f t="shared" si="106"/>
        <v>0</v>
      </c>
      <c r="Q178" s="357" t="e">
        <f t="shared" si="107"/>
        <v>#DIV/0!</v>
      </c>
      <c r="R178" s="630"/>
      <c r="S178" s="630"/>
      <c r="T178" s="630"/>
      <c r="U178" s="630"/>
      <c r="V178" s="630"/>
      <c r="W178" s="630"/>
      <c r="X178" s="630"/>
      <c r="Y178" s="630"/>
      <c r="Z178" s="630"/>
      <c r="AA178" s="630"/>
      <c r="AB178" s="1">
        <f t="shared" si="108"/>
        <v>0</v>
      </c>
      <c r="AC178" s="357" t="e">
        <f t="shared" si="109"/>
        <v>#DIV/0!</v>
      </c>
      <c r="AD178" s="864"/>
      <c r="AE178" s="865"/>
      <c r="AF178" s="865"/>
      <c r="AG178" s="866"/>
      <c r="AH178" s="866"/>
      <c r="AI178" s="867"/>
    </row>
    <row r="179" spans="1:35" x14ac:dyDescent="0.25">
      <c r="A179" s="638"/>
      <c r="C179" s="369"/>
      <c r="D179" s="369"/>
      <c r="E179" s="369"/>
      <c r="F179" s="369"/>
      <c r="G179" s="264">
        <f t="shared" si="104"/>
        <v>0</v>
      </c>
      <c r="H179" s="442">
        <f t="shared" si="105"/>
        <v>0</v>
      </c>
      <c r="J179" s="630"/>
      <c r="K179" s="630"/>
      <c r="L179" s="630"/>
      <c r="M179" s="630"/>
      <c r="N179" s="1">
        <f>IF(C179&gt;0,((J179*Setup_and_Criteria!$F$13)+('M1_1-15th'!K179*Setup_and_Criteria!$F$14)+('M1_1-15th'!L179*Setup_and_Criteria!$F$15)+('M1_1-15th'!M179*Setup_and_Criteria!$F$16)+Setup_and_Criteria!$J$16),0)</f>
        <v>0</v>
      </c>
      <c r="O179" s="442">
        <f t="shared" si="110"/>
        <v>0</v>
      </c>
      <c r="P179" s="443">
        <f t="shared" si="106"/>
        <v>0</v>
      </c>
      <c r="Q179" s="357" t="e">
        <f t="shared" si="107"/>
        <v>#DIV/0!</v>
      </c>
      <c r="R179" s="630"/>
      <c r="S179" s="630"/>
      <c r="T179" s="630"/>
      <c r="U179" s="630"/>
      <c r="V179" s="630"/>
      <c r="W179" s="630"/>
      <c r="X179" s="630"/>
      <c r="Y179" s="630"/>
      <c r="Z179" s="630"/>
      <c r="AA179" s="630"/>
      <c r="AB179" s="1">
        <f t="shared" si="108"/>
        <v>0</v>
      </c>
      <c r="AC179" s="357" t="e">
        <f t="shared" si="109"/>
        <v>#DIV/0!</v>
      </c>
      <c r="AD179" s="864"/>
      <c r="AE179" s="865"/>
      <c r="AF179" s="865"/>
      <c r="AG179" s="866"/>
      <c r="AH179" s="866"/>
      <c r="AI179" s="867"/>
    </row>
    <row r="180" spans="1:35" x14ac:dyDescent="0.25">
      <c r="A180" s="638"/>
      <c r="C180" s="630"/>
      <c r="D180" s="630"/>
      <c r="E180" s="630"/>
      <c r="F180" s="630"/>
      <c r="G180" s="264">
        <f t="shared" si="104"/>
        <v>0</v>
      </c>
      <c r="H180" s="442">
        <f t="shared" si="105"/>
        <v>0</v>
      </c>
      <c r="J180" s="630"/>
      <c r="K180" s="630"/>
      <c r="L180" s="630"/>
      <c r="M180" s="630"/>
      <c r="N180" s="1">
        <f>IF(C180&gt;0,((J180*Setup_and_Criteria!$F$13)+('M1_1-15th'!K180*Setup_and_Criteria!$F$14)+('M1_1-15th'!L180*Setup_and_Criteria!$F$15)+('M1_1-15th'!M180*Setup_and_Criteria!$F$16)+Setup_and_Criteria!$J$16),0)</f>
        <v>0</v>
      </c>
      <c r="O180" s="442">
        <f t="shared" si="110"/>
        <v>0</v>
      </c>
      <c r="P180" s="443">
        <f t="shared" si="106"/>
        <v>0</v>
      </c>
      <c r="Q180" s="357" t="e">
        <f t="shared" si="107"/>
        <v>#DIV/0!</v>
      </c>
      <c r="R180" s="630"/>
      <c r="S180" s="630"/>
      <c r="T180" s="630"/>
      <c r="U180" s="630"/>
      <c r="V180" s="630"/>
      <c r="W180" s="630"/>
      <c r="X180" s="630"/>
      <c r="Y180" s="630"/>
      <c r="Z180" s="630"/>
      <c r="AA180" s="630"/>
      <c r="AB180" s="1">
        <f t="shared" si="108"/>
        <v>0</v>
      </c>
      <c r="AC180" s="357" t="e">
        <f t="shared" si="109"/>
        <v>#DIV/0!</v>
      </c>
      <c r="AD180" s="864"/>
      <c r="AE180" s="865"/>
      <c r="AF180" s="865"/>
      <c r="AG180" s="866"/>
      <c r="AH180" s="866"/>
      <c r="AI180" s="867"/>
    </row>
    <row r="181" spans="1:35" x14ac:dyDescent="0.25">
      <c r="A181" s="638"/>
      <c r="C181" s="630"/>
      <c r="D181" s="630"/>
      <c r="E181" s="630"/>
      <c r="F181" s="630"/>
      <c r="G181" s="264">
        <f t="shared" si="104"/>
        <v>0</v>
      </c>
      <c r="H181" s="442">
        <f t="shared" si="105"/>
        <v>0</v>
      </c>
      <c r="J181" s="630"/>
      <c r="K181" s="630"/>
      <c r="L181" s="630"/>
      <c r="M181" s="630"/>
      <c r="N181" s="1">
        <f>IF(C181&gt;0,((J181*Setup_and_Criteria!$F$13)+('M1_1-15th'!K181*Setup_and_Criteria!$F$14)+('M1_1-15th'!L181*Setup_and_Criteria!$F$15)+('M1_1-15th'!M181*Setup_and_Criteria!$F$16)+Setup_and_Criteria!$J$16),0)</f>
        <v>0</v>
      </c>
      <c r="O181" s="442">
        <f t="shared" si="110"/>
        <v>0</v>
      </c>
      <c r="P181" s="443">
        <f t="shared" si="106"/>
        <v>0</v>
      </c>
      <c r="Q181" s="357" t="e">
        <f t="shared" si="107"/>
        <v>#DIV/0!</v>
      </c>
      <c r="R181" s="630"/>
      <c r="S181" s="630"/>
      <c r="T181" s="630"/>
      <c r="U181" s="630"/>
      <c r="V181" s="630"/>
      <c r="W181" s="630"/>
      <c r="X181" s="630"/>
      <c r="Y181" s="630"/>
      <c r="Z181" s="630"/>
      <c r="AA181" s="630"/>
      <c r="AB181" s="1">
        <f t="shared" si="108"/>
        <v>0</v>
      </c>
      <c r="AC181" s="357" t="e">
        <f t="shared" si="109"/>
        <v>#DIV/0!</v>
      </c>
      <c r="AD181" s="864"/>
      <c r="AE181" s="865"/>
      <c r="AF181" s="865"/>
      <c r="AG181" s="866"/>
      <c r="AH181" s="866"/>
      <c r="AI181" s="867"/>
    </row>
    <row r="182" spans="1:35" ht="15.75" thickBot="1" x14ac:dyDescent="0.3">
      <c r="A182" s="638"/>
      <c r="C182" s="370"/>
      <c r="D182" s="370"/>
      <c r="E182" s="630"/>
      <c r="F182" s="630"/>
      <c r="G182" s="264">
        <f t="shared" si="104"/>
        <v>0</v>
      </c>
      <c r="H182" s="442">
        <f t="shared" si="105"/>
        <v>0</v>
      </c>
      <c r="J182" s="371"/>
      <c r="K182" s="371"/>
      <c r="L182" s="371"/>
      <c r="M182" s="371"/>
      <c r="N182" s="358">
        <f>IF(C182&gt;0,((J182*Setup_and_Criteria!$F$13)+('M1_1-15th'!K182*Setup_and_Criteria!$F$14)+('M1_1-15th'!L182*Setup_and_Criteria!$F$15)+('M1_1-15th'!M182*Setup_and_Criteria!$F$16)+Setup_and_Criteria!$J$16),0)</f>
        <v>0</v>
      </c>
      <c r="O182" s="359">
        <f t="shared" si="110"/>
        <v>0</v>
      </c>
      <c r="P182" s="383">
        <f t="shared" si="106"/>
        <v>0</v>
      </c>
      <c r="Q182" s="360" t="e">
        <f t="shared" si="107"/>
        <v>#DIV/0!</v>
      </c>
      <c r="R182" s="511"/>
      <c r="S182" s="511"/>
      <c r="T182" s="511"/>
      <c r="U182" s="511"/>
      <c r="V182" s="511"/>
      <c r="W182" s="511"/>
      <c r="X182" s="511"/>
      <c r="Y182" s="511"/>
      <c r="Z182" s="511"/>
      <c r="AA182" s="511"/>
      <c r="AB182" s="1">
        <f t="shared" si="108"/>
        <v>0</v>
      </c>
      <c r="AC182" s="357" t="e">
        <f t="shared" si="109"/>
        <v>#DIV/0!</v>
      </c>
      <c r="AD182" s="864"/>
      <c r="AE182" s="865"/>
      <c r="AF182" s="865"/>
      <c r="AG182" s="866"/>
      <c r="AH182" s="866"/>
      <c r="AI182" s="867"/>
    </row>
    <row r="183" spans="1:35" ht="15.75" thickTop="1" x14ac:dyDescent="0.25">
      <c r="A183" s="58"/>
      <c r="H183" s="442">
        <f>SUM(H177:H182)</f>
        <v>0</v>
      </c>
      <c r="J183" s="1">
        <f>SUM(J177:J182)</f>
        <v>0</v>
      </c>
      <c r="K183" s="1">
        <f>SUM(K177:K182)</f>
        <v>0</v>
      </c>
      <c r="L183" s="1">
        <f>SUM(L177:L182)</f>
        <v>0</v>
      </c>
      <c r="M183" s="1">
        <f>SUM(M177:M182)</f>
        <v>0</v>
      </c>
      <c r="N183" s="1">
        <f>SUM(N177:N182)</f>
        <v>0</v>
      </c>
      <c r="O183" s="1">
        <f t="shared" si="110"/>
        <v>0</v>
      </c>
      <c r="P183" s="443">
        <f t="shared" si="106"/>
        <v>0</v>
      </c>
      <c r="Q183" s="357" t="e">
        <f t="shared" si="107"/>
        <v>#DIV/0!</v>
      </c>
      <c r="R183" s="1">
        <f t="shared" ref="R183:AA183" si="111">SUM(R177:R182)</f>
        <v>0</v>
      </c>
      <c r="S183" s="1">
        <f t="shared" si="111"/>
        <v>0</v>
      </c>
      <c r="T183" s="1">
        <f t="shared" si="111"/>
        <v>0</v>
      </c>
      <c r="U183" s="1">
        <f t="shared" si="111"/>
        <v>0</v>
      </c>
      <c r="V183" s="1">
        <f t="shared" si="111"/>
        <v>0</v>
      </c>
      <c r="W183" s="1">
        <f t="shared" si="111"/>
        <v>0</v>
      </c>
      <c r="X183" s="1">
        <f t="shared" si="111"/>
        <v>0</v>
      </c>
      <c r="Y183" s="1">
        <f t="shared" si="111"/>
        <v>0</v>
      </c>
      <c r="Z183" s="1">
        <f t="shared" si="111"/>
        <v>0</v>
      </c>
      <c r="AA183" s="1">
        <f t="shared" si="111"/>
        <v>0</v>
      </c>
      <c r="AB183" s="1">
        <f t="shared" si="108"/>
        <v>0</v>
      </c>
      <c r="AC183" s="357" t="e">
        <f t="shared" si="109"/>
        <v>#DIV/0!</v>
      </c>
      <c r="AD183" s="877"/>
      <c r="AE183" s="878"/>
      <c r="AF183" s="878"/>
      <c r="AG183" s="749"/>
      <c r="AH183" s="749"/>
      <c r="AI183" s="879"/>
    </row>
    <row r="184" spans="1:35" ht="21" customHeight="1" x14ac:dyDescent="0.35">
      <c r="A184" s="58"/>
      <c r="H184" s="442"/>
      <c r="N184" s="888" t="s">
        <v>145</v>
      </c>
      <c r="O184" s="888"/>
      <c r="P184" s="888"/>
      <c r="Q184" s="888"/>
      <c r="R184" s="431" t="s">
        <v>146</v>
      </c>
      <c r="S184" s="431"/>
      <c r="T184" s="431"/>
      <c r="U184" s="431"/>
      <c r="V184" s="431"/>
      <c r="W184" s="431"/>
      <c r="X184" s="431"/>
      <c r="Y184" s="431"/>
      <c r="Z184" s="431"/>
      <c r="AA184" s="431"/>
      <c r="AB184" s="431"/>
      <c r="AC184" s="431"/>
      <c r="AD184" s="880" t="s">
        <v>132</v>
      </c>
      <c r="AE184" s="881"/>
      <c r="AF184" s="881"/>
      <c r="AG184" s="881"/>
      <c r="AH184" s="881"/>
      <c r="AI184" s="882"/>
    </row>
    <row r="185" spans="1:35" ht="31.5" customHeight="1" x14ac:dyDescent="0.35">
      <c r="A185" s="617" t="s">
        <v>147</v>
      </c>
      <c r="C185" s="885" t="s">
        <v>128</v>
      </c>
      <c r="D185" s="885"/>
      <c r="E185" s="885"/>
      <c r="F185" s="885"/>
      <c r="H185" s="442"/>
      <c r="J185" s="444"/>
      <c r="K185" s="445" t="s">
        <v>35</v>
      </c>
      <c r="L185" s="445" t="s">
        <v>148</v>
      </c>
      <c r="N185" s="446" t="s">
        <v>149</v>
      </c>
      <c r="O185" s="447" t="s">
        <v>150</v>
      </c>
      <c r="P185" s="447" t="s">
        <v>138</v>
      </c>
      <c r="Q185" s="447" t="s">
        <v>151</v>
      </c>
      <c r="R185" s="749" t="s">
        <v>152</v>
      </c>
      <c r="S185" s="749"/>
      <c r="T185" s="883" t="s">
        <v>153</v>
      </c>
      <c r="U185" s="883"/>
      <c r="W185" s="425" t="s">
        <v>154</v>
      </c>
      <c r="X185" s="425"/>
      <c r="Y185" s="425"/>
      <c r="Z185" s="425"/>
      <c r="AA185" s="425"/>
      <c r="AB185" s="425"/>
      <c r="AC185" s="425"/>
      <c r="AD185" s="868"/>
      <c r="AE185" s="869"/>
      <c r="AF185" s="869"/>
      <c r="AG185" s="869"/>
      <c r="AH185" s="869"/>
      <c r="AI185" s="870"/>
    </row>
    <row r="186" spans="1:35" ht="18" customHeight="1" thickBot="1" x14ac:dyDescent="0.3">
      <c r="A186" s="639"/>
      <c r="B186" s="375"/>
      <c r="C186" s="372"/>
      <c r="D186" s="372"/>
      <c r="E186" s="372"/>
      <c r="F186" s="372"/>
      <c r="G186" s="366">
        <f>+(D186-C186)+(F186-E186)</f>
        <v>0</v>
      </c>
      <c r="H186" s="367">
        <f>+G186*1440</f>
        <v>0</v>
      </c>
      <c r="I186" s="859" t="s">
        <v>155</v>
      </c>
      <c r="J186" s="860"/>
      <c r="K186" s="373"/>
      <c r="L186" s="374"/>
      <c r="M186" s="423"/>
      <c r="N186" s="629">
        <f>+J183+L183+K183+K186+L186</f>
        <v>0</v>
      </c>
      <c r="O186" s="368">
        <f>+(Setup_and_Criteria!$K$31+(J183*Setup_and_Criteria!$F$20)+('M1_1-15th'!K183*Setup_and_Criteria!$F$21)+('M1_1-15th'!L183*Setup_and_Criteria!$F$20))+T186+(K186*Setup_and_Criteria!$F$21)+(Setup_and_Criteria!$F$22*'M1_1-15th'!L186)</f>
        <v>195</v>
      </c>
      <c r="P186" s="367">
        <f>+H186</f>
        <v>0</v>
      </c>
      <c r="Q186" s="367">
        <f>+O186-P186</f>
        <v>195</v>
      </c>
      <c r="R186" s="861" t="s">
        <v>249</v>
      </c>
      <c r="S186" s="861"/>
      <c r="T186" s="862">
        <v>120</v>
      </c>
      <c r="U186" s="863"/>
      <c r="V186" s="265" t="s">
        <v>156</v>
      </c>
      <c r="W186" s="854" t="s">
        <v>158</v>
      </c>
      <c r="X186" s="855"/>
      <c r="Y186" s="855"/>
      <c r="Z186" s="855"/>
      <c r="AA186" s="855"/>
      <c r="AB186" s="855"/>
      <c r="AC186" s="855"/>
      <c r="AD186" s="868"/>
      <c r="AE186" s="869"/>
      <c r="AF186" s="869"/>
      <c r="AG186" s="869"/>
      <c r="AH186" s="869"/>
      <c r="AI186" s="870"/>
    </row>
    <row r="187" spans="1:35" ht="15.75" thickBot="1" x14ac:dyDescent="0.3">
      <c r="A187" s="449" t="str">
        <f>+A174</f>
        <v>Password to enter data = "Enter Info"</v>
      </c>
      <c r="B187" s="450"/>
      <c r="C187" s="451"/>
      <c r="D187" s="451"/>
      <c r="E187" s="451"/>
      <c r="F187" s="451"/>
      <c r="G187" s="451"/>
      <c r="H187" s="451"/>
      <c r="I187" s="450"/>
      <c r="J187" s="451"/>
      <c r="K187" s="451"/>
      <c r="L187" s="451"/>
      <c r="M187" s="451"/>
      <c r="N187" s="451"/>
      <c r="O187" s="451"/>
      <c r="P187" s="451"/>
      <c r="Q187" s="450"/>
      <c r="R187" s="451"/>
      <c r="S187" s="451"/>
      <c r="T187" s="451"/>
      <c r="U187" s="451"/>
      <c r="V187" s="451"/>
      <c r="W187" s="451"/>
      <c r="X187" s="451"/>
      <c r="Y187" s="451"/>
      <c r="Z187" s="451"/>
      <c r="AA187" s="451"/>
      <c r="AB187" s="450"/>
      <c r="AC187" s="450"/>
      <c r="AD187" s="871"/>
      <c r="AE187" s="872"/>
      <c r="AF187" s="872"/>
      <c r="AG187" s="872"/>
      <c r="AH187" s="872"/>
      <c r="AI187" s="873"/>
    </row>
    <row r="188" spans="1:35" ht="35.25" customHeight="1" x14ac:dyDescent="0.4">
      <c r="A188" s="434" t="str">
        <f>+A175</f>
        <v>April</v>
      </c>
      <c r="B188" s="624">
        <f>+B175+1</f>
        <v>15</v>
      </c>
      <c r="C188" s="884" t="s">
        <v>128</v>
      </c>
      <c r="D188" s="884"/>
      <c r="E188" s="884"/>
      <c r="F188" s="884"/>
      <c r="G188" s="377"/>
      <c r="H188" s="377"/>
      <c r="I188" s="21"/>
      <c r="J188" s="874" t="s">
        <v>129</v>
      </c>
      <c r="K188" s="875"/>
      <c r="L188" s="875"/>
      <c r="M188" s="875"/>
      <c r="N188" s="876" t="s">
        <v>130</v>
      </c>
      <c r="O188" s="876"/>
      <c r="P188" s="876"/>
      <c r="Q188" s="876"/>
      <c r="R188" s="424" t="str">
        <f>+R175</f>
        <v xml:space="preserve"> Corrections Tracking - Check out rooms</v>
      </c>
      <c r="S188" s="424"/>
      <c r="T188" s="424"/>
      <c r="U188" s="424"/>
      <c r="V188" s="424"/>
      <c r="W188" s="424"/>
      <c r="X188" s="424"/>
      <c r="Y188" s="424"/>
      <c r="Z188" s="424"/>
      <c r="AA188" s="424"/>
      <c r="AB188" s="424"/>
      <c r="AC188" s="424"/>
      <c r="AD188" s="461" t="s">
        <v>132</v>
      </c>
      <c r="AE188" s="426"/>
      <c r="AF188" s="426"/>
      <c r="AG188" s="426"/>
      <c r="AH188" s="426"/>
      <c r="AI188" s="427"/>
    </row>
    <row r="189" spans="1:35" ht="59.25" customHeight="1" x14ac:dyDescent="0.25">
      <c r="A189" s="378" t="s">
        <v>133</v>
      </c>
      <c r="C189" s="435" t="s">
        <v>134</v>
      </c>
      <c r="D189" s="435" t="s">
        <v>135</v>
      </c>
      <c r="E189" s="435" t="s">
        <v>134</v>
      </c>
      <c r="F189" s="435" t="s">
        <v>135</v>
      </c>
      <c r="G189" s="1" t="s">
        <v>136</v>
      </c>
      <c r="H189" s="1" t="s">
        <v>108</v>
      </c>
      <c r="I189" s="436"/>
      <c r="J189" s="437" t="str">
        <f>+Setup_and_Criteria!$B$13</f>
        <v>Checkouts</v>
      </c>
      <c r="K189" s="437" t="str">
        <f>+Setup_and_Criteria!$B$14</f>
        <v>Pet Rooms</v>
      </c>
      <c r="L189" s="437" t="str">
        <f>+Setup_and_Criteria!$B$15</f>
        <v>2 Rm &amp; Jac Stes</v>
      </c>
      <c r="M189" s="438" t="str">
        <f>+Setup_and_Criteria!$B$16</f>
        <v>Stayovers</v>
      </c>
      <c r="N189" s="269" t="s">
        <v>137</v>
      </c>
      <c r="O189" s="269" t="s">
        <v>138</v>
      </c>
      <c r="P189" s="439" t="s">
        <v>139</v>
      </c>
      <c r="Q189" s="439" t="s">
        <v>140</v>
      </c>
      <c r="R189" s="440" t="str">
        <f>+Corrections!$C$8</f>
        <v>Vanity</v>
      </c>
      <c r="S189" s="440" t="str">
        <f>+Corrections!$I$8</f>
        <v>Toilet</v>
      </c>
      <c r="T189" s="440" t="str">
        <f>+Corrections!$O$8</f>
        <v>Bed/Pillows</v>
      </c>
      <c r="U189" s="440" t="str">
        <f>+Corrections!$U$8</f>
        <v>Floor</v>
      </c>
      <c r="V189" s="440" t="str">
        <f>+Corrections!$AA$8</f>
        <v>Dusting</v>
      </c>
      <c r="W189" s="440" t="str">
        <f>+Corrections!$AG$8</f>
        <v>Fridge/Micro</v>
      </c>
      <c r="X189" s="440" t="str">
        <f>+Corrections!$AM$8</f>
        <v>Tub</v>
      </c>
      <c r="Y189" s="441" t="str">
        <f>+Corrections!$AS$8</f>
        <v>Mirrors/Glass</v>
      </c>
      <c r="Z189" s="440" t="str">
        <f>+Corrections!$AY$8</f>
        <v>Stocking</v>
      </c>
      <c r="AA189" s="440" t="str">
        <f>+Corrections!$BE$8</f>
        <v>Other</v>
      </c>
      <c r="AB189" s="269" t="s">
        <v>141</v>
      </c>
      <c r="AC189" s="269" t="str">
        <f>+$AC$7</f>
        <v>Daily Corr / Inspected Checkout</v>
      </c>
      <c r="AD189" s="889" t="s">
        <v>143</v>
      </c>
      <c r="AE189" s="890"/>
      <c r="AF189" s="890"/>
      <c r="AG189" s="890"/>
      <c r="AH189" s="890"/>
      <c r="AI189" s="891"/>
    </row>
    <row r="190" spans="1:35" x14ac:dyDescent="0.25">
      <c r="A190" s="638"/>
      <c r="C190" s="369"/>
      <c r="D190" s="369"/>
      <c r="E190" s="369"/>
      <c r="F190" s="369"/>
      <c r="G190" s="264">
        <f t="shared" ref="G190:G195" si="112">+(D190-C190)+(F190-E190)</f>
        <v>0</v>
      </c>
      <c r="H190" s="442">
        <f t="shared" ref="H190:H195" si="113">+G190*1440</f>
        <v>0</v>
      </c>
      <c r="J190" s="630"/>
      <c r="K190" s="630"/>
      <c r="L190" s="630"/>
      <c r="M190" s="630"/>
      <c r="N190" s="1">
        <f>IF(C190&gt;0,((J190*Setup_and_Criteria!$F$13)+('M1_1-15th'!K190*Setup_and_Criteria!$F$14)+('M1_1-15th'!L190*Setup_and_Criteria!$F$15)+('M1_1-15th'!M190*Setup_and_Criteria!$F$16)+Setup_and_Criteria!$J$16),0)</f>
        <v>0</v>
      </c>
      <c r="O190" s="442">
        <f>+H190</f>
        <v>0</v>
      </c>
      <c r="P190" s="443">
        <f t="shared" ref="P190:P196" si="114">+N190-O190</f>
        <v>0</v>
      </c>
      <c r="Q190" s="357" t="e">
        <f t="shared" ref="Q190:Q196" si="115">O190/_xlfn.SINGLE(SUM(J190:M190))</f>
        <v>#DIV/0!</v>
      </c>
      <c r="R190" s="630"/>
      <c r="S190" s="630"/>
      <c r="T190" s="630"/>
      <c r="U190" s="630"/>
      <c r="V190" s="630"/>
      <c r="W190" s="630"/>
      <c r="X190" s="630"/>
      <c r="Y190" s="630"/>
      <c r="Z190" s="630"/>
      <c r="AA190" s="630"/>
      <c r="AB190" s="1">
        <f t="shared" ref="AB190:AB196" si="116">SUM(R190:AA190)</f>
        <v>0</v>
      </c>
      <c r="AC190" s="357" t="e">
        <f t="shared" ref="AC190:AC196" si="117">+AB190/(J190+K190+L190)</f>
        <v>#DIV/0!</v>
      </c>
      <c r="AD190" s="864" t="s">
        <v>144</v>
      </c>
      <c r="AE190" s="865"/>
      <c r="AF190" s="865"/>
      <c r="AG190" s="866"/>
      <c r="AH190" s="866"/>
      <c r="AI190" s="867"/>
    </row>
    <row r="191" spans="1:35" x14ac:dyDescent="0.25">
      <c r="A191" s="638"/>
      <c r="C191" s="369"/>
      <c r="D191" s="369"/>
      <c r="E191" s="369"/>
      <c r="F191" s="369"/>
      <c r="G191" s="264">
        <f t="shared" si="112"/>
        <v>0</v>
      </c>
      <c r="H191" s="442">
        <f t="shared" si="113"/>
        <v>0</v>
      </c>
      <c r="J191" s="630"/>
      <c r="K191" s="630"/>
      <c r="L191" s="630"/>
      <c r="M191" s="630"/>
      <c r="N191" s="1">
        <f>IF(C191&gt;0,((J191*Setup_and_Criteria!$F$13)+('M1_1-15th'!K191*Setup_and_Criteria!$F$14)+('M1_1-15th'!L191*Setup_and_Criteria!$F$15)+('M1_1-15th'!M191*Setup_and_Criteria!$F$16)+Setup_and_Criteria!$J$16),0)</f>
        <v>0</v>
      </c>
      <c r="O191" s="442">
        <f t="shared" ref="O191:O196" si="118">+H191</f>
        <v>0</v>
      </c>
      <c r="P191" s="443">
        <f t="shared" si="114"/>
        <v>0</v>
      </c>
      <c r="Q191" s="357" t="e">
        <f t="shared" si="115"/>
        <v>#DIV/0!</v>
      </c>
      <c r="R191" s="630"/>
      <c r="S191" s="630"/>
      <c r="T191" s="630"/>
      <c r="U191" s="630"/>
      <c r="V191" s="630"/>
      <c r="W191" s="630"/>
      <c r="X191" s="630"/>
      <c r="Y191" s="630"/>
      <c r="Z191" s="630"/>
      <c r="AA191" s="630"/>
      <c r="AB191" s="1">
        <f t="shared" si="116"/>
        <v>0</v>
      </c>
      <c r="AC191" s="357" t="e">
        <f t="shared" si="117"/>
        <v>#DIV/0!</v>
      </c>
      <c r="AD191" s="864"/>
      <c r="AE191" s="865"/>
      <c r="AF191" s="865"/>
      <c r="AG191" s="866"/>
      <c r="AH191" s="866"/>
      <c r="AI191" s="867"/>
    </row>
    <row r="192" spans="1:35" x14ac:dyDescent="0.25">
      <c r="A192" s="638"/>
      <c r="C192" s="630"/>
      <c r="D192" s="630"/>
      <c r="E192" s="630"/>
      <c r="F192" s="630"/>
      <c r="G192" s="264">
        <f t="shared" si="112"/>
        <v>0</v>
      </c>
      <c r="H192" s="442">
        <f t="shared" si="113"/>
        <v>0</v>
      </c>
      <c r="J192" s="630"/>
      <c r="K192" s="630"/>
      <c r="L192" s="630"/>
      <c r="M192" s="630"/>
      <c r="N192" s="1">
        <f>IF(C192&gt;0,((J192*Setup_and_Criteria!$F$13)+('M1_1-15th'!K192*Setup_and_Criteria!$F$14)+('M1_1-15th'!L192*Setup_and_Criteria!$F$15)+('M1_1-15th'!M192*Setup_and_Criteria!$F$16)+Setup_and_Criteria!$J$16),0)</f>
        <v>0</v>
      </c>
      <c r="O192" s="442">
        <f t="shared" si="118"/>
        <v>0</v>
      </c>
      <c r="P192" s="443">
        <f t="shared" si="114"/>
        <v>0</v>
      </c>
      <c r="Q192" s="357" t="e">
        <f t="shared" si="115"/>
        <v>#DIV/0!</v>
      </c>
      <c r="R192" s="630"/>
      <c r="S192" s="630"/>
      <c r="T192" s="630"/>
      <c r="U192" s="630"/>
      <c r="V192" s="630"/>
      <c r="W192" s="630"/>
      <c r="X192" s="630"/>
      <c r="Y192" s="630"/>
      <c r="Z192" s="630"/>
      <c r="AA192" s="630"/>
      <c r="AB192" s="1">
        <f t="shared" si="116"/>
        <v>0</v>
      </c>
      <c r="AC192" s="357" t="e">
        <f t="shared" si="117"/>
        <v>#DIV/0!</v>
      </c>
      <c r="AD192" s="864"/>
      <c r="AE192" s="865"/>
      <c r="AF192" s="865"/>
      <c r="AG192" s="866"/>
      <c r="AH192" s="866"/>
      <c r="AI192" s="867"/>
    </row>
    <row r="193" spans="1:35" x14ac:dyDescent="0.25">
      <c r="A193" s="638"/>
      <c r="C193" s="630"/>
      <c r="D193" s="630"/>
      <c r="E193" s="630"/>
      <c r="F193" s="630"/>
      <c r="G193" s="264">
        <f t="shared" si="112"/>
        <v>0</v>
      </c>
      <c r="H193" s="442">
        <f t="shared" si="113"/>
        <v>0</v>
      </c>
      <c r="J193" s="630"/>
      <c r="K193" s="630"/>
      <c r="L193" s="630"/>
      <c r="M193" s="630"/>
      <c r="N193" s="1">
        <f>IF(C193&gt;0,((J193*Setup_and_Criteria!$F$13)+('M1_1-15th'!K193*Setup_and_Criteria!$F$14)+('M1_1-15th'!L193*Setup_and_Criteria!$F$15)+('M1_1-15th'!M193*Setup_and_Criteria!$F$16)+Setup_and_Criteria!$J$16),0)</f>
        <v>0</v>
      </c>
      <c r="O193" s="442">
        <f t="shared" si="118"/>
        <v>0</v>
      </c>
      <c r="P193" s="443">
        <f t="shared" si="114"/>
        <v>0</v>
      </c>
      <c r="Q193" s="357" t="e">
        <f t="shared" si="115"/>
        <v>#DIV/0!</v>
      </c>
      <c r="R193" s="630"/>
      <c r="S193" s="630"/>
      <c r="T193" s="630"/>
      <c r="U193" s="630"/>
      <c r="V193" s="630"/>
      <c r="W193" s="630"/>
      <c r="X193" s="630"/>
      <c r="Y193" s="630"/>
      <c r="Z193" s="630"/>
      <c r="AA193" s="630"/>
      <c r="AB193" s="1">
        <f t="shared" si="116"/>
        <v>0</v>
      </c>
      <c r="AC193" s="357" t="e">
        <f t="shared" si="117"/>
        <v>#DIV/0!</v>
      </c>
      <c r="AD193" s="864"/>
      <c r="AE193" s="865"/>
      <c r="AF193" s="865"/>
      <c r="AG193" s="866"/>
      <c r="AH193" s="866"/>
      <c r="AI193" s="867"/>
    </row>
    <row r="194" spans="1:35" x14ac:dyDescent="0.25">
      <c r="A194" s="638"/>
      <c r="C194" s="630"/>
      <c r="D194" s="630"/>
      <c r="E194" s="630"/>
      <c r="F194" s="630"/>
      <c r="G194" s="264">
        <f t="shared" si="112"/>
        <v>0</v>
      </c>
      <c r="H194" s="442">
        <f t="shared" si="113"/>
        <v>0</v>
      </c>
      <c r="J194" s="630"/>
      <c r="K194" s="630"/>
      <c r="L194" s="630"/>
      <c r="M194" s="630"/>
      <c r="N194" s="1">
        <f>IF(C194&gt;0,((J194*Setup_and_Criteria!$F$13)+('M1_1-15th'!K194*Setup_and_Criteria!$F$14)+('M1_1-15th'!L194*Setup_and_Criteria!$F$15)+('M1_1-15th'!M194*Setup_and_Criteria!$F$16)+Setup_and_Criteria!$J$16),0)</f>
        <v>0</v>
      </c>
      <c r="O194" s="442">
        <f t="shared" si="118"/>
        <v>0</v>
      </c>
      <c r="P194" s="443">
        <f t="shared" si="114"/>
        <v>0</v>
      </c>
      <c r="Q194" s="357" t="e">
        <f t="shared" si="115"/>
        <v>#DIV/0!</v>
      </c>
      <c r="R194" s="630"/>
      <c r="S194" s="630"/>
      <c r="T194" s="630"/>
      <c r="U194" s="630"/>
      <c r="V194" s="630"/>
      <c r="W194" s="630"/>
      <c r="X194" s="630"/>
      <c r="Y194" s="630"/>
      <c r="Z194" s="630"/>
      <c r="AA194" s="630"/>
      <c r="AB194" s="1">
        <f t="shared" si="116"/>
        <v>0</v>
      </c>
      <c r="AC194" s="357" t="e">
        <f t="shared" si="117"/>
        <v>#DIV/0!</v>
      </c>
      <c r="AD194" s="864"/>
      <c r="AE194" s="865"/>
      <c r="AF194" s="865"/>
      <c r="AG194" s="866"/>
      <c r="AH194" s="866"/>
      <c r="AI194" s="867"/>
    </row>
    <row r="195" spans="1:35" ht="15.75" thickBot="1" x14ac:dyDescent="0.3">
      <c r="A195" s="638"/>
      <c r="C195" s="370"/>
      <c r="D195" s="370"/>
      <c r="E195" s="630"/>
      <c r="F195" s="630"/>
      <c r="G195" s="264">
        <f t="shared" si="112"/>
        <v>0</v>
      </c>
      <c r="H195" s="442">
        <f t="shared" si="113"/>
        <v>0</v>
      </c>
      <c r="J195" s="371"/>
      <c r="K195" s="371"/>
      <c r="L195" s="371"/>
      <c r="M195" s="371"/>
      <c r="N195" s="358">
        <f>IF(C195&gt;0,((J195*Setup_and_Criteria!$F$13)+('M1_1-15th'!K195*Setup_and_Criteria!$F$14)+('M1_1-15th'!L195*Setup_and_Criteria!$F$15)+('M1_1-15th'!M195*Setup_and_Criteria!$F$16)+Setup_and_Criteria!$J$16),0)</f>
        <v>0</v>
      </c>
      <c r="O195" s="359">
        <f t="shared" si="118"/>
        <v>0</v>
      </c>
      <c r="P195" s="383">
        <f t="shared" si="114"/>
        <v>0</v>
      </c>
      <c r="Q195" s="360" t="e">
        <f t="shared" si="115"/>
        <v>#DIV/0!</v>
      </c>
      <c r="R195" s="511"/>
      <c r="S195" s="511"/>
      <c r="T195" s="511"/>
      <c r="U195" s="511"/>
      <c r="V195" s="511"/>
      <c r="W195" s="511"/>
      <c r="X195" s="511"/>
      <c r="Y195" s="511"/>
      <c r="Z195" s="511"/>
      <c r="AA195" s="511"/>
      <c r="AB195" s="358">
        <f t="shared" si="116"/>
        <v>0</v>
      </c>
      <c r="AC195" s="357" t="e">
        <f t="shared" si="117"/>
        <v>#DIV/0!</v>
      </c>
      <c r="AD195" s="864"/>
      <c r="AE195" s="865"/>
      <c r="AF195" s="865"/>
      <c r="AG195" s="866"/>
      <c r="AH195" s="866"/>
      <c r="AI195" s="867"/>
    </row>
    <row r="196" spans="1:35" ht="15.75" thickTop="1" x14ac:dyDescent="0.25">
      <c r="A196" s="58"/>
      <c r="H196" s="442">
        <f>SUM(H190:H195)</f>
        <v>0</v>
      </c>
      <c r="J196" s="1">
        <f>SUM(J190:J195)</f>
        <v>0</v>
      </c>
      <c r="K196" s="1">
        <f>SUM(K190:K195)</f>
        <v>0</v>
      </c>
      <c r="L196" s="1">
        <f>SUM(L190:L195)</f>
        <v>0</v>
      </c>
      <c r="M196" s="1">
        <f>SUM(M190:M195)</f>
        <v>0</v>
      </c>
      <c r="N196" s="1">
        <f>SUM(N190:N195)</f>
        <v>0</v>
      </c>
      <c r="O196" s="1">
        <f t="shared" si="118"/>
        <v>0</v>
      </c>
      <c r="P196" s="443">
        <f t="shared" si="114"/>
        <v>0</v>
      </c>
      <c r="Q196" s="357" t="e">
        <f t="shared" si="115"/>
        <v>#DIV/0!</v>
      </c>
      <c r="R196" s="1">
        <f t="shared" ref="R196:AA196" si="119">SUM(R190:R195)</f>
        <v>0</v>
      </c>
      <c r="S196" s="1">
        <f t="shared" si="119"/>
        <v>0</v>
      </c>
      <c r="T196" s="1">
        <f t="shared" si="119"/>
        <v>0</v>
      </c>
      <c r="U196" s="1">
        <f t="shared" si="119"/>
        <v>0</v>
      </c>
      <c r="V196" s="1">
        <f t="shared" si="119"/>
        <v>0</v>
      </c>
      <c r="W196" s="1">
        <f t="shared" si="119"/>
        <v>0</v>
      </c>
      <c r="X196" s="1">
        <f t="shared" si="119"/>
        <v>0</v>
      </c>
      <c r="Y196" s="1">
        <f t="shared" si="119"/>
        <v>0</v>
      </c>
      <c r="Z196" s="1">
        <f t="shared" si="119"/>
        <v>0</v>
      </c>
      <c r="AA196" s="1">
        <f t="shared" si="119"/>
        <v>0</v>
      </c>
      <c r="AB196" s="1">
        <f t="shared" si="116"/>
        <v>0</v>
      </c>
      <c r="AC196" s="357" t="e">
        <f t="shared" si="117"/>
        <v>#DIV/0!</v>
      </c>
      <c r="AD196" s="877"/>
      <c r="AE196" s="878"/>
      <c r="AF196" s="878"/>
      <c r="AG196" s="749"/>
      <c r="AH196" s="749"/>
      <c r="AI196" s="879"/>
    </row>
    <row r="197" spans="1:35" ht="21" customHeight="1" x14ac:dyDescent="0.35">
      <c r="A197" s="58"/>
      <c r="H197" s="442"/>
      <c r="N197" s="888" t="s">
        <v>145</v>
      </c>
      <c r="O197" s="888"/>
      <c r="P197" s="888"/>
      <c r="Q197" s="888"/>
      <c r="R197" s="431" t="s">
        <v>146</v>
      </c>
      <c r="S197" s="431"/>
      <c r="T197" s="431"/>
      <c r="U197" s="431"/>
      <c r="V197" s="431"/>
      <c r="W197" s="431"/>
      <c r="X197" s="431"/>
      <c r="Y197" s="431"/>
      <c r="Z197" s="431"/>
      <c r="AA197" s="431"/>
      <c r="AB197" s="431"/>
      <c r="AC197" s="431"/>
      <c r="AD197" s="880" t="s">
        <v>132</v>
      </c>
      <c r="AE197" s="881"/>
      <c r="AF197" s="881"/>
      <c r="AG197" s="881"/>
      <c r="AH197" s="881"/>
      <c r="AI197" s="882"/>
    </row>
    <row r="198" spans="1:35" ht="31.5" customHeight="1" x14ac:dyDescent="0.35">
      <c r="A198" s="617" t="s">
        <v>147</v>
      </c>
      <c r="C198" s="885" t="s">
        <v>128</v>
      </c>
      <c r="D198" s="885"/>
      <c r="E198" s="885"/>
      <c r="F198" s="885"/>
      <c r="H198" s="442"/>
      <c r="J198" s="444"/>
      <c r="K198" s="445" t="s">
        <v>35</v>
      </c>
      <c r="L198" s="445" t="s">
        <v>148</v>
      </c>
      <c r="N198" s="446" t="s">
        <v>149</v>
      </c>
      <c r="O198" s="447" t="s">
        <v>150</v>
      </c>
      <c r="P198" s="447" t="s">
        <v>138</v>
      </c>
      <c r="Q198" s="447" t="s">
        <v>151</v>
      </c>
      <c r="R198" s="749" t="s">
        <v>152</v>
      </c>
      <c r="S198" s="749"/>
      <c r="T198" s="883" t="s">
        <v>153</v>
      </c>
      <c r="U198" s="883"/>
      <c r="W198" s="425" t="s">
        <v>154</v>
      </c>
      <c r="X198" s="425"/>
      <c r="Y198" s="425"/>
      <c r="Z198" s="425"/>
      <c r="AA198" s="425"/>
      <c r="AB198" s="425"/>
      <c r="AC198" s="425"/>
      <c r="AD198" s="868"/>
      <c r="AE198" s="869"/>
      <c r="AF198" s="869"/>
      <c r="AG198" s="869"/>
      <c r="AH198" s="869"/>
      <c r="AI198" s="870"/>
    </row>
    <row r="199" spans="1:35" ht="18" customHeight="1" thickBot="1" x14ac:dyDescent="0.3">
      <c r="A199" s="639"/>
      <c r="B199" s="375"/>
      <c r="C199" s="372"/>
      <c r="D199" s="372"/>
      <c r="E199" s="372"/>
      <c r="F199" s="372"/>
      <c r="G199" s="366">
        <f>+(D199-C199)+(F199-E199)</f>
        <v>0</v>
      </c>
      <c r="H199" s="367">
        <f>+G199*1440</f>
        <v>0</v>
      </c>
      <c r="I199" s="859" t="s">
        <v>155</v>
      </c>
      <c r="J199" s="860"/>
      <c r="K199" s="373"/>
      <c r="L199" s="374"/>
      <c r="M199" s="423"/>
      <c r="N199" s="629">
        <f>+J196+L196+K196+K199+L199</f>
        <v>0</v>
      </c>
      <c r="O199" s="368">
        <f>+(Setup_and_Criteria!$K$31+(J196*Setup_and_Criteria!$F$20)+('M1_1-15th'!K196*Setup_and_Criteria!$F$21)+('M1_1-15th'!L196*Setup_and_Criteria!$F$20))+T199+(K199*Setup_and_Criteria!$F$21)+(Setup_and_Criteria!$F$22*'M1_1-15th'!L199)</f>
        <v>75</v>
      </c>
      <c r="P199" s="367">
        <f>+H199</f>
        <v>0</v>
      </c>
      <c r="Q199" s="367">
        <f>+O199-P199</f>
        <v>75</v>
      </c>
      <c r="R199" s="861"/>
      <c r="S199" s="861"/>
      <c r="T199" s="862"/>
      <c r="U199" s="863"/>
      <c r="V199" s="265" t="s">
        <v>156</v>
      </c>
      <c r="W199" s="854"/>
      <c r="X199" s="855"/>
      <c r="Y199" s="855"/>
      <c r="Z199" s="855"/>
      <c r="AA199" s="855"/>
      <c r="AB199" s="855"/>
      <c r="AC199" s="855"/>
      <c r="AD199" s="868"/>
      <c r="AE199" s="869"/>
      <c r="AF199" s="869"/>
      <c r="AG199" s="869"/>
      <c r="AH199" s="869"/>
      <c r="AI199" s="870"/>
    </row>
    <row r="200" spans="1:35" ht="15.75" thickBot="1" x14ac:dyDescent="0.3">
      <c r="A200" s="449" t="str">
        <f>+A187</f>
        <v>Password to enter data = "Enter Info"</v>
      </c>
      <c r="B200" s="450"/>
      <c r="C200" s="451"/>
      <c r="D200" s="451"/>
      <c r="E200" s="451"/>
      <c r="F200" s="451"/>
      <c r="G200" s="451"/>
      <c r="H200" s="451"/>
      <c r="I200" s="450"/>
      <c r="J200" s="451"/>
      <c r="K200" s="451"/>
      <c r="L200" s="451"/>
      <c r="M200" s="451"/>
      <c r="N200" s="451"/>
      <c r="O200" s="451"/>
      <c r="P200" s="451"/>
      <c r="Q200" s="450"/>
      <c r="R200" s="451"/>
      <c r="S200" s="451"/>
      <c r="T200" s="451"/>
      <c r="U200" s="451"/>
      <c r="V200" s="451"/>
      <c r="W200" s="451"/>
      <c r="X200" s="451"/>
      <c r="Y200" s="451"/>
      <c r="Z200" s="451"/>
      <c r="AA200" s="451"/>
      <c r="AB200" s="450"/>
      <c r="AC200" s="450"/>
      <c r="AD200" s="871"/>
      <c r="AE200" s="872"/>
      <c r="AF200" s="872"/>
      <c r="AG200" s="872"/>
      <c r="AH200" s="872"/>
      <c r="AI200" s="873"/>
    </row>
  </sheetData>
  <protectedRanges>
    <protectedRange algorithmName="SHA-512" hashValue="62RjkOCuA5dYX6Id7UAb1UFiYq9/YylcNLlowuHnSdASasnYApnfl0kCiG7VIBpywIvQLuc4KqRBF7TPF/6dBw==" saltValue="KfYyV8XYIigR+25E1S8Apw==" spinCount="100000" sqref="A8:A199" name="NameEntry"/>
    <protectedRange algorithmName="SHA-512" hashValue="oRYh3bqazZl0ifIbEGeusFeaJ1jVvzub5wbEXUX8n7JGjjGyPR7sQAIVip279H9FGLsm5+EqC58eWrgzwkrBMA==" saltValue="BURQC5XW9ayCKHbGGG5JAw==" spinCount="100000" sqref="R8:AA199" name="Corrections Tracking"/>
    <protectedRange algorithmName="SHA-512" hashValue="YWBRJAZI5q2Xrq+KyT3zVr15OX7uuRhfqBuj3B4Ey25Nx6lDVXf1yN1vQRpqL2Zb4U+ikOAI3N1kgYfpP/ETew==" saltValue="L+uE65ZdTMv6z8KX8mra4g==" spinCount="100000" sqref="I13:J199 L13:M199 K13:K170 K172:K199 I7:M12" name="Rooms Cleaned and Inspected"/>
    <protectedRange algorithmName="SHA-512" hashValue="HtLnHPcTxLat91gpx1RElzjAjyD8EelDKfcdJIzPzixUDC1bPqmHjcxA+Jf6905m/Q9mMHh30+0wh5BstdaTSg==" saltValue="TXG3+wylnBVSaSzjn+S+ow==" spinCount="100000" sqref="C8:F199" name="TimeClock"/>
    <protectedRange algorithmName="SHA-512" hashValue="9o5rmy+N3oLZkzVQ5nTS9aoa4tFWlXOirkshpCJSkqqBB2SCaDWSlY6k7YumLGAjuktGKWGtGOAoCXARLdbeUA==" saltValue="e7vCUb3fFCUrMQqNUPCqDQ==" spinCount="100000" sqref="AD6:AI200" name="Daily Notes"/>
  </protectedRanges>
  <mergeCells count="319">
    <mergeCell ref="T29:U29"/>
    <mergeCell ref="W69:AC69"/>
    <mergeCell ref="C6:F6"/>
    <mergeCell ref="J6:M6"/>
    <mergeCell ref="N6:Q6"/>
    <mergeCell ref="N15:Q15"/>
    <mergeCell ref="C16:F16"/>
    <mergeCell ref="R16:S16"/>
    <mergeCell ref="C45:F45"/>
    <mergeCell ref="J45:M45"/>
    <mergeCell ref="N45:Q45"/>
    <mergeCell ref="N28:Q28"/>
    <mergeCell ref="C29:F29"/>
    <mergeCell ref="R29:S29"/>
    <mergeCell ref="R55:S55"/>
    <mergeCell ref="T55:U55"/>
    <mergeCell ref="I56:J56"/>
    <mergeCell ref="R56:S56"/>
    <mergeCell ref="T56:U56"/>
    <mergeCell ref="C19:F19"/>
    <mergeCell ref="J19:M19"/>
    <mergeCell ref="N19:Q19"/>
    <mergeCell ref="I17:J17"/>
    <mergeCell ref="R17:S17"/>
    <mergeCell ref="N54:Q54"/>
    <mergeCell ref="N41:Q41"/>
    <mergeCell ref="C58:F58"/>
    <mergeCell ref="J58:M58"/>
    <mergeCell ref="N58:Q58"/>
    <mergeCell ref="N67:Q67"/>
    <mergeCell ref="C55:F55"/>
    <mergeCell ref="W30:AC30"/>
    <mergeCell ref="R30:S30"/>
    <mergeCell ref="T30:U30"/>
    <mergeCell ref="W43:AC43"/>
    <mergeCell ref="I30:J30"/>
    <mergeCell ref="C42:F42"/>
    <mergeCell ref="R42:S42"/>
    <mergeCell ref="T42:U42"/>
    <mergeCell ref="I43:J43"/>
    <mergeCell ref="R43:S43"/>
    <mergeCell ref="T43:U43"/>
    <mergeCell ref="C32:F32"/>
    <mergeCell ref="J32:M32"/>
    <mergeCell ref="N32:Q32"/>
    <mergeCell ref="W56:AC56"/>
    <mergeCell ref="N80:Q80"/>
    <mergeCell ref="C68:F68"/>
    <mergeCell ref="R68:S68"/>
    <mergeCell ref="T68:U68"/>
    <mergeCell ref="I69:J69"/>
    <mergeCell ref="R69:S69"/>
    <mergeCell ref="T69:U69"/>
    <mergeCell ref="C84:F84"/>
    <mergeCell ref="J84:M84"/>
    <mergeCell ref="N84:Q84"/>
    <mergeCell ref="C71:F71"/>
    <mergeCell ref="J71:M71"/>
    <mergeCell ref="N71:Q71"/>
    <mergeCell ref="N93:Q93"/>
    <mergeCell ref="C81:F81"/>
    <mergeCell ref="R81:S81"/>
    <mergeCell ref="T81:U81"/>
    <mergeCell ref="I82:J82"/>
    <mergeCell ref="R82:S82"/>
    <mergeCell ref="T82:U82"/>
    <mergeCell ref="C97:F97"/>
    <mergeCell ref="J97:M97"/>
    <mergeCell ref="N97:Q97"/>
    <mergeCell ref="N106:Q106"/>
    <mergeCell ref="C94:F94"/>
    <mergeCell ref="R94:S94"/>
    <mergeCell ref="T94:U94"/>
    <mergeCell ref="I95:J95"/>
    <mergeCell ref="R95:S95"/>
    <mergeCell ref="T95:U95"/>
    <mergeCell ref="C110:F110"/>
    <mergeCell ref="J110:M110"/>
    <mergeCell ref="N110:Q110"/>
    <mergeCell ref="N119:Q119"/>
    <mergeCell ref="C107:F107"/>
    <mergeCell ref="R107:S107"/>
    <mergeCell ref="T107:U107"/>
    <mergeCell ref="I108:J108"/>
    <mergeCell ref="R108:S108"/>
    <mergeCell ref="T108:U108"/>
    <mergeCell ref="C123:F123"/>
    <mergeCell ref="J123:M123"/>
    <mergeCell ref="N123:Q123"/>
    <mergeCell ref="N132:Q132"/>
    <mergeCell ref="C120:F120"/>
    <mergeCell ref="R120:S120"/>
    <mergeCell ref="T120:U120"/>
    <mergeCell ref="I121:J121"/>
    <mergeCell ref="R121:S121"/>
    <mergeCell ref="T121:U121"/>
    <mergeCell ref="C136:F136"/>
    <mergeCell ref="J136:M136"/>
    <mergeCell ref="N136:Q136"/>
    <mergeCell ref="N145:Q145"/>
    <mergeCell ref="C133:F133"/>
    <mergeCell ref="R133:S133"/>
    <mergeCell ref="T133:U133"/>
    <mergeCell ref="I134:J134"/>
    <mergeCell ref="R134:S134"/>
    <mergeCell ref="T134:U134"/>
    <mergeCell ref="C149:F149"/>
    <mergeCell ref="J149:M149"/>
    <mergeCell ref="N149:Q149"/>
    <mergeCell ref="N158:Q158"/>
    <mergeCell ref="C146:F146"/>
    <mergeCell ref="R146:S146"/>
    <mergeCell ref="T146:U146"/>
    <mergeCell ref="I147:J147"/>
    <mergeCell ref="R147:S147"/>
    <mergeCell ref="T147:U147"/>
    <mergeCell ref="C162:F162"/>
    <mergeCell ref="J162:M162"/>
    <mergeCell ref="N162:Q162"/>
    <mergeCell ref="N171:Q171"/>
    <mergeCell ref="C159:F159"/>
    <mergeCell ref="R159:S159"/>
    <mergeCell ref="T159:U159"/>
    <mergeCell ref="I160:J160"/>
    <mergeCell ref="R160:S160"/>
    <mergeCell ref="T160:U160"/>
    <mergeCell ref="R186:S186"/>
    <mergeCell ref="T186:U186"/>
    <mergeCell ref="C175:F175"/>
    <mergeCell ref="J175:M175"/>
    <mergeCell ref="N175:Q175"/>
    <mergeCell ref="N184:Q184"/>
    <mergeCell ref="C172:F172"/>
    <mergeCell ref="R172:S172"/>
    <mergeCell ref="T172:U172"/>
    <mergeCell ref="I173:J173"/>
    <mergeCell ref="R173:S173"/>
    <mergeCell ref="T173:U173"/>
    <mergeCell ref="C185:F185"/>
    <mergeCell ref="AD7:AI7"/>
    <mergeCell ref="AD8:AI8"/>
    <mergeCell ref="AD9:AI9"/>
    <mergeCell ref="AD10:AI10"/>
    <mergeCell ref="AD11:AI11"/>
    <mergeCell ref="AD12:AI12"/>
    <mergeCell ref="AD13:AI13"/>
    <mergeCell ref="AD14:AI14"/>
    <mergeCell ref="T17:U17"/>
    <mergeCell ref="T16:U16"/>
    <mergeCell ref="AD27:AI27"/>
    <mergeCell ref="AD28:AI28"/>
    <mergeCell ref="AD21:AI21"/>
    <mergeCell ref="AD22:AI22"/>
    <mergeCell ref="AD23:AI23"/>
    <mergeCell ref="AD24:AI24"/>
    <mergeCell ref="AD25:AI25"/>
    <mergeCell ref="AD26:AI26"/>
    <mergeCell ref="AD15:AI15"/>
    <mergeCell ref="AD20:AI20"/>
    <mergeCell ref="AD39:AI39"/>
    <mergeCell ref="AD40:AI40"/>
    <mergeCell ref="AD41:AI41"/>
    <mergeCell ref="AD33:AI33"/>
    <mergeCell ref="AD34:AI34"/>
    <mergeCell ref="AD35:AI35"/>
    <mergeCell ref="AD36:AI36"/>
    <mergeCell ref="AD37:AI37"/>
    <mergeCell ref="AD38:AI38"/>
    <mergeCell ref="AD52:AI52"/>
    <mergeCell ref="AD53:AI53"/>
    <mergeCell ref="AD54:AI54"/>
    <mergeCell ref="AD46:AI46"/>
    <mergeCell ref="AD47:AI47"/>
    <mergeCell ref="AD48:AI48"/>
    <mergeCell ref="AD49:AI49"/>
    <mergeCell ref="AD50:AI50"/>
    <mergeCell ref="AD51:AI51"/>
    <mergeCell ref="AD65:AI65"/>
    <mergeCell ref="AD66:AI66"/>
    <mergeCell ref="AD67:AI67"/>
    <mergeCell ref="AD59:AI59"/>
    <mergeCell ref="AD60:AI60"/>
    <mergeCell ref="AD61:AI61"/>
    <mergeCell ref="AD62:AI62"/>
    <mergeCell ref="AD63:AI63"/>
    <mergeCell ref="AD64:AI64"/>
    <mergeCell ref="AD78:AI78"/>
    <mergeCell ref="AD79:AI79"/>
    <mergeCell ref="AD80:AI80"/>
    <mergeCell ref="AD72:AI72"/>
    <mergeCell ref="AD73:AI73"/>
    <mergeCell ref="AD74:AI74"/>
    <mergeCell ref="AD75:AI75"/>
    <mergeCell ref="AD76:AI76"/>
    <mergeCell ref="AD77:AI77"/>
    <mergeCell ref="AD91:AI91"/>
    <mergeCell ref="AD92:AI92"/>
    <mergeCell ref="AD93:AI93"/>
    <mergeCell ref="AD94:AI96"/>
    <mergeCell ref="AD85:AI85"/>
    <mergeCell ref="AD86:AI86"/>
    <mergeCell ref="AD87:AI87"/>
    <mergeCell ref="AD88:AI88"/>
    <mergeCell ref="AD89:AI89"/>
    <mergeCell ref="AD90:AI90"/>
    <mergeCell ref="AD104:AI104"/>
    <mergeCell ref="AD105:AI105"/>
    <mergeCell ref="AD106:AI106"/>
    <mergeCell ref="AD107:AI109"/>
    <mergeCell ref="AD98:AI98"/>
    <mergeCell ref="AD99:AI99"/>
    <mergeCell ref="AD100:AI100"/>
    <mergeCell ref="AD101:AI101"/>
    <mergeCell ref="AD102:AI102"/>
    <mergeCell ref="AD103:AI103"/>
    <mergeCell ref="AD117:AI117"/>
    <mergeCell ref="AD118:AI118"/>
    <mergeCell ref="AD119:AI119"/>
    <mergeCell ref="AD111:AI111"/>
    <mergeCell ref="AD112:AI112"/>
    <mergeCell ref="AD113:AI113"/>
    <mergeCell ref="AD114:AI114"/>
    <mergeCell ref="AD115:AI115"/>
    <mergeCell ref="AD116:AI116"/>
    <mergeCell ref="AD126:AI126"/>
    <mergeCell ref="AD127:AI127"/>
    <mergeCell ref="AD128:AI128"/>
    <mergeCell ref="AD129:AI129"/>
    <mergeCell ref="AD130:AI130"/>
    <mergeCell ref="AD131:AI131"/>
    <mergeCell ref="AD124:AI124"/>
    <mergeCell ref="AD125:AI125"/>
    <mergeCell ref="AD120:AI122"/>
    <mergeCell ref="AD138:AI138"/>
    <mergeCell ref="AD139:AI139"/>
    <mergeCell ref="AD140:AI140"/>
    <mergeCell ref="AD141:AI141"/>
    <mergeCell ref="AD142:AI142"/>
    <mergeCell ref="AD143:AI143"/>
    <mergeCell ref="AD132:AI132"/>
    <mergeCell ref="AD137:AI137"/>
    <mergeCell ref="AD133:AI135"/>
    <mergeCell ref="AD150:AI150"/>
    <mergeCell ref="AD151:AI151"/>
    <mergeCell ref="AD152:AI152"/>
    <mergeCell ref="AD153:AI153"/>
    <mergeCell ref="AD154:AI154"/>
    <mergeCell ref="AD155:AI155"/>
    <mergeCell ref="AD144:AI144"/>
    <mergeCell ref="AD145:AI145"/>
    <mergeCell ref="AD146:AI148"/>
    <mergeCell ref="AD163:AI163"/>
    <mergeCell ref="AD164:AI164"/>
    <mergeCell ref="AD165:AI165"/>
    <mergeCell ref="AD166:AI166"/>
    <mergeCell ref="AD167:AI167"/>
    <mergeCell ref="AD156:AI156"/>
    <mergeCell ref="AD157:AI157"/>
    <mergeCell ref="AD158:AI158"/>
    <mergeCell ref="AD159:AI161"/>
    <mergeCell ref="AD183:AI183"/>
    <mergeCell ref="AD184:AI184"/>
    <mergeCell ref="AD176:AI176"/>
    <mergeCell ref="AD177:AI177"/>
    <mergeCell ref="AD178:AI178"/>
    <mergeCell ref="AD179:AI179"/>
    <mergeCell ref="AD172:AI174"/>
    <mergeCell ref="AD168:AI168"/>
    <mergeCell ref="AD169:AI169"/>
    <mergeCell ref="AD170:AI170"/>
    <mergeCell ref="AD171:AI171"/>
    <mergeCell ref="C188:F188"/>
    <mergeCell ref="C198:F198"/>
    <mergeCell ref="E2:H3"/>
    <mergeCell ref="AD16:AI18"/>
    <mergeCell ref="AD29:AI31"/>
    <mergeCell ref="AD42:AI44"/>
    <mergeCell ref="AD55:AI57"/>
    <mergeCell ref="AD68:AI70"/>
    <mergeCell ref="AD81:AI83"/>
    <mergeCell ref="I2:J3"/>
    <mergeCell ref="W173:AC173"/>
    <mergeCell ref="W186:AC186"/>
    <mergeCell ref="W134:AC134"/>
    <mergeCell ref="W147:AC147"/>
    <mergeCell ref="W160:AC160"/>
    <mergeCell ref="W95:AC95"/>
    <mergeCell ref="W108:AC108"/>
    <mergeCell ref="W121:AC121"/>
    <mergeCell ref="R198:S198"/>
    <mergeCell ref="T198:U198"/>
    <mergeCell ref="AD198:AI200"/>
    <mergeCell ref="N197:Q197"/>
    <mergeCell ref="AD189:AI189"/>
    <mergeCell ref="AD190:AI190"/>
    <mergeCell ref="AD6:AI6"/>
    <mergeCell ref="W82:AC82"/>
    <mergeCell ref="M2:W4"/>
    <mergeCell ref="W17:AC17"/>
    <mergeCell ref="I199:J199"/>
    <mergeCell ref="R199:S199"/>
    <mergeCell ref="T199:U199"/>
    <mergeCell ref="W199:AC199"/>
    <mergeCell ref="AD191:AI191"/>
    <mergeCell ref="AD185:AI187"/>
    <mergeCell ref="J188:M188"/>
    <mergeCell ref="N188:Q188"/>
    <mergeCell ref="AD192:AI192"/>
    <mergeCell ref="AD193:AI193"/>
    <mergeCell ref="AD194:AI194"/>
    <mergeCell ref="AD195:AI195"/>
    <mergeCell ref="AD196:AI196"/>
    <mergeCell ref="AD197:AI197"/>
    <mergeCell ref="R185:S185"/>
    <mergeCell ref="T185:U185"/>
    <mergeCell ref="I186:J186"/>
    <mergeCell ref="AD180:AI180"/>
    <mergeCell ref="AD181:AI181"/>
    <mergeCell ref="AD182:AI182"/>
  </mergeCells>
  <dataValidations count="1">
    <dataValidation allowBlank="1" showInputMessage="1" showErrorMessage="1" sqref="A16 A29 A42 A55 A68 A81 A94 A107 A120 A133 A146 A159 A172 A185 A198" xr:uid="{090C106B-ED99-48F1-A3E2-5EBF9D5ACFFB}"/>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51" id="{E3E3B8B1-5905-4202-89E6-B331F88CB4C0}">
            <xm:f>Setup_and_Criteria!$H$5:$K$5="Sleep Inn"</xm:f>
            <x14:dxf>
              <font>
                <color theme="0"/>
              </font>
              <fill>
                <patternFill>
                  <bgColor rgb="FF7030A0"/>
                </patternFill>
              </fill>
            </x14:dxf>
          </x14:cfRule>
          <x14:cfRule type="expression" priority="52" id="{052AE163-F2D5-470A-944C-5F34D9B4A0F3}">
            <xm:f>Setup_and_Criteria!$H$5="Holiday Inn Express"</xm:f>
            <x14:dxf>
              <font>
                <color theme="0"/>
              </font>
              <fill>
                <patternFill>
                  <bgColor theme="8" tint="-0.24994659260841701"/>
                </patternFill>
              </fill>
            </x14:dxf>
          </x14:cfRule>
          <x14:cfRule type="expression" priority="53" id="{59B68FBE-7C0C-40E6-83DD-DAD2FD9C69FC}">
            <xm:f>Setup_and_Criteria!$H$5:$K$5="Quality Inn"</xm:f>
            <x14:dxf>
              <font>
                <color theme="9" tint="-0.24994659260841701"/>
              </font>
              <fill>
                <patternFill>
                  <bgColor theme="9" tint="-0.24994659260841701"/>
                </patternFill>
              </fill>
            </x14:dxf>
          </x14:cfRule>
          <xm:sqref>A18:AC18 A31:AC31 A44:AC44 A57:AC57 A70:AC70 A83:AC83 A96:AC96 A109:AC109 A122:AC122 A135:AC135 A148:AC148 A161:AC161 A174:AC174 A187:AC187 A200:AC200</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71E55715-2855-4DCA-AB66-D8024A78EED5}">
          <x14:formula1>
            <xm:f>Setup_and_Criteria!$N$12:$N$23</xm:f>
          </x14:formula1>
          <xm:sqref>A190:A195 A177:A182 A164:A169 A151:A156 A138:A143 A125:A130 A112:A117 A99:A104 A86:A91 A73:A78 A60:A65 A47:A52 A34:A39 A21:A26 A8:A13</xm:sqref>
        </x14:dataValidation>
        <x14:dataValidation type="list" allowBlank="1" showInputMessage="1" showErrorMessage="1" xr:uid="{DA436D58-F4F8-424A-8C7D-A5F772591F47}">
          <x14:formula1>
            <xm:f>Setup_and_Criteria!$N$27:$N$31</xm:f>
          </x14:formula1>
          <xm:sqref>A17:B17 A121 A186:B186 A173:B173 A160:B160 A147:B147 A134:B134 A199:B199 A108:B108 A95:B95 A82:B82 A69:B69 A56:B56 A43:B43 A30:B30</xm:sqref>
        </x14:dataValidation>
        <x14:dataValidation type="list" allowBlank="1" showInputMessage="1" showErrorMessage="1" xr:uid="{894CE10D-6C10-42AA-A3B3-0D98724A871F}">
          <x14:formula1>
            <xm:f>Setup_and_Criteria!$BF$5:$BF$12</xm:f>
          </x14:formula1>
          <xm:sqref>R17:S17 R30:S30 R43:S43 R56:S56 R69:S69 R82:S82 R95:S95 R108:S108 R121:S121 R134:S134 R147:S147 R160:S160 R173:S173 R186:S186 R199:S199</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C0583-3290-42BD-8D23-5FB0F3FCBA77}">
  <sheetPr codeName="Sheet8">
    <tabColor theme="9" tint="0.59999389629810485"/>
  </sheetPr>
  <dimension ref="A2:AI215"/>
  <sheetViews>
    <sheetView topLeftCell="A192" zoomScale="96" workbookViewId="0">
      <selection activeCell="R212" sqref="R212:S212"/>
    </sheetView>
  </sheetViews>
  <sheetFormatPr defaultRowHeight="15" x14ac:dyDescent="0.25"/>
  <cols>
    <col min="1" max="1" width="18.5703125" customWidth="1"/>
    <col min="2" max="2" width="4.85546875" bestFit="1" customWidth="1"/>
    <col min="3" max="3" width="8.7109375" style="1" customWidth="1"/>
    <col min="4" max="4" width="8.140625" style="1" customWidth="1"/>
    <col min="5" max="6" width="7.7109375" style="1" customWidth="1"/>
    <col min="7" max="7" width="7.42578125" style="1" hidden="1" customWidth="1"/>
    <col min="8" max="8" width="0" style="1" hidden="1" customWidth="1"/>
    <col min="9" max="9" width="8.42578125" customWidth="1"/>
    <col min="10" max="10" width="8.42578125" style="1" customWidth="1"/>
    <col min="11" max="11" width="8.5703125" style="1" customWidth="1"/>
    <col min="12" max="12" width="9.140625" style="1"/>
    <col min="13" max="13" width="10.140625" style="1" customWidth="1"/>
    <col min="14" max="14" width="11" style="1" customWidth="1"/>
    <col min="15" max="15" width="9.42578125" style="1" customWidth="1"/>
    <col min="16" max="16" width="10.42578125" style="1" customWidth="1"/>
    <col min="17" max="17" width="9.42578125" customWidth="1"/>
    <col min="18" max="18" width="8.28515625" style="1" customWidth="1"/>
    <col min="19" max="19" width="7.140625" style="1" customWidth="1"/>
    <col min="20" max="27" width="7.7109375" style="1" customWidth="1"/>
    <col min="28" max="28" width="7.7109375" customWidth="1"/>
    <col min="29" max="29" width="11.28515625" customWidth="1"/>
  </cols>
  <sheetData>
    <row r="2" spans="1:35" ht="15" customHeight="1" x14ac:dyDescent="0.25">
      <c r="E2" s="886" t="str">
        <f>+Setup_and_Criteria!J6</f>
        <v>Q2</v>
      </c>
      <c r="F2" s="886"/>
      <c r="G2" s="886"/>
      <c r="H2" s="886"/>
      <c r="I2" s="887">
        <v>2026</v>
      </c>
      <c r="J2" s="887"/>
      <c r="M2" s="856" t="s">
        <v>127</v>
      </c>
      <c r="N2" s="856"/>
      <c r="O2" s="856"/>
      <c r="P2" s="856"/>
      <c r="Q2" s="856"/>
      <c r="R2" s="856"/>
      <c r="S2" s="856"/>
      <c r="T2" s="856"/>
      <c r="U2" s="856"/>
      <c r="V2" s="856"/>
      <c r="W2" s="856"/>
    </row>
    <row r="3" spans="1:35" ht="15" customHeight="1" x14ac:dyDescent="0.25">
      <c r="E3" s="886"/>
      <c r="F3" s="886"/>
      <c r="G3" s="886"/>
      <c r="H3" s="886"/>
      <c r="I3" s="887"/>
      <c r="J3" s="887"/>
      <c r="M3" s="856"/>
      <c r="N3" s="856"/>
      <c r="O3" s="856"/>
      <c r="P3" s="856"/>
      <c r="Q3" s="856"/>
      <c r="R3" s="856"/>
      <c r="S3" s="856"/>
      <c r="T3" s="856"/>
      <c r="U3" s="856"/>
      <c r="V3" s="856"/>
      <c r="W3" s="856"/>
    </row>
    <row r="4" spans="1:35" x14ac:dyDescent="0.25">
      <c r="G4"/>
      <c r="H4"/>
      <c r="L4" s="1" t="s">
        <v>42</v>
      </c>
      <c r="M4" s="856"/>
      <c r="N4" s="856"/>
      <c r="O4" s="856"/>
      <c r="P4" s="856"/>
      <c r="Q4" s="856"/>
      <c r="R4" s="856"/>
      <c r="S4" s="856"/>
      <c r="T4" s="856"/>
      <c r="U4" s="856"/>
      <c r="V4" s="856"/>
      <c r="W4" s="856"/>
    </row>
    <row r="5" spans="1:35" ht="15.75" thickBot="1" x14ac:dyDescent="0.3">
      <c r="W5" s="1" t="s">
        <v>42</v>
      </c>
    </row>
    <row r="6" spans="1:35" ht="35.25" customHeight="1" x14ac:dyDescent="0.4">
      <c r="A6" s="421" t="str" cm="1">
        <f t="array" ref="A6">+_xlfn.IFS(E2="Q1","January",E2="Q2","April",E2="Q3","July",+E2="Q4","October")</f>
        <v>April</v>
      </c>
      <c r="B6" s="624">
        <v>16</v>
      </c>
      <c r="C6" s="884" t="s">
        <v>128</v>
      </c>
      <c r="D6" s="884"/>
      <c r="E6" s="884"/>
      <c r="F6" s="884"/>
      <c r="G6" s="377"/>
      <c r="H6" s="377"/>
      <c r="I6" s="21"/>
      <c r="J6" s="874" t="s">
        <v>129</v>
      </c>
      <c r="K6" s="875"/>
      <c r="L6" s="875"/>
      <c r="M6" s="875"/>
      <c r="N6" s="876" t="s">
        <v>130</v>
      </c>
      <c r="O6" s="876"/>
      <c r="P6" s="876"/>
      <c r="Q6" s="876"/>
      <c r="R6" s="424" t="s">
        <v>131</v>
      </c>
      <c r="S6" s="424"/>
      <c r="T6" s="424"/>
      <c r="U6" s="424"/>
      <c r="V6" s="424"/>
      <c r="W6" s="424"/>
      <c r="X6" s="424"/>
      <c r="Y6" s="424"/>
      <c r="Z6" s="424"/>
      <c r="AA6" s="424"/>
      <c r="AB6" s="424"/>
      <c r="AC6" s="424"/>
      <c r="AD6" s="461" t="s">
        <v>132</v>
      </c>
      <c r="AE6" s="426"/>
      <c r="AF6" s="426"/>
      <c r="AG6" s="426"/>
      <c r="AH6" s="426"/>
      <c r="AI6" s="427"/>
    </row>
    <row r="7" spans="1:35" ht="59.25" customHeight="1" x14ac:dyDescent="0.25">
      <c r="A7" s="378" t="s">
        <v>133</v>
      </c>
      <c r="C7" s="435" t="s">
        <v>134</v>
      </c>
      <c r="D7" s="435" t="s">
        <v>135</v>
      </c>
      <c r="E7" s="435" t="s">
        <v>134</v>
      </c>
      <c r="F7" s="435" t="s">
        <v>135</v>
      </c>
      <c r="G7" s="1" t="s">
        <v>136</v>
      </c>
      <c r="H7" s="1" t="s">
        <v>108</v>
      </c>
      <c r="I7" s="436"/>
      <c r="J7" s="437" t="str">
        <f>+Setup_and_Criteria!$B$13</f>
        <v>Checkouts</v>
      </c>
      <c r="K7" s="437" t="str">
        <f>+Setup_and_Criteria!$B$14</f>
        <v>Pet Rooms</v>
      </c>
      <c r="L7" s="437" t="str">
        <f>+Setup_and_Criteria!$B$15</f>
        <v>2 Rm &amp; Jac Stes</v>
      </c>
      <c r="M7" s="438" t="str">
        <f>+Setup_and_Criteria!$B$16</f>
        <v>Stayovers</v>
      </c>
      <c r="N7" s="269" t="s">
        <v>137</v>
      </c>
      <c r="O7" s="269" t="s">
        <v>138</v>
      </c>
      <c r="P7" s="439" t="s">
        <v>139</v>
      </c>
      <c r="Q7" s="439" t="s">
        <v>140</v>
      </c>
      <c r="R7" s="440" t="str">
        <f>+Corrections!$C$8</f>
        <v>Vanity</v>
      </c>
      <c r="S7" s="440" t="str">
        <f>+Corrections!$I$8</f>
        <v>Toilet</v>
      </c>
      <c r="T7" s="440" t="str">
        <f>+Corrections!$O$8</f>
        <v>Bed/Pillows</v>
      </c>
      <c r="U7" s="440" t="str">
        <f>+Corrections!$U$8</f>
        <v>Floor</v>
      </c>
      <c r="V7" s="440" t="str">
        <f>+Corrections!$AA$8</f>
        <v>Dusting</v>
      </c>
      <c r="W7" s="440" t="str">
        <f>+Corrections!$AG$8</f>
        <v>Fridge/Micro</v>
      </c>
      <c r="X7" s="440" t="str">
        <f>+Corrections!$AM$8</f>
        <v>Tub</v>
      </c>
      <c r="Y7" s="441" t="str">
        <f>+Corrections!$AS$8</f>
        <v>Mirrors/Glass</v>
      </c>
      <c r="Z7" s="440" t="str">
        <f>+Corrections!$AY$8</f>
        <v>Stocking</v>
      </c>
      <c r="AA7" s="440" t="str">
        <f>+Corrections!$BE$8</f>
        <v>Other</v>
      </c>
      <c r="AB7" s="269" t="s">
        <v>141</v>
      </c>
      <c r="AC7" s="269" t="s">
        <v>142</v>
      </c>
      <c r="AD7" s="889" t="s">
        <v>143</v>
      </c>
      <c r="AE7" s="890"/>
      <c r="AF7" s="890"/>
      <c r="AG7" s="890"/>
      <c r="AH7" s="890"/>
      <c r="AI7" s="891"/>
    </row>
    <row r="8" spans="1:35" x14ac:dyDescent="0.25">
      <c r="A8" s="638"/>
      <c r="C8" s="369"/>
      <c r="D8" s="369"/>
      <c r="E8" s="369"/>
      <c r="F8" s="369"/>
      <c r="G8" s="264">
        <f t="shared" ref="G8:G13" si="0">+(D8-C8)+(F8-E8)</f>
        <v>0</v>
      </c>
      <c r="H8" s="442">
        <f t="shared" ref="H8:H13" si="1">+G8*1440</f>
        <v>0</v>
      </c>
      <c r="J8" s="630"/>
      <c r="K8" s="630"/>
      <c r="L8" s="630"/>
      <c r="M8" s="630"/>
      <c r="N8" s="1">
        <f>IF(C8&gt;0,((J8*Setup_and_Criteria!$F$13)+('M1_1-15th'!K8*Setup_and_Criteria!$F$14)+('M1_1-15th'!L8*Setup_and_Criteria!$F$15)+('M1_1-15th'!M8*Setup_and_Criteria!$F$16)+Setup_and_Criteria!$J$16),0)</f>
        <v>0</v>
      </c>
      <c r="O8" s="442">
        <f>+H8</f>
        <v>0</v>
      </c>
      <c r="P8" s="443">
        <f t="shared" ref="P8:P14" si="2">+N8-O8</f>
        <v>0</v>
      </c>
      <c r="Q8" s="357" t="e">
        <f t="shared" ref="Q8:Q14" si="3">O8/_xlfn.SINGLE(SUM(J8:M8))</f>
        <v>#DIV/0!</v>
      </c>
      <c r="R8" s="630"/>
      <c r="S8" s="630"/>
      <c r="T8" s="630"/>
      <c r="U8" s="630"/>
      <c r="V8" s="630"/>
      <c r="W8" s="630"/>
      <c r="X8" s="630"/>
      <c r="Y8" s="630"/>
      <c r="Z8" s="630"/>
      <c r="AA8" s="630"/>
      <c r="AB8" s="1">
        <f t="shared" ref="AB8:AB14" si="4">SUM(R8:AA8)</f>
        <v>0</v>
      </c>
      <c r="AC8" s="357" t="e">
        <f t="shared" ref="AC8:AC14" si="5">+AB8/(J8+K8+L8)</f>
        <v>#DIV/0!</v>
      </c>
      <c r="AD8" s="864" t="s">
        <v>144</v>
      </c>
      <c r="AE8" s="865"/>
      <c r="AF8" s="865"/>
      <c r="AG8" s="866"/>
      <c r="AH8" s="866"/>
      <c r="AI8" s="867"/>
    </row>
    <row r="9" spans="1:35" x14ac:dyDescent="0.25">
      <c r="A9" s="638"/>
      <c r="C9" s="369"/>
      <c r="D9" s="369"/>
      <c r="E9" s="630"/>
      <c r="F9" s="679"/>
      <c r="G9" s="264">
        <f t="shared" si="0"/>
        <v>0</v>
      </c>
      <c r="H9" s="442">
        <f t="shared" si="1"/>
        <v>0</v>
      </c>
      <c r="J9" s="630"/>
      <c r="K9" s="630"/>
      <c r="L9" s="630"/>
      <c r="M9" s="630"/>
      <c r="N9" s="1">
        <f>IF(C9&gt;0,((J9*Setup_and_Criteria!$F$13)+('M1_1-15th'!K9*Setup_and_Criteria!$F$14)+('M1_1-15th'!L9*Setup_and_Criteria!$F$15)+('M1_1-15th'!M9*Setup_and_Criteria!$F$16)+Setup_and_Criteria!$J$16),0)</f>
        <v>0</v>
      </c>
      <c r="O9" s="442">
        <f t="shared" ref="O9:O14" si="6">+H9</f>
        <v>0</v>
      </c>
      <c r="P9" s="443">
        <f t="shared" si="2"/>
        <v>0</v>
      </c>
      <c r="Q9" s="357" t="e">
        <f t="shared" si="3"/>
        <v>#DIV/0!</v>
      </c>
      <c r="R9" s="630"/>
      <c r="S9" s="630"/>
      <c r="T9" s="630"/>
      <c r="U9" s="630"/>
      <c r="V9" s="630"/>
      <c r="W9" s="630"/>
      <c r="X9" s="630"/>
      <c r="Y9" s="630"/>
      <c r="Z9" s="630"/>
      <c r="AA9" s="630"/>
      <c r="AB9" s="1">
        <f t="shared" si="4"/>
        <v>0</v>
      </c>
      <c r="AC9" s="357" t="e">
        <f t="shared" si="5"/>
        <v>#DIV/0!</v>
      </c>
      <c r="AD9" s="864"/>
      <c r="AE9" s="865"/>
      <c r="AF9" s="865"/>
      <c r="AG9" s="866"/>
      <c r="AH9" s="866"/>
      <c r="AI9" s="867"/>
    </row>
    <row r="10" spans="1:35" x14ac:dyDescent="0.25">
      <c r="A10" s="638"/>
      <c r="C10" s="369"/>
      <c r="D10" s="369"/>
      <c r="E10" s="630"/>
      <c r="F10" s="679"/>
      <c r="G10" s="264">
        <f t="shared" si="0"/>
        <v>0</v>
      </c>
      <c r="H10" s="442">
        <f t="shared" si="1"/>
        <v>0</v>
      </c>
      <c r="J10" s="630"/>
      <c r="K10" s="630"/>
      <c r="L10" s="630"/>
      <c r="M10" s="630"/>
      <c r="N10" s="1">
        <f>IF(C10&gt;0,((J10*Setup_and_Criteria!$F$13)+('M1_1-15th'!K10*Setup_and_Criteria!$F$14)+('M1_1-15th'!L10*Setup_and_Criteria!$F$15)+('M1_1-15th'!M10*Setup_and_Criteria!$F$16)+Setup_and_Criteria!$J$16),0)</f>
        <v>0</v>
      </c>
      <c r="O10" s="442">
        <f t="shared" si="6"/>
        <v>0</v>
      </c>
      <c r="P10" s="443">
        <f t="shared" si="2"/>
        <v>0</v>
      </c>
      <c r="Q10" s="357" t="e">
        <f t="shared" si="3"/>
        <v>#DIV/0!</v>
      </c>
      <c r="R10" s="630"/>
      <c r="S10" s="630"/>
      <c r="T10" s="630"/>
      <c r="U10" s="630"/>
      <c r="V10" s="630"/>
      <c r="W10" s="630"/>
      <c r="X10" s="630"/>
      <c r="Y10" s="630"/>
      <c r="Z10" s="630"/>
      <c r="AA10" s="630"/>
      <c r="AB10" s="1">
        <f t="shared" si="4"/>
        <v>0</v>
      </c>
      <c r="AC10" s="357" t="e">
        <f t="shared" si="5"/>
        <v>#DIV/0!</v>
      </c>
      <c r="AD10" s="864"/>
      <c r="AE10" s="865"/>
      <c r="AF10" s="865"/>
      <c r="AG10" s="866"/>
      <c r="AH10" s="866"/>
      <c r="AI10" s="867"/>
    </row>
    <row r="11" spans="1:35" x14ac:dyDescent="0.25">
      <c r="A11" s="638"/>
      <c r="C11" s="630"/>
      <c r="D11" s="630"/>
      <c r="E11" s="630"/>
      <c r="F11" s="679"/>
      <c r="G11" s="264">
        <f t="shared" si="0"/>
        <v>0</v>
      </c>
      <c r="H11" s="442">
        <f t="shared" si="1"/>
        <v>0</v>
      </c>
      <c r="J11" s="630"/>
      <c r="K11" s="630"/>
      <c r="L11" s="630"/>
      <c r="M11" s="630"/>
      <c r="N11" s="1">
        <f>IF(C11&gt;0,((J11*Setup_and_Criteria!$F$13)+('M1_1-15th'!K11*Setup_and_Criteria!$F$14)+('M1_1-15th'!L11*Setup_and_Criteria!$F$15)+('M1_1-15th'!M11*Setup_and_Criteria!$F$16)+Setup_and_Criteria!$J$16),0)</f>
        <v>0</v>
      </c>
      <c r="O11" s="442">
        <f t="shared" si="6"/>
        <v>0</v>
      </c>
      <c r="P11" s="443">
        <f t="shared" si="2"/>
        <v>0</v>
      </c>
      <c r="Q11" s="357" t="e">
        <f t="shared" si="3"/>
        <v>#DIV/0!</v>
      </c>
      <c r="R11" s="630"/>
      <c r="S11" s="630"/>
      <c r="T11" s="630"/>
      <c r="U11" s="630"/>
      <c r="V11" s="630"/>
      <c r="W11" s="630"/>
      <c r="X11" s="630"/>
      <c r="Y11" s="630"/>
      <c r="Z11" s="630"/>
      <c r="AA11" s="630"/>
      <c r="AB11" s="1">
        <f t="shared" si="4"/>
        <v>0</v>
      </c>
      <c r="AC11" s="357" t="e">
        <f t="shared" si="5"/>
        <v>#DIV/0!</v>
      </c>
      <c r="AD11" s="864"/>
      <c r="AE11" s="865"/>
      <c r="AF11" s="865"/>
      <c r="AG11" s="866"/>
      <c r="AH11" s="866"/>
      <c r="AI11" s="867"/>
    </row>
    <row r="12" spans="1:35" x14ac:dyDescent="0.25">
      <c r="A12" s="638"/>
      <c r="C12" s="369"/>
      <c r="D12" s="369"/>
      <c r="E12" s="630"/>
      <c r="F12" s="369"/>
      <c r="G12" s="264">
        <f t="shared" si="0"/>
        <v>0</v>
      </c>
      <c r="H12" s="442">
        <f t="shared" si="1"/>
        <v>0</v>
      </c>
      <c r="J12" s="630"/>
      <c r="K12" s="630"/>
      <c r="L12" s="630"/>
      <c r="M12" s="630"/>
      <c r="N12" s="1">
        <f>IF(C12&gt;0,((J12*Setup_and_Criteria!$F$13)+('M1_1-15th'!K12*Setup_and_Criteria!$F$14)+('M1_1-15th'!L12*Setup_and_Criteria!$F$15)+('M1_1-15th'!M12*Setup_and_Criteria!$F$16)+Setup_and_Criteria!$J$16),0)</f>
        <v>0</v>
      </c>
      <c r="O12" s="442">
        <f t="shared" si="6"/>
        <v>0</v>
      </c>
      <c r="P12" s="443">
        <f t="shared" si="2"/>
        <v>0</v>
      </c>
      <c r="Q12" s="357" t="e">
        <f t="shared" si="3"/>
        <v>#DIV/0!</v>
      </c>
      <c r="R12" s="630"/>
      <c r="S12" s="630"/>
      <c r="T12" s="630"/>
      <c r="U12" s="630"/>
      <c r="V12" s="630"/>
      <c r="W12" s="630"/>
      <c r="X12" s="630"/>
      <c r="Y12" s="630"/>
      <c r="Z12" s="630"/>
      <c r="AA12" s="630"/>
      <c r="AB12" s="1">
        <f t="shared" si="4"/>
        <v>0</v>
      </c>
      <c r="AC12" s="357" t="e">
        <f t="shared" si="5"/>
        <v>#DIV/0!</v>
      </c>
      <c r="AD12" s="864"/>
      <c r="AE12" s="865"/>
      <c r="AF12" s="865"/>
      <c r="AG12" s="866"/>
      <c r="AH12" s="866"/>
      <c r="AI12" s="867"/>
    </row>
    <row r="13" spans="1:35" ht="15.75" thickBot="1" x14ac:dyDescent="0.3">
      <c r="A13" s="638"/>
      <c r="C13" s="370"/>
      <c r="D13" s="370"/>
      <c r="E13" s="630"/>
      <c r="F13" s="630"/>
      <c r="G13" s="264">
        <f t="shared" si="0"/>
        <v>0</v>
      </c>
      <c r="H13" s="442">
        <f t="shared" si="1"/>
        <v>0</v>
      </c>
      <c r="J13" s="371"/>
      <c r="K13" s="371"/>
      <c r="L13" s="371"/>
      <c r="M13" s="371"/>
      <c r="N13" s="358">
        <f>IF(C13&gt;0,((J13*Setup_and_Criteria!$F$13)+('M1_1-15th'!K13*Setup_and_Criteria!$F$14)+('M1_1-15th'!L13*Setup_and_Criteria!$F$15)+('M1_1-15th'!M13*Setup_and_Criteria!$F$16)+Setup_and_Criteria!$J$16),0)</f>
        <v>0</v>
      </c>
      <c r="O13" s="359">
        <f t="shared" si="6"/>
        <v>0</v>
      </c>
      <c r="P13" s="383">
        <f t="shared" si="2"/>
        <v>0</v>
      </c>
      <c r="Q13" s="360" t="e">
        <f t="shared" si="3"/>
        <v>#DIV/0!</v>
      </c>
      <c r="R13" s="511"/>
      <c r="S13" s="511"/>
      <c r="T13" s="511"/>
      <c r="U13" s="511"/>
      <c r="V13" s="511"/>
      <c r="W13" s="511"/>
      <c r="X13" s="511"/>
      <c r="Y13" s="511"/>
      <c r="Z13" s="511"/>
      <c r="AA13" s="511"/>
      <c r="AB13" s="1">
        <f t="shared" si="4"/>
        <v>0</v>
      </c>
      <c r="AC13" s="357" t="e">
        <f t="shared" si="5"/>
        <v>#DIV/0!</v>
      </c>
      <c r="AD13" s="864"/>
      <c r="AE13" s="865"/>
      <c r="AF13" s="865"/>
      <c r="AG13" s="866"/>
      <c r="AH13" s="866"/>
      <c r="AI13" s="867"/>
    </row>
    <row r="14" spans="1:35" ht="15.75" thickTop="1" x14ac:dyDescent="0.25">
      <c r="A14" s="58"/>
      <c r="H14" s="442">
        <f>SUM(H8:H13)</f>
        <v>0</v>
      </c>
      <c r="J14" s="1">
        <f>SUM(J8:J13)</f>
        <v>0</v>
      </c>
      <c r="K14" s="1">
        <f>SUM(K8:K13)</f>
        <v>0</v>
      </c>
      <c r="L14" s="1">
        <f>SUM(L8:L13)</f>
        <v>0</v>
      </c>
      <c r="M14" s="1">
        <f>SUM(M8:M13)</f>
        <v>0</v>
      </c>
      <c r="N14" s="1">
        <f>SUM(N8:N13)</f>
        <v>0</v>
      </c>
      <c r="O14" s="1">
        <f t="shared" si="6"/>
        <v>0</v>
      </c>
      <c r="P14" s="443">
        <f t="shared" si="2"/>
        <v>0</v>
      </c>
      <c r="Q14" s="357" t="e">
        <f t="shared" si="3"/>
        <v>#DIV/0!</v>
      </c>
      <c r="R14" s="1">
        <f t="shared" ref="R14:AA14" si="7">SUM(R8:R13)</f>
        <v>0</v>
      </c>
      <c r="S14" s="1">
        <f t="shared" si="7"/>
        <v>0</v>
      </c>
      <c r="T14" s="1">
        <f t="shared" si="7"/>
        <v>0</v>
      </c>
      <c r="U14" s="1">
        <f t="shared" si="7"/>
        <v>0</v>
      </c>
      <c r="V14" s="1">
        <f t="shared" si="7"/>
        <v>0</v>
      </c>
      <c r="W14" s="1">
        <f t="shared" si="7"/>
        <v>0</v>
      </c>
      <c r="X14" s="1">
        <f t="shared" si="7"/>
        <v>0</v>
      </c>
      <c r="Y14" s="1">
        <f t="shared" si="7"/>
        <v>0</v>
      </c>
      <c r="Z14" s="1">
        <f t="shared" si="7"/>
        <v>0</v>
      </c>
      <c r="AA14" s="1">
        <f t="shared" si="7"/>
        <v>0</v>
      </c>
      <c r="AB14" s="1">
        <f t="shared" si="4"/>
        <v>0</v>
      </c>
      <c r="AC14" s="357" t="e">
        <f t="shared" si="5"/>
        <v>#DIV/0!</v>
      </c>
      <c r="AD14" s="877"/>
      <c r="AE14" s="878"/>
      <c r="AF14" s="878"/>
      <c r="AG14" s="749"/>
      <c r="AH14" s="749"/>
      <c r="AI14" s="879"/>
    </row>
    <row r="15" spans="1:35" ht="21" customHeight="1" x14ac:dyDescent="0.35">
      <c r="A15" s="58"/>
      <c r="H15" s="442"/>
      <c r="N15" s="888" t="s">
        <v>145</v>
      </c>
      <c r="O15" s="888"/>
      <c r="P15" s="888"/>
      <c r="Q15" s="888"/>
      <c r="R15" s="431" t="s">
        <v>146</v>
      </c>
      <c r="S15" s="431"/>
      <c r="T15" s="431"/>
      <c r="U15" s="431"/>
      <c r="V15" s="431"/>
      <c r="W15" s="431"/>
      <c r="X15" s="431"/>
      <c r="Y15" s="431"/>
      <c r="Z15" s="431"/>
      <c r="AA15" s="431"/>
      <c r="AB15" s="431"/>
      <c r="AC15" s="431"/>
      <c r="AD15" s="880" t="s">
        <v>132</v>
      </c>
      <c r="AE15" s="881"/>
      <c r="AF15" s="881"/>
      <c r="AG15" s="881"/>
      <c r="AH15" s="881"/>
      <c r="AI15" s="882"/>
    </row>
    <row r="16" spans="1:35" ht="31.5" customHeight="1" x14ac:dyDescent="0.35">
      <c r="A16" s="378" t="s">
        <v>147</v>
      </c>
      <c r="C16" s="885" t="s">
        <v>128</v>
      </c>
      <c r="D16" s="885"/>
      <c r="E16" s="885"/>
      <c r="F16" s="885"/>
      <c r="H16" s="442"/>
      <c r="J16" s="444"/>
      <c r="K16" s="445" t="s">
        <v>35</v>
      </c>
      <c r="L16" s="445" t="s">
        <v>148</v>
      </c>
      <c r="N16" s="446" t="s">
        <v>149</v>
      </c>
      <c r="O16" s="447" t="s">
        <v>150</v>
      </c>
      <c r="P16" s="447" t="s">
        <v>138</v>
      </c>
      <c r="Q16" s="447" t="s">
        <v>151</v>
      </c>
      <c r="R16" s="749" t="s">
        <v>152</v>
      </c>
      <c r="S16" s="749"/>
      <c r="T16" s="883" t="s">
        <v>153</v>
      </c>
      <c r="U16" s="883"/>
      <c r="W16" s="425" t="s">
        <v>154</v>
      </c>
      <c r="X16" s="425"/>
      <c r="Y16" s="425"/>
      <c r="Z16" s="425"/>
      <c r="AA16" s="425"/>
      <c r="AB16" s="425"/>
      <c r="AC16" s="425"/>
      <c r="AD16" s="868"/>
      <c r="AE16" s="869"/>
      <c r="AF16" s="869"/>
      <c r="AG16" s="869"/>
      <c r="AH16" s="869"/>
      <c r="AI16" s="870"/>
    </row>
    <row r="17" spans="1:35" ht="18" customHeight="1" thickBot="1" x14ac:dyDescent="0.3">
      <c r="A17" s="640"/>
      <c r="B17" s="2"/>
      <c r="C17" s="379"/>
      <c r="D17" s="379"/>
      <c r="E17" s="379"/>
      <c r="F17" s="379"/>
      <c r="G17" s="380">
        <f>+(D17-C17)+(F17-E17)</f>
        <v>0</v>
      </c>
      <c r="H17" s="381">
        <f>+G17*1440</f>
        <v>0</v>
      </c>
      <c r="I17" s="859" t="s">
        <v>155</v>
      </c>
      <c r="J17" s="860"/>
      <c r="K17" s="373"/>
      <c r="L17" s="374"/>
      <c r="M17" s="423"/>
      <c r="N17" s="629">
        <f>+J14+L14+K14+K17+L17</f>
        <v>0</v>
      </c>
      <c r="O17" s="368">
        <f>+(Setup_and_Criteria!$K$31+(J14*Setup_and_Criteria!$F$20)+('M1_1-15th'!K14*Setup_and_Criteria!$F$21)+('M1_1-15th'!L14*Setup_and_Criteria!$F$20))+T17+(K17*Setup_and_Criteria!$F$21)+(Setup_and_Criteria!$F$22*'M1_1-15th'!L17)</f>
        <v>75</v>
      </c>
      <c r="P17" s="367">
        <f>+H17</f>
        <v>0</v>
      </c>
      <c r="Q17" s="367">
        <f>+O17-P17</f>
        <v>75</v>
      </c>
      <c r="R17" s="861"/>
      <c r="S17" s="861"/>
      <c r="T17" s="862"/>
      <c r="U17" s="863"/>
      <c r="V17" s="265" t="s">
        <v>156</v>
      </c>
      <c r="W17" s="854"/>
      <c r="X17" s="855"/>
      <c r="Y17" s="855"/>
      <c r="Z17" s="855"/>
      <c r="AA17" s="855"/>
      <c r="AB17" s="855"/>
      <c r="AC17" s="855"/>
      <c r="AD17" s="868"/>
      <c r="AE17" s="869"/>
      <c r="AF17" s="869"/>
      <c r="AG17" s="869"/>
      <c r="AH17" s="869"/>
      <c r="AI17" s="870"/>
    </row>
    <row r="18" spans="1:35" ht="15.75" thickBot="1" x14ac:dyDescent="0.3">
      <c r="A18" s="452" t="s">
        <v>157</v>
      </c>
      <c r="B18" s="450"/>
      <c r="C18" s="451"/>
      <c r="D18" s="451"/>
      <c r="E18" s="451"/>
      <c r="F18" s="451"/>
      <c r="G18" s="451"/>
      <c r="H18" s="451"/>
      <c r="I18" s="450"/>
      <c r="J18" s="451"/>
      <c r="K18" s="451"/>
      <c r="L18" s="451"/>
      <c r="M18" s="451"/>
      <c r="N18" s="451"/>
      <c r="O18" s="451"/>
      <c r="P18" s="451"/>
      <c r="Q18" s="450"/>
      <c r="R18" s="451"/>
      <c r="S18" s="451"/>
      <c r="T18" s="451"/>
      <c r="U18" s="451"/>
      <c r="V18" s="451"/>
      <c r="W18" s="451"/>
      <c r="X18" s="451"/>
      <c r="Y18" s="451"/>
      <c r="Z18" s="451"/>
      <c r="AA18" s="451"/>
      <c r="AB18" s="450"/>
      <c r="AC18" s="450"/>
      <c r="AD18" s="871"/>
      <c r="AE18" s="872"/>
      <c r="AF18" s="872"/>
      <c r="AG18" s="872"/>
      <c r="AH18" s="872"/>
      <c r="AI18" s="873"/>
    </row>
    <row r="19" spans="1:35" ht="35.25" customHeight="1" x14ac:dyDescent="0.4">
      <c r="A19" s="434" t="str">
        <f>+A6</f>
        <v>April</v>
      </c>
      <c r="B19" s="624">
        <f>+B6+1</f>
        <v>17</v>
      </c>
      <c r="C19" s="884" t="s">
        <v>128</v>
      </c>
      <c r="D19" s="884"/>
      <c r="E19" s="884"/>
      <c r="F19" s="884"/>
      <c r="G19" s="377"/>
      <c r="H19" s="377"/>
      <c r="I19" s="21"/>
      <c r="J19" s="874" t="s">
        <v>129</v>
      </c>
      <c r="K19" s="875"/>
      <c r="L19" s="875"/>
      <c r="M19" s="875"/>
      <c r="N19" s="876" t="s">
        <v>130</v>
      </c>
      <c r="O19" s="876"/>
      <c r="P19" s="876"/>
      <c r="Q19" s="876"/>
      <c r="R19" s="424" t="str">
        <f>+R6</f>
        <v xml:space="preserve"> Corrections Tracking - Check out rooms</v>
      </c>
      <c r="S19" s="424"/>
      <c r="T19" s="424"/>
      <c r="U19" s="424"/>
      <c r="V19" s="424"/>
      <c r="W19" s="424"/>
      <c r="X19" s="424"/>
      <c r="Y19" s="424"/>
      <c r="Z19" s="424"/>
      <c r="AA19" s="424"/>
      <c r="AB19" s="424"/>
      <c r="AC19" s="424"/>
      <c r="AD19" s="461" t="s">
        <v>132</v>
      </c>
      <c r="AE19" s="426"/>
      <c r="AF19" s="426"/>
      <c r="AG19" s="426"/>
      <c r="AH19" s="426"/>
      <c r="AI19" s="427"/>
    </row>
    <row r="20" spans="1:35" ht="59.25" customHeight="1" x14ac:dyDescent="0.25">
      <c r="A20" s="378" t="s">
        <v>133</v>
      </c>
      <c r="C20" s="435" t="s">
        <v>134</v>
      </c>
      <c r="D20" s="435" t="s">
        <v>135</v>
      </c>
      <c r="E20" s="435" t="s">
        <v>134</v>
      </c>
      <c r="F20" s="435" t="s">
        <v>135</v>
      </c>
      <c r="G20" s="1" t="s">
        <v>136</v>
      </c>
      <c r="H20" s="1" t="s">
        <v>108</v>
      </c>
      <c r="I20" s="436"/>
      <c r="J20" s="437" t="str">
        <f>+Setup_and_Criteria!$B$13</f>
        <v>Checkouts</v>
      </c>
      <c r="K20" s="437" t="str">
        <f>+Setup_and_Criteria!$B$14</f>
        <v>Pet Rooms</v>
      </c>
      <c r="L20" s="437" t="str">
        <f>+Setup_and_Criteria!$B$15</f>
        <v>2 Rm &amp; Jac Stes</v>
      </c>
      <c r="M20" s="438" t="str">
        <f>+Setup_and_Criteria!$B$16</f>
        <v>Stayovers</v>
      </c>
      <c r="N20" s="269" t="s">
        <v>137</v>
      </c>
      <c r="O20" s="269" t="s">
        <v>138</v>
      </c>
      <c r="P20" s="439" t="s">
        <v>139</v>
      </c>
      <c r="Q20" s="439" t="s">
        <v>140</v>
      </c>
      <c r="R20" s="440" t="str">
        <f>+Corrections!$C$8</f>
        <v>Vanity</v>
      </c>
      <c r="S20" s="440" t="str">
        <f>+Corrections!$I$8</f>
        <v>Toilet</v>
      </c>
      <c r="T20" s="440" t="str">
        <f>+Corrections!$O$8</f>
        <v>Bed/Pillows</v>
      </c>
      <c r="U20" s="440" t="str">
        <f>+Corrections!$U$8</f>
        <v>Floor</v>
      </c>
      <c r="V20" s="440" t="str">
        <f>+Corrections!$AA$8</f>
        <v>Dusting</v>
      </c>
      <c r="W20" s="440" t="str">
        <f>+Corrections!$AG$8</f>
        <v>Fridge/Micro</v>
      </c>
      <c r="X20" s="440" t="str">
        <f>+Corrections!$AM$8</f>
        <v>Tub</v>
      </c>
      <c r="Y20" s="441" t="str">
        <f>+Corrections!$AS$8</f>
        <v>Mirrors/Glass</v>
      </c>
      <c r="Z20" s="440" t="str">
        <f>+Corrections!$AY$8</f>
        <v>Stocking</v>
      </c>
      <c r="AA20" s="440" t="str">
        <f>+Corrections!$BE$8</f>
        <v>Other</v>
      </c>
      <c r="AB20" s="269" t="s">
        <v>141</v>
      </c>
      <c r="AC20" s="269" t="str">
        <f>+$AC$7</f>
        <v>Daily Corr / Inspected Checkout</v>
      </c>
      <c r="AD20" s="889" t="s">
        <v>143</v>
      </c>
      <c r="AE20" s="890"/>
      <c r="AF20" s="890"/>
      <c r="AG20" s="890"/>
      <c r="AH20" s="890"/>
      <c r="AI20" s="891"/>
    </row>
    <row r="21" spans="1:35" x14ac:dyDescent="0.25">
      <c r="A21" s="638"/>
      <c r="C21" s="369"/>
      <c r="D21" s="369"/>
      <c r="E21" s="369"/>
      <c r="F21" s="369"/>
      <c r="G21" s="264">
        <f t="shared" ref="G21:G26" si="8">+(D21-C21)+(F21-E21)</f>
        <v>0</v>
      </c>
      <c r="H21" s="442">
        <f t="shared" ref="H21:H26" si="9">+G21*1440</f>
        <v>0</v>
      </c>
      <c r="J21" s="630"/>
      <c r="K21" s="630"/>
      <c r="L21" s="630"/>
      <c r="M21" s="630"/>
      <c r="N21" s="1">
        <f>IF(C21&gt;0,((J21*Setup_and_Criteria!$F$13)+('M1_1-15th'!K21*Setup_and_Criteria!$F$14)+('M1_1-15th'!L21*Setup_and_Criteria!$F$15)+('M1_1-15th'!M21*Setup_and_Criteria!$F$16)+Setup_and_Criteria!$J$16),0)</f>
        <v>0</v>
      </c>
      <c r="O21" s="442">
        <f>+H21</f>
        <v>0</v>
      </c>
      <c r="P21" s="443">
        <f t="shared" ref="P21:P27" si="10">+N21-O21</f>
        <v>0</v>
      </c>
      <c r="Q21" s="357" t="e">
        <f t="shared" ref="Q21:Q27" si="11">O21/_xlfn.SINGLE(SUM(J21:M21))</f>
        <v>#DIV/0!</v>
      </c>
      <c r="R21" s="630"/>
      <c r="S21" s="630"/>
      <c r="T21" s="630"/>
      <c r="U21" s="630"/>
      <c r="V21" s="630"/>
      <c r="W21" s="630"/>
      <c r="X21" s="630"/>
      <c r="Y21" s="630"/>
      <c r="Z21" s="630"/>
      <c r="AA21" s="630"/>
      <c r="AB21" s="1">
        <f t="shared" ref="AB21:AB27" si="12">SUM(R21:AA21)</f>
        <v>0</v>
      </c>
      <c r="AC21" s="357" t="e">
        <f t="shared" ref="AC21:AC27" si="13">+AB21/(J21+K21+L21)</f>
        <v>#DIV/0!</v>
      </c>
      <c r="AD21" s="864" t="s">
        <v>144</v>
      </c>
      <c r="AE21" s="865"/>
      <c r="AF21" s="865"/>
      <c r="AG21" s="866"/>
      <c r="AH21" s="866"/>
      <c r="AI21" s="867"/>
    </row>
    <row r="22" spans="1:35" x14ac:dyDescent="0.25">
      <c r="A22" s="638"/>
      <c r="C22" s="630"/>
      <c r="D22" s="630"/>
      <c r="E22" s="630"/>
      <c r="F22" s="630"/>
      <c r="G22" s="264">
        <f t="shared" si="8"/>
        <v>0</v>
      </c>
      <c r="H22" s="442">
        <f t="shared" si="9"/>
        <v>0</v>
      </c>
      <c r="J22" s="630"/>
      <c r="K22" s="630"/>
      <c r="L22" s="630"/>
      <c r="M22" s="630"/>
      <c r="N22" s="1">
        <f>IF(C22&gt;0,((J22*Setup_and_Criteria!$F$13)+('M1_1-15th'!K22*Setup_and_Criteria!$F$14)+('M1_1-15th'!L22*Setup_and_Criteria!$F$15)+('M1_1-15th'!M22*Setup_and_Criteria!$F$16)+Setup_and_Criteria!$J$16),0)</f>
        <v>0</v>
      </c>
      <c r="O22" s="442">
        <f t="shared" ref="O22:O27" si="14">+H22</f>
        <v>0</v>
      </c>
      <c r="P22" s="443">
        <f t="shared" si="10"/>
        <v>0</v>
      </c>
      <c r="Q22" s="357" t="e">
        <f t="shared" si="11"/>
        <v>#DIV/0!</v>
      </c>
      <c r="R22" s="630"/>
      <c r="S22" s="630"/>
      <c r="T22" s="630"/>
      <c r="U22" s="630"/>
      <c r="V22" s="630"/>
      <c r="W22" s="630"/>
      <c r="X22" s="630"/>
      <c r="Y22" s="630"/>
      <c r="Z22" s="630"/>
      <c r="AA22" s="630"/>
      <c r="AB22" s="1">
        <f t="shared" si="12"/>
        <v>0</v>
      </c>
      <c r="AC22" s="357" t="e">
        <f t="shared" si="13"/>
        <v>#DIV/0!</v>
      </c>
      <c r="AD22" s="864"/>
      <c r="AE22" s="865"/>
      <c r="AF22" s="865"/>
      <c r="AG22" s="866"/>
      <c r="AH22" s="866"/>
      <c r="AI22" s="867"/>
    </row>
    <row r="23" spans="1:35" x14ac:dyDescent="0.25">
      <c r="A23" s="638"/>
      <c r="C23" s="369"/>
      <c r="D23" s="630"/>
      <c r="E23" s="630"/>
      <c r="F23" s="369"/>
      <c r="G23" s="264">
        <f t="shared" si="8"/>
        <v>0</v>
      </c>
      <c r="H23" s="442">
        <f t="shared" si="9"/>
        <v>0</v>
      </c>
      <c r="J23" s="630"/>
      <c r="K23" s="630"/>
      <c r="L23" s="630"/>
      <c r="M23" s="630"/>
      <c r="N23" s="1">
        <f>IF(C23&gt;0,((J23*Setup_and_Criteria!$F$13)+('M1_1-15th'!K23*Setup_and_Criteria!$F$14)+('M1_1-15th'!L23*Setup_and_Criteria!$F$15)+('M1_1-15th'!M23*Setup_and_Criteria!$F$16)+Setup_and_Criteria!$J$16),0)</f>
        <v>0</v>
      </c>
      <c r="O23" s="442">
        <f t="shared" si="14"/>
        <v>0</v>
      </c>
      <c r="P23" s="443">
        <f t="shared" si="10"/>
        <v>0</v>
      </c>
      <c r="Q23" s="357" t="e">
        <f t="shared" si="11"/>
        <v>#DIV/0!</v>
      </c>
      <c r="R23" s="630"/>
      <c r="S23" s="630"/>
      <c r="T23" s="630"/>
      <c r="U23" s="630"/>
      <c r="V23" s="630"/>
      <c r="W23" s="630"/>
      <c r="X23" s="630"/>
      <c r="Y23" s="630"/>
      <c r="Z23" s="630"/>
      <c r="AA23" s="630"/>
      <c r="AB23" s="1">
        <f t="shared" si="12"/>
        <v>0</v>
      </c>
      <c r="AC23" s="357" t="e">
        <f t="shared" si="13"/>
        <v>#DIV/0!</v>
      </c>
      <c r="AD23" s="864"/>
      <c r="AE23" s="865"/>
      <c r="AF23" s="865"/>
      <c r="AG23" s="866"/>
      <c r="AH23" s="866"/>
      <c r="AI23" s="867"/>
    </row>
    <row r="24" spans="1:35" x14ac:dyDescent="0.25">
      <c r="A24" s="638"/>
      <c r="C24" s="630"/>
      <c r="D24" s="630"/>
      <c r="E24" s="630"/>
      <c r="F24" s="630"/>
      <c r="G24" s="264">
        <f t="shared" si="8"/>
        <v>0</v>
      </c>
      <c r="H24" s="442">
        <f t="shared" si="9"/>
        <v>0</v>
      </c>
      <c r="J24" s="630"/>
      <c r="K24" s="630"/>
      <c r="L24" s="630"/>
      <c r="M24" s="630"/>
      <c r="N24" s="1">
        <f>IF(C24&gt;0,((J24*Setup_and_Criteria!$F$13)+('M1_1-15th'!K24*Setup_and_Criteria!$F$14)+('M1_1-15th'!L24*Setup_and_Criteria!$F$15)+('M1_1-15th'!M24*Setup_and_Criteria!$F$16)+Setup_and_Criteria!$J$16),0)</f>
        <v>0</v>
      </c>
      <c r="O24" s="442">
        <f t="shared" si="14"/>
        <v>0</v>
      </c>
      <c r="P24" s="443">
        <f t="shared" si="10"/>
        <v>0</v>
      </c>
      <c r="Q24" s="357" t="e">
        <f t="shared" si="11"/>
        <v>#DIV/0!</v>
      </c>
      <c r="R24" s="630"/>
      <c r="S24" s="630"/>
      <c r="T24" s="630"/>
      <c r="U24" s="630"/>
      <c r="V24" s="630"/>
      <c r="W24" s="630"/>
      <c r="X24" s="630"/>
      <c r="Y24" s="630"/>
      <c r="Z24" s="630"/>
      <c r="AA24" s="630"/>
      <c r="AB24" s="1">
        <f t="shared" si="12"/>
        <v>0</v>
      </c>
      <c r="AC24" s="357" t="e">
        <f t="shared" si="13"/>
        <v>#DIV/0!</v>
      </c>
      <c r="AD24" s="864"/>
      <c r="AE24" s="865"/>
      <c r="AF24" s="865"/>
      <c r="AG24" s="866"/>
      <c r="AH24" s="866"/>
      <c r="AI24" s="867"/>
    </row>
    <row r="25" spans="1:35" x14ac:dyDescent="0.25">
      <c r="A25" s="638"/>
      <c r="C25" s="630"/>
      <c r="D25" s="630"/>
      <c r="E25" s="630"/>
      <c r="F25" s="630"/>
      <c r="G25" s="264">
        <f t="shared" si="8"/>
        <v>0</v>
      </c>
      <c r="H25" s="442">
        <f t="shared" si="9"/>
        <v>0</v>
      </c>
      <c r="J25" s="630"/>
      <c r="K25" s="630"/>
      <c r="L25" s="630"/>
      <c r="M25" s="630"/>
      <c r="N25" s="1">
        <f>IF(C25&gt;0,((J25*Setup_and_Criteria!$F$13)+('M1_1-15th'!K25*Setup_and_Criteria!$F$14)+('M1_1-15th'!L25*Setup_and_Criteria!$F$15)+('M1_1-15th'!M25*Setup_and_Criteria!$F$16)+Setup_and_Criteria!$J$16),0)</f>
        <v>0</v>
      </c>
      <c r="O25" s="442">
        <f t="shared" si="14"/>
        <v>0</v>
      </c>
      <c r="P25" s="443">
        <f t="shared" si="10"/>
        <v>0</v>
      </c>
      <c r="Q25" s="357" t="e">
        <f t="shared" si="11"/>
        <v>#DIV/0!</v>
      </c>
      <c r="R25" s="630"/>
      <c r="S25" s="630"/>
      <c r="T25" s="630"/>
      <c r="U25" s="630"/>
      <c r="V25" s="630"/>
      <c r="W25" s="630"/>
      <c r="X25" s="630"/>
      <c r="Y25" s="630"/>
      <c r="Z25" s="630"/>
      <c r="AA25" s="630"/>
      <c r="AB25" s="1">
        <f t="shared" si="12"/>
        <v>0</v>
      </c>
      <c r="AC25" s="357" t="e">
        <f t="shared" si="13"/>
        <v>#DIV/0!</v>
      </c>
      <c r="AD25" s="864"/>
      <c r="AE25" s="865"/>
      <c r="AF25" s="865"/>
      <c r="AG25" s="866"/>
      <c r="AH25" s="866"/>
      <c r="AI25" s="867"/>
    </row>
    <row r="26" spans="1:35" ht="15.75" thickBot="1" x14ac:dyDescent="0.3">
      <c r="A26" s="638"/>
      <c r="C26" s="370"/>
      <c r="D26" s="370"/>
      <c r="E26" s="630"/>
      <c r="F26" s="630"/>
      <c r="G26" s="264">
        <f t="shared" si="8"/>
        <v>0</v>
      </c>
      <c r="H26" s="442">
        <f t="shared" si="9"/>
        <v>0</v>
      </c>
      <c r="J26" s="371"/>
      <c r="K26" s="371"/>
      <c r="L26" s="371"/>
      <c r="M26" s="371"/>
      <c r="N26" s="358">
        <f>IF(C26&gt;0,((J26*Setup_and_Criteria!$F$13)+('M1_1-15th'!K26*Setup_and_Criteria!$F$14)+('M1_1-15th'!L26*Setup_and_Criteria!$F$15)+('M1_1-15th'!M26*Setup_and_Criteria!$F$16)+Setup_and_Criteria!$J$16),0)</f>
        <v>0</v>
      </c>
      <c r="O26" s="359">
        <f t="shared" si="14"/>
        <v>0</v>
      </c>
      <c r="P26" s="383">
        <f t="shared" si="10"/>
        <v>0</v>
      </c>
      <c r="Q26" s="360" t="e">
        <f t="shared" si="11"/>
        <v>#DIV/0!</v>
      </c>
      <c r="R26" s="511"/>
      <c r="S26" s="511"/>
      <c r="T26" s="511"/>
      <c r="U26" s="511"/>
      <c r="V26" s="511"/>
      <c r="W26" s="511"/>
      <c r="X26" s="511"/>
      <c r="Y26" s="511"/>
      <c r="Z26" s="511"/>
      <c r="AA26" s="511"/>
      <c r="AB26" s="1">
        <f t="shared" si="12"/>
        <v>0</v>
      </c>
      <c r="AC26" s="357" t="e">
        <f t="shared" si="13"/>
        <v>#DIV/0!</v>
      </c>
      <c r="AD26" s="864"/>
      <c r="AE26" s="865"/>
      <c r="AF26" s="865"/>
      <c r="AG26" s="866"/>
      <c r="AH26" s="866"/>
      <c r="AI26" s="867"/>
    </row>
    <row r="27" spans="1:35" ht="15.75" thickTop="1" x14ac:dyDescent="0.25">
      <c r="A27" s="58"/>
      <c r="H27" s="442">
        <f>SUM(H21:H26)</f>
        <v>0</v>
      </c>
      <c r="J27" s="1">
        <f>SUM(J21:J26)</f>
        <v>0</v>
      </c>
      <c r="K27" s="1">
        <f>SUM(K21:K26)</f>
        <v>0</v>
      </c>
      <c r="L27" s="1">
        <f>SUM(L21:L26)</f>
        <v>0</v>
      </c>
      <c r="M27" s="1">
        <f>SUM(M21:M26)</f>
        <v>0</v>
      </c>
      <c r="N27" s="1">
        <f>SUM(N21:N26)</f>
        <v>0</v>
      </c>
      <c r="O27" s="1">
        <f t="shared" si="14"/>
        <v>0</v>
      </c>
      <c r="P27" s="443">
        <f t="shared" si="10"/>
        <v>0</v>
      </c>
      <c r="Q27" s="357" t="e">
        <f t="shared" si="11"/>
        <v>#DIV/0!</v>
      </c>
      <c r="R27" s="1">
        <f t="shared" ref="R27:AA27" si="15">SUM(R21:R26)</f>
        <v>0</v>
      </c>
      <c r="S27" s="1">
        <f t="shared" si="15"/>
        <v>0</v>
      </c>
      <c r="T27" s="1">
        <f t="shared" si="15"/>
        <v>0</v>
      </c>
      <c r="U27" s="1">
        <f t="shared" si="15"/>
        <v>0</v>
      </c>
      <c r="V27" s="1">
        <f t="shared" si="15"/>
        <v>0</v>
      </c>
      <c r="W27" s="1">
        <f t="shared" si="15"/>
        <v>0</v>
      </c>
      <c r="X27" s="1">
        <f t="shared" si="15"/>
        <v>0</v>
      </c>
      <c r="Y27" s="1">
        <f t="shared" si="15"/>
        <v>0</v>
      </c>
      <c r="Z27" s="1">
        <f t="shared" si="15"/>
        <v>0</v>
      </c>
      <c r="AA27" s="1">
        <f t="shared" si="15"/>
        <v>0</v>
      </c>
      <c r="AB27" s="1">
        <f t="shared" si="12"/>
        <v>0</v>
      </c>
      <c r="AC27" s="357" t="e">
        <f t="shared" si="13"/>
        <v>#DIV/0!</v>
      </c>
      <c r="AD27" s="877"/>
      <c r="AE27" s="878"/>
      <c r="AF27" s="878"/>
      <c r="AG27" s="749"/>
      <c r="AH27" s="749"/>
      <c r="AI27" s="879"/>
    </row>
    <row r="28" spans="1:35" ht="21" customHeight="1" x14ac:dyDescent="0.35">
      <c r="A28" s="58"/>
      <c r="H28" s="442"/>
      <c r="N28" s="888" t="s">
        <v>145</v>
      </c>
      <c r="O28" s="888"/>
      <c r="P28" s="888"/>
      <c r="Q28" s="888"/>
      <c r="R28" s="431" t="s">
        <v>146</v>
      </c>
      <c r="S28" s="431"/>
      <c r="T28" s="431"/>
      <c r="U28" s="431"/>
      <c r="V28" s="431"/>
      <c r="W28" s="431"/>
      <c r="X28" s="431"/>
      <c r="Y28" s="431"/>
      <c r="Z28" s="431"/>
      <c r="AA28" s="431"/>
      <c r="AB28" s="431"/>
      <c r="AC28" s="431"/>
      <c r="AD28" s="880" t="s">
        <v>132</v>
      </c>
      <c r="AE28" s="881"/>
      <c r="AF28" s="881"/>
      <c r="AG28" s="881"/>
      <c r="AH28" s="881"/>
      <c r="AI28" s="882"/>
    </row>
    <row r="29" spans="1:35" ht="31.5" customHeight="1" x14ac:dyDescent="0.35">
      <c r="A29" s="378" t="s">
        <v>147</v>
      </c>
      <c r="C29" s="885" t="s">
        <v>128</v>
      </c>
      <c r="D29" s="885"/>
      <c r="E29" s="885"/>
      <c r="F29" s="885"/>
      <c r="H29" s="442"/>
      <c r="J29" s="444"/>
      <c r="K29" s="445" t="s">
        <v>35</v>
      </c>
      <c r="L29" s="445" t="s">
        <v>148</v>
      </c>
      <c r="N29" s="446" t="s">
        <v>149</v>
      </c>
      <c r="O29" s="447" t="s">
        <v>150</v>
      </c>
      <c r="P29" s="447" t="s">
        <v>138</v>
      </c>
      <c r="Q29" s="447" t="s">
        <v>151</v>
      </c>
      <c r="R29" s="749" t="s">
        <v>152</v>
      </c>
      <c r="S29" s="749"/>
      <c r="T29" s="883" t="s">
        <v>153</v>
      </c>
      <c r="U29" s="883"/>
      <c r="W29" s="425" t="s">
        <v>154</v>
      </c>
      <c r="X29" s="425"/>
      <c r="Y29" s="425"/>
      <c r="Z29" s="425"/>
      <c r="AA29" s="425"/>
      <c r="AB29" s="425"/>
      <c r="AC29" s="425"/>
      <c r="AD29" s="868" t="s">
        <v>160</v>
      </c>
      <c r="AE29" s="869"/>
      <c r="AF29" s="869"/>
      <c r="AG29" s="869"/>
      <c r="AH29" s="869"/>
      <c r="AI29" s="870"/>
    </row>
    <row r="30" spans="1:35" ht="18" customHeight="1" thickBot="1" x14ac:dyDescent="0.3">
      <c r="A30" s="639"/>
      <c r="B30" s="364"/>
      <c r="C30" s="372"/>
      <c r="D30" s="372"/>
      <c r="E30" s="372"/>
      <c r="F30" s="372"/>
      <c r="G30" s="366">
        <f>+(D30-C30)+(F30-E30)</f>
        <v>0</v>
      </c>
      <c r="H30" s="367">
        <f>+G30*1440</f>
        <v>0</v>
      </c>
      <c r="I30" s="859" t="s">
        <v>155</v>
      </c>
      <c r="J30" s="860"/>
      <c r="K30" s="373"/>
      <c r="L30" s="374"/>
      <c r="M30" s="423"/>
      <c r="N30" s="629">
        <f>+J27+L27+K27+K30+L30</f>
        <v>0</v>
      </c>
      <c r="O30" s="368">
        <f>+(Setup_and_Criteria!$K$31+(J27*Setup_and_Criteria!$F$20)+('M1_1-15th'!K27*Setup_and_Criteria!$F$21)+('M1_1-15th'!L27*Setup_and_Criteria!$F$20))+T30+(K30*Setup_and_Criteria!$F$21)+(Setup_and_Criteria!$F$22*'M1_1-15th'!L30)</f>
        <v>75</v>
      </c>
      <c r="P30" s="367">
        <f>+H30</f>
        <v>0</v>
      </c>
      <c r="Q30" s="367">
        <f>+O30-P30</f>
        <v>75</v>
      </c>
      <c r="R30" s="861" t="s">
        <v>252</v>
      </c>
      <c r="S30" s="861"/>
      <c r="T30" s="862"/>
      <c r="U30" s="863"/>
      <c r="V30" s="265" t="s">
        <v>156</v>
      </c>
      <c r="W30" s="854"/>
      <c r="X30" s="855"/>
      <c r="Y30" s="855"/>
      <c r="Z30" s="855"/>
      <c r="AA30" s="855"/>
      <c r="AB30" s="855"/>
      <c r="AC30" s="855"/>
      <c r="AD30" s="868"/>
      <c r="AE30" s="869"/>
      <c r="AF30" s="869"/>
      <c r="AG30" s="869"/>
      <c r="AH30" s="869"/>
      <c r="AI30" s="870"/>
    </row>
    <row r="31" spans="1:35" ht="15.75" thickBot="1" x14ac:dyDescent="0.3">
      <c r="A31" s="452" t="str">
        <f>+A18</f>
        <v>Password to enter data = "Enter Info"</v>
      </c>
      <c r="B31" s="450"/>
      <c r="C31" s="451"/>
      <c r="D31" s="451"/>
      <c r="E31" s="451"/>
      <c r="F31" s="451"/>
      <c r="G31" s="451"/>
      <c r="H31" s="451"/>
      <c r="I31" s="450"/>
      <c r="J31" s="451"/>
      <c r="K31" s="451"/>
      <c r="L31" s="451"/>
      <c r="M31" s="451"/>
      <c r="N31" s="451"/>
      <c r="O31" s="451"/>
      <c r="P31" s="451"/>
      <c r="Q31" s="450"/>
      <c r="R31" s="451"/>
      <c r="S31" s="451"/>
      <c r="T31" s="451"/>
      <c r="U31" s="451"/>
      <c r="V31" s="451"/>
      <c r="W31" s="451"/>
      <c r="X31" s="451"/>
      <c r="Y31" s="451"/>
      <c r="Z31" s="451"/>
      <c r="AA31" s="451"/>
      <c r="AB31" s="450"/>
      <c r="AC31" s="450"/>
      <c r="AD31" s="871"/>
      <c r="AE31" s="872"/>
      <c r="AF31" s="872"/>
      <c r="AG31" s="872"/>
      <c r="AH31" s="872"/>
      <c r="AI31" s="873"/>
    </row>
    <row r="32" spans="1:35" ht="35.25" customHeight="1" x14ac:dyDescent="0.4">
      <c r="A32" s="434" t="str">
        <f>+A19</f>
        <v>April</v>
      </c>
      <c r="B32" s="624">
        <f>+B19+1</f>
        <v>18</v>
      </c>
      <c r="C32" s="884" t="s">
        <v>128</v>
      </c>
      <c r="D32" s="884"/>
      <c r="E32" s="884"/>
      <c r="F32" s="884"/>
      <c r="G32" s="377"/>
      <c r="H32" s="377"/>
      <c r="I32" s="21"/>
      <c r="J32" s="874" t="s">
        <v>129</v>
      </c>
      <c r="K32" s="875"/>
      <c r="L32" s="875"/>
      <c r="M32" s="875"/>
      <c r="N32" s="876" t="s">
        <v>130</v>
      </c>
      <c r="O32" s="876"/>
      <c r="P32" s="876"/>
      <c r="Q32" s="876"/>
      <c r="R32" s="424" t="str">
        <f>+R19</f>
        <v xml:space="preserve"> Corrections Tracking - Check out rooms</v>
      </c>
      <c r="S32" s="424"/>
      <c r="T32" s="424"/>
      <c r="U32" s="424"/>
      <c r="V32" s="424"/>
      <c r="W32" s="424"/>
      <c r="X32" s="424"/>
      <c r="Y32" s="424"/>
      <c r="Z32" s="424"/>
      <c r="AA32" s="424"/>
      <c r="AB32" s="424"/>
      <c r="AC32" s="424"/>
      <c r="AD32" s="461" t="s">
        <v>132</v>
      </c>
      <c r="AE32" s="426"/>
      <c r="AF32" s="426"/>
      <c r="AG32" s="426"/>
      <c r="AH32" s="426"/>
      <c r="AI32" s="427"/>
    </row>
    <row r="33" spans="1:35" ht="59.25" customHeight="1" x14ac:dyDescent="0.25">
      <c r="A33" s="378" t="s">
        <v>133</v>
      </c>
      <c r="C33" s="435" t="s">
        <v>134</v>
      </c>
      <c r="D33" s="435" t="s">
        <v>135</v>
      </c>
      <c r="E33" s="435" t="s">
        <v>134</v>
      </c>
      <c r="F33" s="435" t="s">
        <v>135</v>
      </c>
      <c r="G33" s="1" t="s">
        <v>136</v>
      </c>
      <c r="H33" s="1" t="s">
        <v>108</v>
      </c>
      <c r="I33" s="436"/>
      <c r="J33" s="437" t="str">
        <f>+Setup_and_Criteria!$B$13</f>
        <v>Checkouts</v>
      </c>
      <c r="K33" s="437" t="str">
        <f>+Setup_and_Criteria!$B$14</f>
        <v>Pet Rooms</v>
      </c>
      <c r="L33" s="437" t="str">
        <f>+Setup_and_Criteria!$B$15</f>
        <v>2 Rm &amp; Jac Stes</v>
      </c>
      <c r="M33" s="438" t="str">
        <f>+Setup_and_Criteria!$B$16</f>
        <v>Stayovers</v>
      </c>
      <c r="N33" s="269" t="s">
        <v>137</v>
      </c>
      <c r="O33" s="269" t="s">
        <v>138</v>
      </c>
      <c r="P33" s="439" t="s">
        <v>139</v>
      </c>
      <c r="Q33" s="439" t="s">
        <v>140</v>
      </c>
      <c r="R33" s="440" t="str">
        <f>+Corrections!$C$8</f>
        <v>Vanity</v>
      </c>
      <c r="S33" s="440" t="str">
        <f>+Corrections!$I$8</f>
        <v>Toilet</v>
      </c>
      <c r="T33" s="440" t="str">
        <f>+Corrections!$O$8</f>
        <v>Bed/Pillows</v>
      </c>
      <c r="U33" s="440" t="str">
        <f>+Corrections!$U$8</f>
        <v>Floor</v>
      </c>
      <c r="V33" s="440" t="str">
        <f>+Corrections!$AA$8</f>
        <v>Dusting</v>
      </c>
      <c r="W33" s="440" t="str">
        <f>+Corrections!$AG$8</f>
        <v>Fridge/Micro</v>
      </c>
      <c r="X33" s="440" t="str">
        <f>+Corrections!$AM$8</f>
        <v>Tub</v>
      </c>
      <c r="Y33" s="441" t="str">
        <f>+Corrections!$AS$8</f>
        <v>Mirrors/Glass</v>
      </c>
      <c r="Z33" s="440" t="str">
        <f>+Corrections!$AY$8</f>
        <v>Stocking</v>
      </c>
      <c r="AA33" s="440" t="str">
        <f>+Corrections!$BE$8</f>
        <v>Other</v>
      </c>
      <c r="AB33" s="269" t="s">
        <v>141</v>
      </c>
      <c r="AC33" s="269" t="str">
        <f>+$AC$7</f>
        <v>Daily Corr / Inspected Checkout</v>
      </c>
      <c r="AD33" s="889" t="s">
        <v>143</v>
      </c>
      <c r="AE33" s="890"/>
      <c r="AF33" s="890"/>
      <c r="AG33" s="890"/>
      <c r="AH33" s="890"/>
      <c r="AI33" s="891"/>
    </row>
    <row r="34" spans="1:35" x14ac:dyDescent="0.25">
      <c r="A34" s="638"/>
      <c r="C34" s="369"/>
      <c r="D34" s="369"/>
      <c r="E34" s="369"/>
      <c r="F34" s="369"/>
      <c r="G34" s="264">
        <f t="shared" ref="G34:G39" si="16">+(D34-C34)+(F34-E34)</f>
        <v>0</v>
      </c>
      <c r="H34" s="442">
        <f t="shared" ref="H34:H39" si="17">+G34*1440</f>
        <v>0</v>
      </c>
      <c r="J34" s="630"/>
      <c r="K34" s="630"/>
      <c r="L34" s="630"/>
      <c r="M34" s="630"/>
      <c r="N34" s="1">
        <f>IF(C34&gt;0,((J34*Setup_and_Criteria!$F$13)+('M1_1-15th'!K34*Setup_and_Criteria!$F$14)+('M1_1-15th'!L34*Setup_and_Criteria!$F$15)+('M1_1-15th'!M34*Setup_and_Criteria!$F$16)+Setup_and_Criteria!$J$16),0)</f>
        <v>0</v>
      </c>
      <c r="O34" s="442">
        <f>+H34</f>
        <v>0</v>
      </c>
      <c r="P34" s="443">
        <f t="shared" ref="P34:P40" si="18">+N34-O34</f>
        <v>0</v>
      </c>
      <c r="Q34" s="357" t="e">
        <f t="shared" ref="Q34:Q40" si="19">O34/_xlfn.SINGLE(SUM(J34:M34))</f>
        <v>#DIV/0!</v>
      </c>
      <c r="R34" s="630"/>
      <c r="S34" s="630"/>
      <c r="T34" s="630"/>
      <c r="U34" s="630"/>
      <c r="V34" s="630"/>
      <c r="W34" s="630"/>
      <c r="X34" s="630"/>
      <c r="Y34" s="630"/>
      <c r="Z34" s="630"/>
      <c r="AA34" s="630"/>
      <c r="AB34" s="1">
        <f t="shared" ref="AB34:AB40" si="20">SUM(R34:AA34)</f>
        <v>0</v>
      </c>
      <c r="AC34" s="357" t="e">
        <f t="shared" ref="AC34:AC40" si="21">+AB34/(J34+K34+L34)</f>
        <v>#DIV/0!</v>
      </c>
      <c r="AD34" s="864" t="s">
        <v>161</v>
      </c>
      <c r="AE34" s="865"/>
      <c r="AF34" s="865"/>
      <c r="AG34" s="866"/>
      <c r="AH34" s="866"/>
      <c r="AI34" s="867"/>
    </row>
    <row r="35" spans="1:35" x14ac:dyDescent="0.25">
      <c r="A35" s="638"/>
      <c r="C35" s="369"/>
      <c r="D35" s="369"/>
      <c r="E35" s="630"/>
      <c r="F35" s="630"/>
      <c r="G35" s="264">
        <f t="shared" si="16"/>
        <v>0</v>
      </c>
      <c r="H35" s="442">
        <f t="shared" si="17"/>
        <v>0</v>
      </c>
      <c r="J35" s="630"/>
      <c r="K35" s="630"/>
      <c r="L35" s="630"/>
      <c r="M35" s="630"/>
      <c r="N35" s="1">
        <f>IF(C35&gt;0,((J35*Setup_and_Criteria!$F$13)+('M1_1-15th'!K35*Setup_and_Criteria!$F$14)+('M1_1-15th'!L35*Setup_and_Criteria!$F$15)+('M1_1-15th'!M35*Setup_and_Criteria!$F$16)+Setup_and_Criteria!$J$16),0)</f>
        <v>0</v>
      </c>
      <c r="O35" s="442">
        <f t="shared" ref="O35:O40" si="22">+H35</f>
        <v>0</v>
      </c>
      <c r="P35" s="443">
        <f t="shared" si="18"/>
        <v>0</v>
      </c>
      <c r="Q35" s="357" t="e">
        <f t="shared" si="19"/>
        <v>#DIV/0!</v>
      </c>
      <c r="R35" s="630"/>
      <c r="S35" s="630"/>
      <c r="T35" s="630"/>
      <c r="U35" s="630"/>
      <c r="V35" s="630"/>
      <c r="W35" s="630"/>
      <c r="X35" s="630"/>
      <c r="Y35" s="630"/>
      <c r="Z35" s="630"/>
      <c r="AA35" s="630"/>
      <c r="AB35" s="1">
        <f t="shared" si="20"/>
        <v>0</v>
      </c>
      <c r="AC35" s="357" t="e">
        <f t="shared" si="21"/>
        <v>#DIV/0!</v>
      </c>
      <c r="AD35" s="864" t="s">
        <v>162</v>
      </c>
      <c r="AE35" s="865"/>
      <c r="AF35" s="865"/>
      <c r="AG35" s="866"/>
      <c r="AH35" s="866"/>
      <c r="AI35" s="867"/>
    </row>
    <row r="36" spans="1:35" x14ac:dyDescent="0.25">
      <c r="A36" s="638"/>
      <c r="C36" s="369"/>
      <c r="D36" s="369"/>
      <c r="E36" s="630"/>
      <c r="F36" s="630"/>
      <c r="G36" s="264">
        <f t="shared" si="16"/>
        <v>0</v>
      </c>
      <c r="H36" s="442">
        <f t="shared" si="17"/>
        <v>0</v>
      </c>
      <c r="J36" s="630"/>
      <c r="K36" s="630"/>
      <c r="L36" s="630"/>
      <c r="M36" s="630"/>
      <c r="N36" s="1">
        <f>IF(C36&gt;0,((J36*Setup_and_Criteria!$F$13)+('M1_1-15th'!K36*Setup_and_Criteria!$F$14)+('M1_1-15th'!L36*Setup_and_Criteria!$F$15)+('M1_1-15th'!M36*Setup_and_Criteria!$F$16)+Setup_and_Criteria!$J$16),0)</f>
        <v>0</v>
      </c>
      <c r="O36" s="442">
        <f t="shared" si="22"/>
        <v>0</v>
      </c>
      <c r="P36" s="443">
        <f t="shared" si="18"/>
        <v>0</v>
      </c>
      <c r="Q36" s="357" t="e">
        <f t="shared" si="19"/>
        <v>#DIV/0!</v>
      </c>
      <c r="R36" s="630"/>
      <c r="S36" s="630"/>
      <c r="T36" s="630"/>
      <c r="U36" s="630"/>
      <c r="V36" s="630"/>
      <c r="W36" s="630"/>
      <c r="X36" s="630"/>
      <c r="Y36" s="630"/>
      <c r="Z36" s="630"/>
      <c r="AA36" s="630"/>
      <c r="AB36" s="1">
        <f t="shared" si="20"/>
        <v>0</v>
      </c>
      <c r="AC36" s="357" t="e">
        <f t="shared" si="21"/>
        <v>#DIV/0!</v>
      </c>
      <c r="AD36" s="864" t="s">
        <v>163</v>
      </c>
      <c r="AE36" s="865"/>
      <c r="AF36" s="865"/>
      <c r="AG36" s="866"/>
      <c r="AH36" s="866"/>
      <c r="AI36" s="867"/>
    </row>
    <row r="37" spans="1:35" x14ac:dyDescent="0.25">
      <c r="A37" s="638"/>
      <c r="C37" s="630"/>
      <c r="D37" s="630"/>
      <c r="E37" s="630"/>
      <c r="F37" s="630"/>
      <c r="G37" s="264">
        <f t="shared" si="16"/>
        <v>0</v>
      </c>
      <c r="H37" s="442">
        <f t="shared" si="17"/>
        <v>0</v>
      </c>
      <c r="J37" s="630"/>
      <c r="K37" s="630"/>
      <c r="L37" s="630"/>
      <c r="M37" s="630"/>
      <c r="N37" s="1">
        <f>IF(C37&gt;0,((J37*Setup_and_Criteria!$F$13)+('M1_1-15th'!K37*Setup_and_Criteria!$F$14)+('M1_1-15th'!L37*Setup_and_Criteria!$F$15)+('M1_1-15th'!M37*Setup_and_Criteria!$F$16)+Setup_and_Criteria!$J$16),0)</f>
        <v>0</v>
      </c>
      <c r="O37" s="442">
        <f t="shared" si="22"/>
        <v>0</v>
      </c>
      <c r="P37" s="443">
        <f t="shared" si="18"/>
        <v>0</v>
      </c>
      <c r="Q37" s="357" t="e">
        <f t="shared" si="19"/>
        <v>#DIV/0!</v>
      </c>
      <c r="R37" s="630"/>
      <c r="S37" s="630"/>
      <c r="T37" s="630"/>
      <c r="U37" s="630"/>
      <c r="V37" s="630"/>
      <c r="W37" s="630"/>
      <c r="X37" s="630"/>
      <c r="Y37" s="630"/>
      <c r="Z37" s="630"/>
      <c r="AA37" s="630"/>
      <c r="AB37" s="1">
        <f t="shared" si="20"/>
        <v>0</v>
      </c>
      <c r="AC37" s="357" t="e">
        <f t="shared" si="21"/>
        <v>#DIV/0!</v>
      </c>
      <c r="AD37" s="864"/>
      <c r="AE37" s="865"/>
      <c r="AF37" s="865"/>
      <c r="AG37" s="866"/>
      <c r="AH37" s="866"/>
      <c r="AI37" s="867"/>
    </row>
    <row r="38" spans="1:35" x14ac:dyDescent="0.25">
      <c r="A38" s="638"/>
      <c r="C38" s="630"/>
      <c r="D38" s="630"/>
      <c r="E38" s="630"/>
      <c r="F38" s="630"/>
      <c r="G38" s="264">
        <f t="shared" si="16"/>
        <v>0</v>
      </c>
      <c r="H38" s="442">
        <f t="shared" si="17"/>
        <v>0</v>
      </c>
      <c r="J38" s="630"/>
      <c r="K38" s="630"/>
      <c r="L38" s="630"/>
      <c r="M38" s="630"/>
      <c r="N38" s="1">
        <f>IF(C38&gt;0,((J38*Setup_and_Criteria!$F$13)+('M1_1-15th'!K38*Setup_and_Criteria!$F$14)+('M1_1-15th'!L38*Setup_and_Criteria!$F$15)+('M1_1-15th'!M38*Setup_and_Criteria!$F$16)+Setup_and_Criteria!$J$16),0)</f>
        <v>0</v>
      </c>
      <c r="O38" s="442">
        <f t="shared" si="22"/>
        <v>0</v>
      </c>
      <c r="P38" s="443">
        <f t="shared" si="18"/>
        <v>0</v>
      </c>
      <c r="Q38" s="357" t="e">
        <f t="shared" si="19"/>
        <v>#DIV/0!</v>
      </c>
      <c r="R38" s="630"/>
      <c r="S38" s="630"/>
      <c r="T38" s="630"/>
      <c r="U38" s="630"/>
      <c r="V38" s="630"/>
      <c r="W38" s="630"/>
      <c r="X38" s="630"/>
      <c r="Y38" s="630"/>
      <c r="Z38" s="630"/>
      <c r="AA38" s="630"/>
      <c r="AB38" s="1">
        <f t="shared" si="20"/>
        <v>0</v>
      </c>
      <c r="AC38" s="357" t="e">
        <f t="shared" si="21"/>
        <v>#DIV/0!</v>
      </c>
      <c r="AD38" s="864"/>
      <c r="AE38" s="865"/>
      <c r="AF38" s="865"/>
      <c r="AG38" s="866"/>
      <c r="AH38" s="866"/>
      <c r="AI38" s="867"/>
    </row>
    <row r="39" spans="1:35" ht="15.75" thickBot="1" x14ac:dyDescent="0.3">
      <c r="A39" s="638"/>
      <c r="C39" s="370"/>
      <c r="D39" s="370"/>
      <c r="E39" s="630"/>
      <c r="F39" s="630"/>
      <c r="G39" s="264">
        <f t="shared" si="16"/>
        <v>0</v>
      </c>
      <c r="H39" s="442">
        <f t="shared" si="17"/>
        <v>0</v>
      </c>
      <c r="J39" s="371"/>
      <c r="K39" s="371"/>
      <c r="L39" s="371"/>
      <c r="M39" s="371"/>
      <c r="N39" s="358">
        <f>IF(C39&gt;0,((J39*Setup_and_Criteria!$F$13)+('M1_1-15th'!K39*Setup_and_Criteria!$F$14)+('M1_1-15th'!L39*Setup_and_Criteria!$F$15)+('M1_1-15th'!M39*Setup_and_Criteria!$F$16)+Setup_and_Criteria!$J$16),0)</f>
        <v>0</v>
      </c>
      <c r="O39" s="359">
        <f t="shared" si="22"/>
        <v>0</v>
      </c>
      <c r="P39" s="383">
        <f t="shared" si="18"/>
        <v>0</v>
      </c>
      <c r="Q39" s="360" t="e">
        <f t="shared" si="19"/>
        <v>#DIV/0!</v>
      </c>
      <c r="R39" s="511"/>
      <c r="S39" s="511"/>
      <c r="T39" s="511"/>
      <c r="U39" s="511"/>
      <c r="V39" s="511"/>
      <c r="W39" s="511"/>
      <c r="X39" s="511"/>
      <c r="Y39" s="511"/>
      <c r="Z39" s="511"/>
      <c r="AA39" s="511"/>
      <c r="AB39" s="1">
        <f t="shared" si="20"/>
        <v>0</v>
      </c>
      <c r="AC39" s="357" t="e">
        <f t="shared" si="21"/>
        <v>#DIV/0!</v>
      </c>
      <c r="AD39" s="864"/>
      <c r="AE39" s="865"/>
      <c r="AF39" s="865"/>
      <c r="AG39" s="866"/>
      <c r="AH39" s="866"/>
      <c r="AI39" s="867"/>
    </row>
    <row r="40" spans="1:35" ht="15.75" thickTop="1" x14ac:dyDescent="0.25">
      <c r="A40" s="58"/>
      <c r="H40" s="442">
        <f>SUM(H34:H39)</f>
        <v>0</v>
      </c>
      <c r="J40" s="1">
        <f>SUM(J34:J39)</f>
        <v>0</v>
      </c>
      <c r="K40" s="1">
        <f>SUM(K34:K39)</f>
        <v>0</v>
      </c>
      <c r="L40" s="1">
        <f>SUM(L34:L39)</f>
        <v>0</v>
      </c>
      <c r="M40" s="1">
        <f>SUM(M34:M39)</f>
        <v>0</v>
      </c>
      <c r="N40" s="1">
        <f>SUM(N34:N39)</f>
        <v>0</v>
      </c>
      <c r="O40" s="1">
        <f t="shared" si="22"/>
        <v>0</v>
      </c>
      <c r="P40" s="443">
        <f t="shared" si="18"/>
        <v>0</v>
      </c>
      <c r="Q40" s="357" t="e">
        <f t="shared" si="19"/>
        <v>#DIV/0!</v>
      </c>
      <c r="R40" s="1">
        <f t="shared" ref="R40:AA40" si="23">SUM(R34:R39)</f>
        <v>0</v>
      </c>
      <c r="S40" s="1">
        <f t="shared" si="23"/>
        <v>0</v>
      </c>
      <c r="T40" s="1">
        <f t="shared" si="23"/>
        <v>0</v>
      </c>
      <c r="U40" s="1">
        <f t="shared" si="23"/>
        <v>0</v>
      </c>
      <c r="V40" s="1">
        <f t="shared" si="23"/>
        <v>0</v>
      </c>
      <c r="W40" s="1">
        <f t="shared" si="23"/>
        <v>0</v>
      </c>
      <c r="X40" s="1">
        <f t="shared" si="23"/>
        <v>0</v>
      </c>
      <c r="Y40" s="1">
        <f t="shared" si="23"/>
        <v>0</v>
      </c>
      <c r="Z40" s="1">
        <f t="shared" si="23"/>
        <v>0</v>
      </c>
      <c r="AA40" s="1">
        <f t="shared" si="23"/>
        <v>0</v>
      </c>
      <c r="AB40" s="1">
        <f t="shared" si="20"/>
        <v>0</v>
      </c>
      <c r="AC40" s="357" t="e">
        <f t="shared" si="21"/>
        <v>#DIV/0!</v>
      </c>
      <c r="AD40" s="877"/>
      <c r="AE40" s="878"/>
      <c r="AF40" s="878"/>
      <c r="AG40" s="749"/>
      <c r="AH40" s="749"/>
      <c r="AI40" s="879"/>
    </row>
    <row r="41" spans="1:35" ht="21" customHeight="1" x14ac:dyDescent="0.35">
      <c r="A41" s="58"/>
      <c r="H41" s="442"/>
      <c r="N41" s="888" t="s">
        <v>145</v>
      </c>
      <c r="O41" s="888"/>
      <c r="P41" s="888"/>
      <c r="Q41" s="888"/>
      <c r="R41" s="431" t="s">
        <v>146</v>
      </c>
      <c r="S41" s="431"/>
      <c r="T41" s="431"/>
      <c r="U41" s="431"/>
      <c r="V41" s="431"/>
      <c r="W41" s="431"/>
      <c r="X41" s="431"/>
      <c r="Y41" s="431"/>
      <c r="Z41" s="431"/>
      <c r="AA41" s="431"/>
      <c r="AB41" s="431"/>
      <c r="AC41" s="431"/>
      <c r="AD41" s="880" t="s">
        <v>132</v>
      </c>
      <c r="AE41" s="881"/>
      <c r="AF41" s="881"/>
      <c r="AG41" s="881"/>
      <c r="AH41" s="881"/>
      <c r="AI41" s="882"/>
    </row>
    <row r="42" spans="1:35" ht="31.5" customHeight="1" x14ac:dyDescent="0.35">
      <c r="A42" s="378" t="s">
        <v>147</v>
      </c>
      <c r="C42" s="885" t="s">
        <v>128</v>
      </c>
      <c r="D42" s="885"/>
      <c r="E42" s="885"/>
      <c r="F42" s="885"/>
      <c r="H42" s="442"/>
      <c r="J42" s="444"/>
      <c r="K42" s="445" t="s">
        <v>35</v>
      </c>
      <c r="L42" s="445" t="s">
        <v>148</v>
      </c>
      <c r="N42" s="446" t="s">
        <v>149</v>
      </c>
      <c r="O42" s="447" t="s">
        <v>150</v>
      </c>
      <c r="P42" s="447" t="s">
        <v>138</v>
      </c>
      <c r="Q42" s="447" t="s">
        <v>151</v>
      </c>
      <c r="R42" s="749" t="s">
        <v>152</v>
      </c>
      <c r="S42" s="749"/>
      <c r="T42" s="883" t="s">
        <v>153</v>
      </c>
      <c r="U42" s="883"/>
      <c r="W42" s="425" t="s">
        <v>154</v>
      </c>
      <c r="X42" s="425"/>
      <c r="Y42" s="425"/>
      <c r="Z42" s="425"/>
      <c r="AA42" s="425"/>
      <c r="AB42" s="425"/>
      <c r="AC42" s="425"/>
      <c r="AD42" s="868" t="s">
        <v>160</v>
      </c>
      <c r="AE42" s="869"/>
      <c r="AF42" s="869"/>
      <c r="AG42" s="869"/>
      <c r="AH42" s="869"/>
      <c r="AI42" s="870"/>
    </row>
    <row r="43" spans="1:35" ht="18" customHeight="1" thickBot="1" x14ac:dyDescent="0.3">
      <c r="A43" s="639"/>
      <c r="B43" s="364"/>
      <c r="C43" s="372"/>
      <c r="D43" s="372"/>
      <c r="E43" s="372"/>
      <c r="F43" s="372"/>
      <c r="G43" s="366">
        <f>+(D43-C43)+(F43-E43)</f>
        <v>0</v>
      </c>
      <c r="H43" s="367">
        <f>+G43*1440</f>
        <v>0</v>
      </c>
      <c r="I43" s="859" t="s">
        <v>155</v>
      </c>
      <c r="J43" s="860"/>
      <c r="K43" s="373"/>
      <c r="L43" s="374"/>
      <c r="M43" s="423"/>
      <c r="N43" s="629">
        <f>+J40+L40+K40+K43+L43</f>
        <v>0</v>
      </c>
      <c r="O43" s="368">
        <f>+(Setup_and_Criteria!$K$31+(J40*Setup_and_Criteria!$F$20)+('M1_1-15th'!K40*Setup_and_Criteria!$F$21)+('M1_1-15th'!L40*Setup_and_Criteria!$F$20))+T43+(K43*Setup_and_Criteria!$F$21)+(Setup_and_Criteria!$F$22*'M1_1-15th'!L43)</f>
        <v>75</v>
      </c>
      <c r="P43" s="367">
        <f>+H43</f>
        <v>0</v>
      </c>
      <c r="Q43" s="367">
        <f>+O43-P43</f>
        <v>75</v>
      </c>
      <c r="R43" s="861" t="s">
        <v>252</v>
      </c>
      <c r="S43" s="861"/>
      <c r="T43" s="862"/>
      <c r="U43" s="863"/>
      <c r="V43" s="265" t="s">
        <v>156</v>
      </c>
      <c r="W43" s="854"/>
      <c r="X43" s="855"/>
      <c r="Y43" s="855"/>
      <c r="Z43" s="855"/>
      <c r="AA43" s="855"/>
      <c r="AB43" s="855"/>
      <c r="AC43" s="855"/>
      <c r="AD43" s="868"/>
      <c r="AE43" s="869"/>
      <c r="AF43" s="869"/>
      <c r="AG43" s="869"/>
      <c r="AH43" s="869"/>
      <c r="AI43" s="870"/>
    </row>
    <row r="44" spans="1:35" ht="15.75" thickBot="1" x14ac:dyDescent="0.3">
      <c r="A44" s="449" t="str">
        <f>+A31</f>
        <v>Password to enter data = "Enter Info"</v>
      </c>
      <c r="B44" s="450"/>
      <c r="C44" s="451"/>
      <c r="D44" s="451"/>
      <c r="E44" s="451"/>
      <c r="F44" s="451"/>
      <c r="G44" s="451"/>
      <c r="H44" s="451"/>
      <c r="I44" s="450"/>
      <c r="J44" s="451"/>
      <c r="K44" s="451"/>
      <c r="L44" s="451"/>
      <c r="M44" s="451"/>
      <c r="N44" s="451"/>
      <c r="O44" s="451"/>
      <c r="P44" s="451"/>
      <c r="Q44" s="450"/>
      <c r="R44" s="451"/>
      <c r="S44" s="451"/>
      <c r="T44" s="451"/>
      <c r="U44" s="451"/>
      <c r="V44" s="451"/>
      <c r="W44" s="451"/>
      <c r="X44" s="451"/>
      <c r="Y44" s="451"/>
      <c r="Z44" s="451"/>
      <c r="AA44" s="451"/>
      <c r="AB44" s="450"/>
      <c r="AC44" s="450"/>
      <c r="AD44" s="871"/>
      <c r="AE44" s="872"/>
      <c r="AF44" s="872"/>
      <c r="AG44" s="872"/>
      <c r="AH44" s="872"/>
      <c r="AI44" s="873"/>
    </row>
    <row r="45" spans="1:35" ht="35.25" customHeight="1" x14ac:dyDescent="0.4">
      <c r="A45" s="434" t="str">
        <f>+A32</f>
        <v>April</v>
      </c>
      <c r="B45" s="624">
        <f>+B32+1</f>
        <v>19</v>
      </c>
      <c r="C45" s="884" t="s">
        <v>128</v>
      </c>
      <c r="D45" s="884"/>
      <c r="E45" s="884"/>
      <c r="F45" s="884"/>
      <c r="G45" s="377"/>
      <c r="H45" s="377"/>
      <c r="I45" s="21"/>
      <c r="J45" s="874" t="s">
        <v>129</v>
      </c>
      <c r="K45" s="875"/>
      <c r="L45" s="875"/>
      <c r="M45" s="875"/>
      <c r="N45" s="876" t="s">
        <v>130</v>
      </c>
      <c r="O45" s="876"/>
      <c r="P45" s="876"/>
      <c r="Q45" s="876"/>
      <c r="R45" s="424" t="str">
        <f>+R32</f>
        <v xml:space="preserve"> Corrections Tracking - Check out rooms</v>
      </c>
      <c r="S45" s="424"/>
      <c r="T45" s="424"/>
      <c r="U45" s="424"/>
      <c r="V45" s="424"/>
      <c r="W45" s="424"/>
      <c r="X45" s="424"/>
      <c r="Y45" s="424"/>
      <c r="Z45" s="424"/>
      <c r="AA45" s="424"/>
      <c r="AB45" s="424"/>
      <c r="AC45" s="424"/>
      <c r="AD45" s="461" t="s">
        <v>132</v>
      </c>
      <c r="AE45" s="426"/>
      <c r="AF45" s="426"/>
      <c r="AG45" s="426"/>
      <c r="AH45" s="426"/>
      <c r="AI45" s="427"/>
    </row>
    <row r="46" spans="1:35" ht="59.25" customHeight="1" x14ac:dyDescent="0.25">
      <c r="A46" s="378" t="s">
        <v>133</v>
      </c>
      <c r="C46" s="435" t="s">
        <v>134</v>
      </c>
      <c r="D46" s="435" t="s">
        <v>135</v>
      </c>
      <c r="E46" s="435" t="s">
        <v>134</v>
      </c>
      <c r="F46" s="435" t="s">
        <v>135</v>
      </c>
      <c r="G46" s="1" t="s">
        <v>136</v>
      </c>
      <c r="H46" s="1" t="s">
        <v>108</v>
      </c>
      <c r="I46" s="436"/>
      <c r="J46" s="437" t="str">
        <f>+Setup_and_Criteria!$B$13</f>
        <v>Checkouts</v>
      </c>
      <c r="K46" s="437" t="str">
        <f>+Setup_and_Criteria!$B$14</f>
        <v>Pet Rooms</v>
      </c>
      <c r="L46" s="437" t="str">
        <f>+Setup_and_Criteria!$B$15</f>
        <v>2 Rm &amp; Jac Stes</v>
      </c>
      <c r="M46" s="438" t="str">
        <f>+Setup_and_Criteria!$B$16</f>
        <v>Stayovers</v>
      </c>
      <c r="N46" s="269" t="s">
        <v>137</v>
      </c>
      <c r="O46" s="269" t="s">
        <v>138</v>
      </c>
      <c r="P46" s="439" t="s">
        <v>139</v>
      </c>
      <c r="Q46" s="439" t="s">
        <v>140</v>
      </c>
      <c r="R46" s="440" t="str">
        <f>+Corrections!$C$8</f>
        <v>Vanity</v>
      </c>
      <c r="S46" s="440" t="str">
        <f>+Corrections!$I$8</f>
        <v>Toilet</v>
      </c>
      <c r="T46" s="440" t="str">
        <f>+Corrections!$O$8</f>
        <v>Bed/Pillows</v>
      </c>
      <c r="U46" s="440" t="str">
        <f>+Corrections!$U$8</f>
        <v>Floor</v>
      </c>
      <c r="V46" s="440" t="str">
        <f>+Corrections!$AA$8</f>
        <v>Dusting</v>
      </c>
      <c r="W46" s="440" t="str">
        <f>+Corrections!$AG$8</f>
        <v>Fridge/Micro</v>
      </c>
      <c r="X46" s="440" t="str">
        <f>+Corrections!$AM$8</f>
        <v>Tub</v>
      </c>
      <c r="Y46" s="441" t="str">
        <f>+Corrections!$AS$8</f>
        <v>Mirrors/Glass</v>
      </c>
      <c r="Z46" s="440" t="str">
        <f>+Corrections!$AY$8</f>
        <v>Stocking</v>
      </c>
      <c r="AA46" s="440" t="str">
        <f>+Corrections!$BE$8</f>
        <v>Other</v>
      </c>
      <c r="AB46" s="269" t="s">
        <v>141</v>
      </c>
      <c r="AC46" s="269" t="str">
        <f>+$AC$7</f>
        <v>Daily Corr / Inspected Checkout</v>
      </c>
      <c r="AD46" s="889" t="s">
        <v>143</v>
      </c>
      <c r="AE46" s="890"/>
      <c r="AF46" s="890"/>
      <c r="AG46" s="890"/>
      <c r="AH46" s="890"/>
      <c r="AI46" s="891"/>
    </row>
    <row r="47" spans="1:35" x14ac:dyDescent="0.25">
      <c r="A47" s="638"/>
      <c r="C47" s="369"/>
      <c r="D47" s="369"/>
      <c r="E47" s="369"/>
      <c r="F47" s="369"/>
      <c r="G47" s="264">
        <f t="shared" ref="G47:G52" si="24">+(D47-C47)+(F47-E47)</f>
        <v>0</v>
      </c>
      <c r="H47" s="442">
        <f t="shared" ref="H47:H52" si="25">+G47*1440</f>
        <v>0</v>
      </c>
      <c r="J47" s="630"/>
      <c r="K47" s="630"/>
      <c r="L47" s="630"/>
      <c r="M47" s="630"/>
      <c r="N47" s="1">
        <f>IF(C47&gt;0,((J47*Setup_and_Criteria!$F$13)+('M1_1-15th'!K47*Setup_and_Criteria!$F$14)+('M1_1-15th'!L47*Setup_and_Criteria!$F$15)+('M1_1-15th'!M47*Setup_and_Criteria!$F$16)+Setup_and_Criteria!$J$16),0)</f>
        <v>0</v>
      </c>
      <c r="O47" s="442">
        <f>+H47</f>
        <v>0</v>
      </c>
      <c r="P47" s="443">
        <f t="shared" ref="P47:P53" si="26">+N47-O47</f>
        <v>0</v>
      </c>
      <c r="Q47" s="357" t="e">
        <f t="shared" ref="Q47:Q53" si="27">O47/_xlfn.SINGLE(SUM(J47:M47))</f>
        <v>#DIV/0!</v>
      </c>
      <c r="R47" s="630"/>
      <c r="S47" s="630"/>
      <c r="T47" s="630"/>
      <c r="U47" s="630"/>
      <c r="V47" s="630"/>
      <c r="W47" s="630"/>
      <c r="X47" s="630"/>
      <c r="Y47" s="630"/>
      <c r="Z47" s="630"/>
      <c r="AA47" s="630"/>
      <c r="AB47" s="1">
        <f t="shared" ref="AB47:AB53" si="28">SUM(R47:AA47)</f>
        <v>0</v>
      </c>
      <c r="AC47" s="357" t="e">
        <f t="shared" ref="AC47:AC53" si="29">+AB47/(J47+K47+L47)</f>
        <v>#DIV/0!</v>
      </c>
      <c r="AD47" s="864" t="s">
        <v>164</v>
      </c>
      <c r="AE47" s="865"/>
      <c r="AF47" s="865"/>
      <c r="AG47" s="866"/>
      <c r="AH47" s="866"/>
      <c r="AI47" s="867"/>
    </row>
    <row r="48" spans="1:35" x14ac:dyDescent="0.25">
      <c r="A48" s="638"/>
      <c r="C48" s="369"/>
      <c r="D48" s="369"/>
      <c r="E48" s="630"/>
      <c r="F48" s="630"/>
      <c r="G48" s="264">
        <f t="shared" si="24"/>
        <v>0</v>
      </c>
      <c r="H48" s="442">
        <f t="shared" si="25"/>
        <v>0</v>
      </c>
      <c r="J48" s="630"/>
      <c r="K48" s="630"/>
      <c r="L48" s="630"/>
      <c r="M48" s="630"/>
      <c r="N48" s="1">
        <f>IF(C48&gt;0,((J48*Setup_and_Criteria!$F$13)+('M1_1-15th'!K48*Setup_and_Criteria!$F$14)+('M1_1-15th'!L48*Setup_and_Criteria!$F$15)+('M1_1-15th'!M48*Setup_and_Criteria!$F$16)+Setup_and_Criteria!$J$16),0)</f>
        <v>0</v>
      </c>
      <c r="O48" s="442">
        <f t="shared" ref="O48:O53" si="30">+H48</f>
        <v>0</v>
      </c>
      <c r="P48" s="443">
        <f t="shared" si="26"/>
        <v>0</v>
      </c>
      <c r="Q48" s="357" t="e">
        <f t="shared" si="27"/>
        <v>#DIV/0!</v>
      </c>
      <c r="R48" s="630"/>
      <c r="S48" s="630"/>
      <c r="T48" s="630"/>
      <c r="U48" s="630"/>
      <c r="V48" s="630"/>
      <c r="W48" s="630"/>
      <c r="X48" s="630"/>
      <c r="Y48" s="630"/>
      <c r="Z48" s="630"/>
      <c r="AA48" s="630"/>
      <c r="AB48" s="1">
        <f t="shared" si="28"/>
        <v>0</v>
      </c>
      <c r="AC48" s="357" t="e">
        <f t="shared" si="29"/>
        <v>#DIV/0!</v>
      </c>
      <c r="AD48" s="864"/>
      <c r="AE48" s="865"/>
      <c r="AF48" s="865"/>
      <c r="AG48" s="866"/>
      <c r="AH48" s="866"/>
      <c r="AI48" s="867"/>
    </row>
    <row r="49" spans="1:35" x14ac:dyDescent="0.25">
      <c r="A49" s="638"/>
      <c r="C49" s="630"/>
      <c r="D49" s="630"/>
      <c r="E49" s="630"/>
      <c r="F49" s="630"/>
      <c r="G49" s="264">
        <f t="shared" si="24"/>
        <v>0</v>
      </c>
      <c r="H49" s="442">
        <f t="shared" si="25"/>
        <v>0</v>
      </c>
      <c r="J49" s="630"/>
      <c r="K49" s="630"/>
      <c r="L49" s="630"/>
      <c r="M49" s="630"/>
      <c r="N49" s="1">
        <f>IF(C49&gt;0,((J49*Setup_and_Criteria!$F$13)+('M1_1-15th'!K49*Setup_and_Criteria!$F$14)+('M1_1-15th'!L49*Setup_and_Criteria!$F$15)+('M1_1-15th'!M49*Setup_and_Criteria!$F$16)+Setup_and_Criteria!$J$16),0)</f>
        <v>0</v>
      </c>
      <c r="O49" s="442">
        <f t="shared" si="30"/>
        <v>0</v>
      </c>
      <c r="P49" s="443">
        <f t="shared" si="26"/>
        <v>0</v>
      </c>
      <c r="Q49" s="357" t="e">
        <f t="shared" si="27"/>
        <v>#DIV/0!</v>
      </c>
      <c r="R49" s="630"/>
      <c r="S49" s="630"/>
      <c r="T49" s="630"/>
      <c r="U49" s="630"/>
      <c r="V49" s="630"/>
      <c r="W49" s="630"/>
      <c r="X49" s="630"/>
      <c r="Y49" s="630"/>
      <c r="Z49" s="630"/>
      <c r="AA49" s="630"/>
      <c r="AB49" s="1">
        <f t="shared" si="28"/>
        <v>0</v>
      </c>
      <c r="AC49" s="357" t="e">
        <f t="shared" si="29"/>
        <v>#DIV/0!</v>
      </c>
      <c r="AD49" s="864"/>
      <c r="AE49" s="865"/>
      <c r="AF49" s="865"/>
      <c r="AG49" s="866"/>
      <c r="AH49" s="866"/>
      <c r="AI49" s="867"/>
    </row>
    <row r="50" spans="1:35" x14ac:dyDescent="0.25">
      <c r="A50" s="638"/>
      <c r="C50" s="630"/>
      <c r="D50" s="630"/>
      <c r="E50" s="630"/>
      <c r="F50" s="630"/>
      <c r="G50" s="264">
        <f t="shared" si="24"/>
        <v>0</v>
      </c>
      <c r="H50" s="442">
        <f t="shared" si="25"/>
        <v>0</v>
      </c>
      <c r="J50" s="630"/>
      <c r="K50" s="630"/>
      <c r="L50" s="630"/>
      <c r="M50" s="630"/>
      <c r="N50" s="1">
        <f>IF(C50&gt;0,((J50*Setup_and_Criteria!$F$13)+('M1_1-15th'!K50*Setup_and_Criteria!$F$14)+('M1_1-15th'!L50*Setup_and_Criteria!$F$15)+('M1_1-15th'!M50*Setup_and_Criteria!$F$16)+Setup_and_Criteria!$J$16),0)</f>
        <v>0</v>
      </c>
      <c r="O50" s="442">
        <f t="shared" si="30"/>
        <v>0</v>
      </c>
      <c r="P50" s="443">
        <f t="shared" si="26"/>
        <v>0</v>
      </c>
      <c r="Q50" s="357" t="e">
        <f t="shared" si="27"/>
        <v>#DIV/0!</v>
      </c>
      <c r="R50" s="630"/>
      <c r="S50" s="630"/>
      <c r="T50" s="630"/>
      <c r="U50" s="630"/>
      <c r="V50" s="630"/>
      <c r="W50" s="630"/>
      <c r="X50" s="630"/>
      <c r="Y50" s="630"/>
      <c r="Z50" s="630"/>
      <c r="AA50" s="630"/>
      <c r="AB50" s="1">
        <f t="shared" si="28"/>
        <v>0</v>
      </c>
      <c r="AC50" s="357" t="e">
        <f t="shared" si="29"/>
        <v>#DIV/0!</v>
      </c>
      <c r="AD50" s="864"/>
      <c r="AE50" s="865"/>
      <c r="AF50" s="865"/>
      <c r="AG50" s="866"/>
      <c r="AH50" s="866"/>
      <c r="AI50" s="867"/>
    </row>
    <row r="51" spans="1:35" x14ac:dyDescent="0.25">
      <c r="A51" s="638"/>
      <c r="C51" s="630"/>
      <c r="D51" s="630"/>
      <c r="E51" s="630"/>
      <c r="F51" s="630"/>
      <c r="G51" s="264">
        <f t="shared" si="24"/>
        <v>0</v>
      </c>
      <c r="H51" s="442">
        <f t="shared" si="25"/>
        <v>0</v>
      </c>
      <c r="J51" s="630"/>
      <c r="K51" s="630"/>
      <c r="L51" s="630"/>
      <c r="M51" s="630"/>
      <c r="N51" s="1">
        <f>IF(C51&gt;0,((J51*Setup_and_Criteria!$F$13)+('M1_1-15th'!K51*Setup_and_Criteria!$F$14)+('M1_1-15th'!L51*Setup_and_Criteria!$F$15)+('M1_1-15th'!M51*Setup_and_Criteria!$F$16)+Setup_and_Criteria!$J$16),0)</f>
        <v>0</v>
      </c>
      <c r="O51" s="442">
        <f t="shared" si="30"/>
        <v>0</v>
      </c>
      <c r="P51" s="443">
        <f t="shared" si="26"/>
        <v>0</v>
      </c>
      <c r="Q51" s="357" t="e">
        <f t="shared" si="27"/>
        <v>#DIV/0!</v>
      </c>
      <c r="R51" s="630"/>
      <c r="S51" s="630"/>
      <c r="T51" s="630"/>
      <c r="U51" s="630"/>
      <c r="V51" s="630"/>
      <c r="W51" s="630"/>
      <c r="X51" s="630"/>
      <c r="Y51" s="630"/>
      <c r="Z51" s="630"/>
      <c r="AA51" s="630"/>
      <c r="AB51" s="1">
        <f t="shared" si="28"/>
        <v>0</v>
      </c>
      <c r="AC51" s="357" t="e">
        <f t="shared" si="29"/>
        <v>#DIV/0!</v>
      </c>
      <c r="AD51" s="864"/>
      <c r="AE51" s="865"/>
      <c r="AF51" s="865"/>
      <c r="AG51" s="866"/>
      <c r="AH51" s="866"/>
      <c r="AI51" s="867"/>
    </row>
    <row r="52" spans="1:35" ht="15.75" thickBot="1" x14ac:dyDescent="0.3">
      <c r="A52" s="638"/>
      <c r="C52" s="370"/>
      <c r="D52" s="370"/>
      <c r="E52" s="630"/>
      <c r="F52" s="630"/>
      <c r="G52" s="264">
        <f t="shared" si="24"/>
        <v>0</v>
      </c>
      <c r="H52" s="442">
        <f t="shared" si="25"/>
        <v>0</v>
      </c>
      <c r="J52" s="371"/>
      <c r="K52" s="371"/>
      <c r="L52" s="371"/>
      <c r="M52" s="371"/>
      <c r="N52" s="358">
        <f>IF(C52&gt;0,((J52*Setup_and_Criteria!$F$13)+('M1_1-15th'!K52*Setup_and_Criteria!$F$14)+('M1_1-15th'!L52*Setup_and_Criteria!$F$15)+('M1_1-15th'!M52*Setup_and_Criteria!$F$16)+Setup_and_Criteria!$J$16),0)</f>
        <v>0</v>
      </c>
      <c r="O52" s="359">
        <f t="shared" si="30"/>
        <v>0</v>
      </c>
      <c r="P52" s="383">
        <f t="shared" si="26"/>
        <v>0</v>
      </c>
      <c r="Q52" s="360" t="e">
        <f t="shared" si="27"/>
        <v>#DIV/0!</v>
      </c>
      <c r="R52" s="511"/>
      <c r="S52" s="511"/>
      <c r="T52" s="511"/>
      <c r="U52" s="511"/>
      <c r="V52" s="511"/>
      <c r="W52" s="511"/>
      <c r="X52" s="511"/>
      <c r="Y52" s="511"/>
      <c r="Z52" s="511"/>
      <c r="AA52" s="511"/>
      <c r="AB52" s="1">
        <f t="shared" si="28"/>
        <v>0</v>
      </c>
      <c r="AC52" s="357" t="e">
        <f t="shared" si="29"/>
        <v>#DIV/0!</v>
      </c>
      <c r="AD52" s="864"/>
      <c r="AE52" s="865"/>
      <c r="AF52" s="865"/>
      <c r="AG52" s="866"/>
      <c r="AH52" s="866"/>
      <c r="AI52" s="867"/>
    </row>
    <row r="53" spans="1:35" ht="15.75" thickTop="1" x14ac:dyDescent="0.25">
      <c r="A53" s="58"/>
      <c r="H53" s="442">
        <f>SUM(H47:H52)</f>
        <v>0</v>
      </c>
      <c r="J53" s="1">
        <f>SUM(J47:J52)</f>
        <v>0</v>
      </c>
      <c r="K53" s="1">
        <f>SUM(K47:K52)</f>
        <v>0</v>
      </c>
      <c r="L53" s="1">
        <f>SUM(L47:L52)</f>
        <v>0</v>
      </c>
      <c r="M53" s="1">
        <f>SUM(M47:M52)</f>
        <v>0</v>
      </c>
      <c r="N53" s="1">
        <f>SUM(N47:N52)</f>
        <v>0</v>
      </c>
      <c r="O53" s="1">
        <f t="shared" si="30"/>
        <v>0</v>
      </c>
      <c r="P53" s="443">
        <f t="shared" si="26"/>
        <v>0</v>
      </c>
      <c r="Q53" s="357" t="e">
        <f t="shared" si="27"/>
        <v>#DIV/0!</v>
      </c>
      <c r="R53" s="1">
        <f t="shared" ref="R53:AA53" si="31">SUM(R47:R52)</f>
        <v>0</v>
      </c>
      <c r="S53" s="1">
        <f t="shared" si="31"/>
        <v>0</v>
      </c>
      <c r="T53" s="1">
        <f t="shared" si="31"/>
        <v>0</v>
      </c>
      <c r="U53" s="1">
        <f t="shared" si="31"/>
        <v>0</v>
      </c>
      <c r="V53" s="1">
        <f t="shared" si="31"/>
        <v>0</v>
      </c>
      <c r="W53" s="1">
        <f t="shared" si="31"/>
        <v>0</v>
      </c>
      <c r="X53" s="1">
        <f t="shared" si="31"/>
        <v>0</v>
      </c>
      <c r="Y53" s="1">
        <f t="shared" si="31"/>
        <v>0</v>
      </c>
      <c r="Z53" s="1">
        <f t="shared" si="31"/>
        <v>0</v>
      </c>
      <c r="AA53" s="1">
        <f t="shared" si="31"/>
        <v>0</v>
      </c>
      <c r="AB53" s="1">
        <f t="shared" si="28"/>
        <v>0</v>
      </c>
      <c r="AC53" s="357" t="e">
        <f t="shared" si="29"/>
        <v>#DIV/0!</v>
      </c>
      <c r="AD53" s="877"/>
      <c r="AE53" s="878"/>
      <c r="AF53" s="878"/>
      <c r="AG53" s="749"/>
      <c r="AH53" s="749"/>
      <c r="AI53" s="879"/>
    </row>
    <row r="54" spans="1:35" ht="21" customHeight="1" x14ac:dyDescent="0.35">
      <c r="A54" s="58"/>
      <c r="H54" s="442"/>
      <c r="N54" s="888" t="s">
        <v>145</v>
      </c>
      <c r="O54" s="888"/>
      <c r="P54" s="888"/>
      <c r="Q54" s="888"/>
      <c r="R54" s="431" t="s">
        <v>146</v>
      </c>
      <c r="S54" s="431"/>
      <c r="T54" s="431"/>
      <c r="U54" s="431"/>
      <c r="V54" s="431"/>
      <c r="W54" s="431"/>
      <c r="X54" s="431"/>
      <c r="Y54" s="431"/>
      <c r="Z54" s="431"/>
      <c r="AA54" s="431"/>
      <c r="AB54" s="431"/>
      <c r="AC54" s="431"/>
      <c r="AD54" s="880" t="s">
        <v>132</v>
      </c>
      <c r="AE54" s="881"/>
      <c r="AF54" s="881"/>
      <c r="AG54" s="881"/>
      <c r="AH54" s="881"/>
      <c r="AI54" s="882"/>
    </row>
    <row r="55" spans="1:35" ht="31.5" customHeight="1" x14ac:dyDescent="0.35">
      <c r="A55" s="378" t="s">
        <v>147</v>
      </c>
      <c r="C55" s="885" t="s">
        <v>128</v>
      </c>
      <c r="D55" s="885"/>
      <c r="E55" s="885"/>
      <c r="F55" s="885"/>
      <c r="H55" s="442"/>
      <c r="J55" s="444"/>
      <c r="K55" s="445" t="s">
        <v>35</v>
      </c>
      <c r="L55" s="445" t="s">
        <v>148</v>
      </c>
      <c r="N55" s="446" t="s">
        <v>149</v>
      </c>
      <c r="O55" s="447" t="s">
        <v>150</v>
      </c>
      <c r="P55" s="447" t="s">
        <v>138</v>
      </c>
      <c r="Q55" s="447" t="s">
        <v>151</v>
      </c>
      <c r="R55" s="749" t="s">
        <v>152</v>
      </c>
      <c r="S55" s="749"/>
      <c r="T55" s="883" t="s">
        <v>153</v>
      </c>
      <c r="U55" s="883"/>
      <c r="W55" s="425" t="s">
        <v>154</v>
      </c>
      <c r="X55" s="425"/>
      <c r="Y55" s="425"/>
      <c r="Z55" s="425"/>
      <c r="AA55" s="425"/>
      <c r="AB55" s="425"/>
      <c r="AC55" s="425"/>
      <c r="AD55" s="868" t="s">
        <v>160</v>
      </c>
      <c r="AE55" s="869"/>
      <c r="AF55" s="869"/>
      <c r="AG55" s="869"/>
      <c r="AH55" s="869"/>
      <c r="AI55" s="870"/>
    </row>
    <row r="56" spans="1:35" ht="18" customHeight="1" thickBot="1" x14ac:dyDescent="0.3">
      <c r="A56" s="639"/>
      <c r="B56" s="375"/>
      <c r="C56" s="372"/>
      <c r="D56" s="372"/>
      <c r="E56" s="372"/>
      <c r="F56" s="372"/>
      <c r="G56" s="366">
        <f>+(D56-C56)+(F56-E56)</f>
        <v>0</v>
      </c>
      <c r="H56" s="367">
        <f>+G56*1440</f>
        <v>0</v>
      </c>
      <c r="I56" s="859" t="s">
        <v>155</v>
      </c>
      <c r="J56" s="860"/>
      <c r="K56" s="373"/>
      <c r="L56" s="374"/>
      <c r="M56" s="423"/>
      <c r="N56" s="629">
        <f>+J53+L53+K53+K56+L56</f>
        <v>0</v>
      </c>
      <c r="O56" s="368">
        <f>+(Setup_and_Criteria!$K$31+(J53*Setup_and_Criteria!$F$20)+('M1_1-15th'!K53*Setup_and_Criteria!$F$21)+('M1_1-15th'!L53*Setup_and_Criteria!$F$20))+T56+(K56*Setup_and_Criteria!$F$21)+(Setup_and_Criteria!$F$22*'M1_1-15th'!L56)</f>
        <v>75</v>
      </c>
      <c r="P56" s="367">
        <f>+H56</f>
        <v>0</v>
      </c>
      <c r="Q56" s="367">
        <f>+O56-P56</f>
        <v>75</v>
      </c>
      <c r="R56" s="861" t="s">
        <v>252</v>
      </c>
      <c r="S56" s="861"/>
      <c r="T56" s="862"/>
      <c r="U56" s="863"/>
      <c r="V56" s="265" t="s">
        <v>156</v>
      </c>
      <c r="W56" s="854"/>
      <c r="X56" s="855"/>
      <c r="Y56" s="855"/>
      <c r="Z56" s="855"/>
      <c r="AA56" s="855"/>
      <c r="AB56" s="855"/>
      <c r="AC56" s="855"/>
      <c r="AD56" s="868"/>
      <c r="AE56" s="869"/>
      <c r="AF56" s="869"/>
      <c r="AG56" s="869"/>
      <c r="AH56" s="869"/>
      <c r="AI56" s="870"/>
    </row>
    <row r="57" spans="1:35" ht="15.75" thickBot="1" x14ac:dyDescent="0.3">
      <c r="A57" s="449" t="str">
        <f>+A44</f>
        <v>Password to enter data = "Enter Info"</v>
      </c>
      <c r="B57" s="450"/>
      <c r="C57" s="451"/>
      <c r="D57" s="451"/>
      <c r="E57" s="451"/>
      <c r="F57" s="451"/>
      <c r="G57" s="451"/>
      <c r="H57" s="451"/>
      <c r="I57" s="450"/>
      <c r="J57" s="451"/>
      <c r="K57" s="451"/>
      <c r="L57" s="451"/>
      <c r="M57" s="451"/>
      <c r="N57" s="451"/>
      <c r="O57" s="451"/>
      <c r="P57" s="451"/>
      <c r="Q57" s="450"/>
      <c r="R57" s="451"/>
      <c r="S57" s="451"/>
      <c r="T57" s="451"/>
      <c r="U57" s="451"/>
      <c r="V57" s="451"/>
      <c r="W57" s="451"/>
      <c r="X57" s="451"/>
      <c r="Y57" s="451"/>
      <c r="Z57" s="451"/>
      <c r="AA57" s="451"/>
      <c r="AB57" s="450"/>
      <c r="AC57" s="450"/>
      <c r="AD57" s="871"/>
      <c r="AE57" s="872"/>
      <c r="AF57" s="872"/>
      <c r="AG57" s="872"/>
      <c r="AH57" s="872"/>
      <c r="AI57" s="873"/>
    </row>
    <row r="58" spans="1:35" ht="35.25" customHeight="1" x14ac:dyDescent="0.4">
      <c r="A58" s="434" t="str">
        <f>+A45</f>
        <v>April</v>
      </c>
      <c r="B58" s="624">
        <f>+B45+1</f>
        <v>20</v>
      </c>
      <c r="C58" s="884" t="s">
        <v>128</v>
      </c>
      <c r="D58" s="884"/>
      <c r="E58" s="884"/>
      <c r="F58" s="884"/>
      <c r="G58" s="377"/>
      <c r="H58" s="377"/>
      <c r="I58" s="21"/>
      <c r="J58" s="874" t="s">
        <v>129</v>
      </c>
      <c r="K58" s="875"/>
      <c r="L58" s="875"/>
      <c r="M58" s="875"/>
      <c r="N58" s="876" t="s">
        <v>130</v>
      </c>
      <c r="O58" s="876"/>
      <c r="P58" s="876"/>
      <c r="Q58" s="876"/>
      <c r="R58" s="424" t="str">
        <f>+R45</f>
        <v xml:space="preserve"> Corrections Tracking - Check out rooms</v>
      </c>
      <c r="S58" s="424"/>
      <c r="T58" s="424"/>
      <c r="U58" s="424"/>
      <c r="V58" s="424"/>
      <c r="W58" s="424"/>
      <c r="X58" s="424"/>
      <c r="Y58" s="424"/>
      <c r="Z58" s="424"/>
      <c r="AA58" s="424"/>
      <c r="AB58" s="424"/>
      <c r="AC58" s="424"/>
      <c r="AD58" s="461" t="s">
        <v>132</v>
      </c>
      <c r="AE58" s="426"/>
      <c r="AF58" s="426"/>
      <c r="AG58" s="426"/>
      <c r="AH58" s="426"/>
      <c r="AI58" s="427"/>
    </row>
    <row r="59" spans="1:35" ht="59.25" customHeight="1" x14ac:dyDescent="0.25">
      <c r="A59" s="378" t="s">
        <v>133</v>
      </c>
      <c r="C59" s="435" t="s">
        <v>134</v>
      </c>
      <c r="D59" s="435" t="s">
        <v>135</v>
      </c>
      <c r="E59" s="435" t="s">
        <v>134</v>
      </c>
      <c r="F59" s="435" t="s">
        <v>135</v>
      </c>
      <c r="G59" s="1" t="s">
        <v>136</v>
      </c>
      <c r="H59" s="1" t="s">
        <v>108</v>
      </c>
      <c r="I59" s="436"/>
      <c r="J59" s="437" t="str">
        <f>+Setup_and_Criteria!$B$13</f>
        <v>Checkouts</v>
      </c>
      <c r="K59" s="437" t="str">
        <f>+Setup_and_Criteria!$B$14</f>
        <v>Pet Rooms</v>
      </c>
      <c r="L59" s="437" t="str">
        <f>+Setup_and_Criteria!$B$15</f>
        <v>2 Rm &amp; Jac Stes</v>
      </c>
      <c r="M59" s="438" t="str">
        <f>+Setup_and_Criteria!$B$16</f>
        <v>Stayovers</v>
      </c>
      <c r="N59" s="269" t="s">
        <v>137</v>
      </c>
      <c r="O59" s="269" t="s">
        <v>138</v>
      </c>
      <c r="P59" s="439" t="s">
        <v>139</v>
      </c>
      <c r="Q59" s="439" t="s">
        <v>140</v>
      </c>
      <c r="R59" s="440" t="str">
        <f>+Corrections!$C$8</f>
        <v>Vanity</v>
      </c>
      <c r="S59" s="440" t="str">
        <f>+Corrections!$I$8</f>
        <v>Toilet</v>
      </c>
      <c r="T59" s="440" t="str">
        <f>+Corrections!$O$8</f>
        <v>Bed/Pillows</v>
      </c>
      <c r="U59" s="440" t="str">
        <f>+Corrections!$U$8</f>
        <v>Floor</v>
      </c>
      <c r="V59" s="440" t="str">
        <f>+Corrections!$AA$8</f>
        <v>Dusting</v>
      </c>
      <c r="W59" s="440" t="str">
        <f>+Corrections!$AG$8</f>
        <v>Fridge/Micro</v>
      </c>
      <c r="X59" s="440" t="str">
        <f>+Corrections!$AM$8</f>
        <v>Tub</v>
      </c>
      <c r="Y59" s="441" t="str">
        <f>+Corrections!$AS$8</f>
        <v>Mirrors/Glass</v>
      </c>
      <c r="Z59" s="440" t="str">
        <f>+Corrections!$AY$8</f>
        <v>Stocking</v>
      </c>
      <c r="AA59" s="440" t="str">
        <f>+Corrections!$BE$8</f>
        <v>Other</v>
      </c>
      <c r="AB59" s="269" t="s">
        <v>141</v>
      </c>
      <c r="AC59" s="269" t="str">
        <f>+$AC$7</f>
        <v>Daily Corr / Inspected Checkout</v>
      </c>
      <c r="AD59" s="889" t="s">
        <v>143</v>
      </c>
      <c r="AE59" s="890"/>
      <c r="AF59" s="890"/>
      <c r="AG59" s="890"/>
      <c r="AH59" s="890"/>
      <c r="AI59" s="891"/>
    </row>
    <row r="60" spans="1:35" x14ac:dyDescent="0.25">
      <c r="A60" s="638"/>
      <c r="C60" s="369"/>
      <c r="D60" s="369"/>
      <c r="E60" s="369"/>
      <c r="F60" s="369"/>
      <c r="G60" s="264">
        <f t="shared" ref="G60:G65" si="32">+(D60-C60)+(F60-E60)</f>
        <v>0</v>
      </c>
      <c r="H60" s="442">
        <f t="shared" ref="H60:H65" si="33">+G60*1440</f>
        <v>0</v>
      </c>
      <c r="J60" s="630"/>
      <c r="K60" s="630"/>
      <c r="L60" s="630"/>
      <c r="M60" s="630"/>
      <c r="N60" s="1">
        <f>IF(C60&gt;0,((J60*Setup_and_Criteria!$F$13)+('M1_1-15th'!K60*Setup_and_Criteria!$F$14)+('M1_1-15th'!L60*Setup_and_Criteria!$F$15)+('M1_1-15th'!M60*Setup_and_Criteria!$F$16)+Setup_and_Criteria!$J$16),0)</f>
        <v>0</v>
      </c>
      <c r="O60" s="442">
        <f>+H60</f>
        <v>0</v>
      </c>
      <c r="P60" s="443">
        <f t="shared" ref="P60:P66" si="34">+N60-O60</f>
        <v>0</v>
      </c>
      <c r="Q60" s="357" t="e">
        <f t="shared" ref="Q60:Q66" si="35">O60/_xlfn.SINGLE(SUM(J60:M60))</f>
        <v>#DIV/0!</v>
      </c>
      <c r="R60" s="630"/>
      <c r="S60" s="630"/>
      <c r="T60" s="630"/>
      <c r="U60" s="630"/>
      <c r="V60" s="630"/>
      <c r="W60" s="630"/>
      <c r="X60" s="630"/>
      <c r="Y60" s="630"/>
      <c r="Z60" s="630"/>
      <c r="AA60" s="630"/>
      <c r="AB60" s="1">
        <f t="shared" ref="AB60:AB66" si="36">SUM(R60:AA60)</f>
        <v>0</v>
      </c>
      <c r="AC60" s="357" t="e">
        <f t="shared" ref="AC60:AC65" si="37">+AB60/(J60+K60+L60)</f>
        <v>#DIV/0!</v>
      </c>
      <c r="AD60" s="864" t="s">
        <v>144</v>
      </c>
      <c r="AE60" s="865"/>
      <c r="AF60" s="865"/>
      <c r="AG60" s="866"/>
      <c r="AH60" s="866"/>
      <c r="AI60" s="867"/>
    </row>
    <row r="61" spans="1:35" x14ac:dyDescent="0.25">
      <c r="A61" s="638"/>
      <c r="C61" s="369"/>
      <c r="D61" s="369"/>
      <c r="E61" s="630"/>
      <c r="F61" s="630"/>
      <c r="G61" s="264">
        <f t="shared" si="32"/>
        <v>0</v>
      </c>
      <c r="H61" s="442">
        <f t="shared" si="33"/>
        <v>0</v>
      </c>
      <c r="J61" s="630"/>
      <c r="K61" s="630"/>
      <c r="L61" s="630"/>
      <c r="M61" s="630"/>
      <c r="N61" s="1">
        <f>IF(C61&gt;0,((J61*Setup_and_Criteria!$F$13)+('M1_1-15th'!K61*Setup_and_Criteria!$F$14)+('M1_1-15th'!L61*Setup_and_Criteria!$F$15)+('M1_1-15th'!M61*Setup_and_Criteria!$F$16)+Setup_and_Criteria!$J$16),0)</f>
        <v>0</v>
      </c>
      <c r="O61" s="442">
        <f t="shared" ref="O61:O66" si="38">+H61</f>
        <v>0</v>
      </c>
      <c r="P61" s="443">
        <f t="shared" si="34"/>
        <v>0</v>
      </c>
      <c r="Q61" s="357" t="e">
        <f t="shared" si="35"/>
        <v>#DIV/0!</v>
      </c>
      <c r="R61" s="630"/>
      <c r="S61" s="630"/>
      <c r="T61" s="630"/>
      <c r="U61" s="630"/>
      <c r="V61" s="630"/>
      <c r="W61" s="630"/>
      <c r="X61" s="630"/>
      <c r="Y61" s="630"/>
      <c r="Z61" s="630"/>
      <c r="AA61" s="630"/>
      <c r="AB61" s="1">
        <f t="shared" si="36"/>
        <v>0</v>
      </c>
      <c r="AC61" s="357" t="e">
        <f t="shared" si="37"/>
        <v>#DIV/0!</v>
      </c>
      <c r="AD61" s="864"/>
      <c r="AE61" s="865"/>
      <c r="AF61" s="865"/>
      <c r="AG61" s="866"/>
      <c r="AH61" s="866"/>
      <c r="AI61" s="867"/>
    </row>
    <row r="62" spans="1:35" x14ac:dyDescent="0.25">
      <c r="A62" s="638"/>
      <c r="C62" s="369"/>
      <c r="D62" s="369"/>
      <c r="E62" s="630"/>
      <c r="F62" s="630"/>
      <c r="G62" s="264">
        <f t="shared" si="32"/>
        <v>0</v>
      </c>
      <c r="H62" s="442">
        <f t="shared" si="33"/>
        <v>0</v>
      </c>
      <c r="J62" s="630"/>
      <c r="K62" s="630"/>
      <c r="L62" s="630"/>
      <c r="M62" s="630"/>
      <c r="N62" s="1">
        <f>IF(C62&gt;0,((J62*Setup_and_Criteria!$F$13)+('M1_1-15th'!K62*Setup_and_Criteria!$F$14)+('M1_1-15th'!L62*Setup_and_Criteria!$F$15)+('M1_1-15th'!M62*Setup_and_Criteria!$F$16)+Setup_and_Criteria!$J$16),0)</f>
        <v>0</v>
      </c>
      <c r="O62" s="442">
        <f t="shared" si="38"/>
        <v>0</v>
      </c>
      <c r="P62" s="443">
        <f t="shared" si="34"/>
        <v>0</v>
      </c>
      <c r="Q62" s="357" t="e">
        <f t="shared" si="35"/>
        <v>#DIV/0!</v>
      </c>
      <c r="R62" s="630"/>
      <c r="S62" s="630"/>
      <c r="T62" s="630"/>
      <c r="U62" s="630"/>
      <c r="V62" s="630"/>
      <c r="W62" s="630"/>
      <c r="X62" s="630"/>
      <c r="Y62" s="630"/>
      <c r="Z62" s="630"/>
      <c r="AA62" s="630"/>
      <c r="AB62" s="1">
        <f t="shared" si="36"/>
        <v>0</v>
      </c>
      <c r="AC62" s="357" t="e">
        <f t="shared" si="37"/>
        <v>#DIV/0!</v>
      </c>
      <c r="AD62" s="864"/>
      <c r="AE62" s="865"/>
      <c r="AF62" s="865"/>
      <c r="AG62" s="866"/>
      <c r="AH62" s="866"/>
      <c r="AI62" s="867"/>
    </row>
    <row r="63" spans="1:35" x14ac:dyDescent="0.25">
      <c r="A63" s="638"/>
      <c r="C63" s="630"/>
      <c r="D63" s="630"/>
      <c r="E63" s="630"/>
      <c r="F63" s="630"/>
      <c r="G63" s="264">
        <f t="shared" si="32"/>
        <v>0</v>
      </c>
      <c r="H63" s="442">
        <f t="shared" si="33"/>
        <v>0</v>
      </c>
      <c r="J63" s="630"/>
      <c r="K63" s="630"/>
      <c r="L63" s="630"/>
      <c r="M63" s="630"/>
      <c r="N63" s="1">
        <f>IF(C63&gt;0,((J63*Setup_and_Criteria!$F$13)+('M1_1-15th'!K63*Setup_and_Criteria!$F$14)+('M1_1-15th'!L63*Setup_and_Criteria!$F$15)+('M1_1-15th'!M63*Setup_and_Criteria!$F$16)+Setup_and_Criteria!$J$16),0)</f>
        <v>0</v>
      </c>
      <c r="O63" s="442">
        <f t="shared" si="38"/>
        <v>0</v>
      </c>
      <c r="P63" s="443">
        <f t="shared" si="34"/>
        <v>0</v>
      </c>
      <c r="Q63" s="357" t="e">
        <f t="shared" si="35"/>
        <v>#DIV/0!</v>
      </c>
      <c r="R63" s="630"/>
      <c r="S63" s="630"/>
      <c r="T63" s="630"/>
      <c r="U63" s="630"/>
      <c r="V63" s="630"/>
      <c r="W63" s="630"/>
      <c r="X63" s="630"/>
      <c r="Y63" s="630"/>
      <c r="Z63" s="630"/>
      <c r="AA63" s="630"/>
      <c r="AB63" s="1">
        <f t="shared" si="36"/>
        <v>0</v>
      </c>
      <c r="AC63" s="357" t="e">
        <f t="shared" si="37"/>
        <v>#DIV/0!</v>
      </c>
      <c r="AD63" s="864"/>
      <c r="AE63" s="865"/>
      <c r="AF63" s="865"/>
      <c r="AG63" s="866"/>
      <c r="AH63" s="866"/>
      <c r="AI63" s="867"/>
    </row>
    <row r="64" spans="1:35" x14ac:dyDescent="0.25">
      <c r="A64" s="638"/>
      <c r="C64" s="630"/>
      <c r="D64" s="630"/>
      <c r="E64" s="630"/>
      <c r="F64" s="630"/>
      <c r="G64" s="264">
        <f t="shared" si="32"/>
        <v>0</v>
      </c>
      <c r="H64" s="442">
        <f t="shared" si="33"/>
        <v>0</v>
      </c>
      <c r="J64" s="630"/>
      <c r="K64" s="630"/>
      <c r="L64" s="630"/>
      <c r="M64" s="630"/>
      <c r="N64" s="1">
        <f>IF(C64&gt;0,((J64*Setup_and_Criteria!$F$13)+('M1_1-15th'!K64*Setup_and_Criteria!$F$14)+('M1_1-15th'!L64*Setup_and_Criteria!$F$15)+('M1_1-15th'!M64*Setup_and_Criteria!$F$16)+Setup_and_Criteria!$J$16),0)</f>
        <v>0</v>
      </c>
      <c r="O64" s="442">
        <f t="shared" si="38"/>
        <v>0</v>
      </c>
      <c r="P64" s="443">
        <f t="shared" si="34"/>
        <v>0</v>
      </c>
      <c r="Q64" s="357" t="e">
        <f t="shared" si="35"/>
        <v>#DIV/0!</v>
      </c>
      <c r="R64" s="630"/>
      <c r="S64" s="630"/>
      <c r="T64" s="630"/>
      <c r="U64" s="630"/>
      <c r="V64" s="630"/>
      <c r="W64" s="630"/>
      <c r="X64" s="630"/>
      <c r="Y64" s="630"/>
      <c r="Z64" s="630"/>
      <c r="AA64" s="630"/>
      <c r="AB64" s="1">
        <f t="shared" si="36"/>
        <v>0</v>
      </c>
      <c r="AC64" s="357" t="e">
        <f t="shared" si="37"/>
        <v>#DIV/0!</v>
      </c>
      <c r="AD64" s="864"/>
      <c r="AE64" s="865"/>
      <c r="AF64" s="865"/>
      <c r="AG64" s="866"/>
      <c r="AH64" s="866"/>
      <c r="AI64" s="867"/>
    </row>
    <row r="65" spans="1:35" ht="15.75" thickBot="1" x14ac:dyDescent="0.3">
      <c r="A65" s="638"/>
      <c r="C65" s="370"/>
      <c r="D65" s="370"/>
      <c r="E65" s="630"/>
      <c r="F65" s="630"/>
      <c r="G65" s="264">
        <f t="shared" si="32"/>
        <v>0</v>
      </c>
      <c r="H65" s="442">
        <f t="shared" si="33"/>
        <v>0</v>
      </c>
      <c r="J65" s="371"/>
      <c r="K65" s="371"/>
      <c r="L65" s="371"/>
      <c r="M65" s="371"/>
      <c r="N65" s="358">
        <f>IF(C65&gt;0,((J65*Setup_and_Criteria!$F$13)+('M1_1-15th'!K65*Setup_and_Criteria!$F$14)+('M1_1-15th'!L65*Setup_and_Criteria!$F$15)+('M1_1-15th'!M65*Setup_and_Criteria!$F$16)+Setup_and_Criteria!$J$16),0)</f>
        <v>0</v>
      </c>
      <c r="O65" s="359">
        <f t="shared" si="38"/>
        <v>0</v>
      </c>
      <c r="P65" s="383">
        <f t="shared" si="34"/>
        <v>0</v>
      </c>
      <c r="Q65" s="360" t="e">
        <f t="shared" si="35"/>
        <v>#DIV/0!</v>
      </c>
      <c r="R65" s="511"/>
      <c r="S65" s="511"/>
      <c r="T65" s="511"/>
      <c r="U65" s="511"/>
      <c r="V65" s="511"/>
      <c r="W65" s="511"/>
      <c r="X65" s="511"/>
      <c r="Y65" s="511"/>
      <c r="Z65" s="511"/>
      <c r="AA65" s="511"/>
      <c r="AB65" s="1">
        <f t="shared" si="36"/>
        <v>0</v>
      </c>
      <c r="AC65" s="357" t="e">
        <f t="shared" si="37"/>
        <v>#DIV/0!</v>
      </c>
      <c r="AD65" s="864"/>
      <c r="AE65" s="865"/>
      <c r="AF65" s="865"/>
      <c r="AG65" s="866"/>
      <c r="AH65" s="866"/>
      <c r="AI65" s="867"/>
    </row>
    <row r="66" spans="1:35" ht="15.75" thickTop="1" x14ac:dyDescent="0.25">
      <c r="A66" s="58"/>
      <c r="H66" s="442">
        <f>SUM(H60:H65)</f>
        <v>0</v>
      </c>
      <c r="J66" s="1">
        <f>SUM(J60:J65)</f>
        <v>0</v>
      </c>
      <c r="K66" s="1">
        <f>SUM(K60:K65)</f>
        <v>0</v>
      </c>
      <c r="L66" s="1">
        <f>SUM(L60:L65)</f>
        <v>0</v>
      </c>
      <c r="M66" s="1">
        <f>SUM(M60:M65)</f>
        <v>0</v>
      </c>
      <c r="N66" s="1">
        <f>SUM(N60:N65)</f>
        <v>0</v>
      </c>
      <c r="O66" s="1">
        <f t="shared" si="38"/>
        <v>0</v>
      </c>
      <c r="P66" s="443">
        <f t="shared" si="34"/>
        <v>0</v>
      </c>
      <c r="Q66" s="357" t="e">
        <f t="shared" si="35"/>
        <v>#DIV/0!</v>
      </c>
      <c r="R66" s="1">
        <f t="shared" ref="R66:AA66" si="39">SUM(R60:R65)</f>
        <v>0</v>
      </c>
      <c r="S66" s="1">
        <f t="shared" si="39"/>
        <v>0</v>
      </c>
      <c r="T66" s="1">
        <f t="shared" si="39"/>
        <v>0</v>
      </c>
      <c r="U66" s="1">
        <f t="shared" si="39"/>
        <v>0</v>
      </c>
      <c r="V66" s="1">
        <f t="shared" si="39"/>
        <v>0</v>
      </c>
      <c r="W66" s="1">
        <f t="shared" si="39"/>
        <v>0</v>
      </c>
      <c r="X66" s="1">
        <f t="shared" si="39"/>
        <v>0</v>
      </c>
      <c r="Y66" s="1">
        <f t="shared" si="39"/>
        <v>0</v>
      </c>
      <c r="Z66" s="1">
        <f t="shared" si="39"/>
        <v>0</v>
      </c>
      <c r="AA66" s="1">
        <f t="shared" si="39"/>
        <v>0</v>
      </c>
      <c r="AB66" s="1">
        <f t="shared" si="36"/>
        <v>0</v>
      </c>
      <c r="AC66" s="357" t="e">
        <f>+AB66/(J66+K66+L66+M66)</f>
        <v>#DIV/0!</v>
      </c>
      <c r="AD66" s="877"/>
      <c r="AE66" s="878"/>
      <c r="AF66" s="878"/>
      <c r="AG66" s="749"/>
      <c r="AH66" s="749"/>
      <c r="AI66" s="879"/>
    </row>
    <row r="67" spans="1:35" ht="21" customHeight="1" x14ac:dyDescent="0.35">
      <c r="A67" s="58"/>
      <c r="H67" s="442"/>
      <c r="N67" s="888" t="s">
        <v>145</v>
      </c>
      <c r="O67" s="888"/>
      <c r="P67" s="888"/>
      <c r="Q67" s="888"/>
      <c r="R67" s="431" t="s">
        <v>146</v>
      </c>
      <c r="S67" s="431"/>
      <c r="T67" s="431"/>
      <c r="U67" s="431"/>
      <c r="V67" s="431"/>
      <c r="W67" s="431"/>
      <c r="X67" s="431"/>
      <c r="Y67" s="431"/>
      <c r="Z67" s="431"/>
      <c r="AA67" s="431"/>
      <c r="AB67" s="431"/>
      <c r="AC67" s="431"/>
      <c r="AD67" s="880" t="s">
        <v>132</v>
      </c>
      <c r="AE67" s="881"/>
      <c r="AF67" s="881"/>
      <c r="AG67" s="881"/>
      <c r="AH67" s="881"/>
      <c r="AI67" s="882"/>
    </row>
    <row r="68" spans="1:35" ht="31.5" customHeight="1" x14ac:dyDescent="0.35">
      <c r="A68" s="378" t="s">
        <v>147</v>
      </c>
      <c r="C68" s="885" t="s">
        <v>128</v>
      </c>
      <c r="D68" s="885"/>
      <c r="E68" s="885"/>
      <c r="F68" s="885"/>
      <c r="H68" s="442"/>
      <c r="J68" s="444"/>
      <c r="K68" s="445" t="s">
        <v>35</v>
      </c>
      <c r="L68" s="445" t="s">
        <v>148</v>
      </c>
      <c r="N68" s="446" t="s">
        <v>149</v>
      </c>
      <c r="O68" s="447" t="s">
        <v>150</v>
      </c>
      <c r="P68" s="447" t="s">
        <v>138</v>
      </c>
      <c r="Q68" s="447" t="s">
        <v>151</v>
      </c>
      <c r="R68" s="749" t="s">
        <v>152</v>
      </c>
      <c r="S68" s="749"/>
      <c r="T68" s="883" t="s">
        <v>153</v>
      </c>
      <c r="U68" s="883"/>
      <c r="W68" s="425" t="s">
        <v>154</v>
      </c>
      <c r="X68" s="425"/>
      <c r="Y68" s="425"/>
      <c r="Z68" s="425"/>
      <c r="AA68" s="425"/>
      <c r="AB68" s="425"/>
      <c r="AC68" s="425"/>
      <c r="AD68" s="868" t="s">
        <v>165</v>
      </c>
      <c r="AE68" s="869"/>
      <c r="AF68" s="869"/>
      <c r="AG68" s="869"/>
      <c r="AH68" s="869"/>
      <c r="AI68" s="870"/>
    </row>
    <row r="69" spans="1:35" ht="18" customHeight="1" thickBot="1" x14ac:dyDescent="0.3">
      <c r="A69" s="639"/>
      <c r="B69" s="375"/>
      <c r="C69" s="372"/>
      <c r="D69" s="372"/>
      <c r="E69" s="372"/>
      <c r="F69" s="372"/>
      <c r="G69" s="366">
        <f>+(D69-C69)+(F69-E69)</f>
        <v>0</v>
      </c>
      <c r="H69" s="367">
        <f>+G69*1440</f>
        <v>0</v>
      </c>
      <c r="I69" s="859" t="s">
        <v>155</v>
      </c>
      <c r="J69" s="860"/>
      <c r="K69" s="373"/>
      <c r="L69" s="374"/>
      <c r="M69" s="423"/>
      <c r="N69" s="629">
        <f>+J66+L66+K66+K69+L69</f>
        <v>0</v>
      </c>
      <c r="O69" s="368">
        <f>+(Setup_and_Criteria!$K$31+(J66*Setup_and_Criteria!$F$20)+('M1_1-15th'!K66*Setup_and_Criteria!$F$21)+('M1_1-15th'!L66*Setup_and_Criteria!$F$20))+T69+(K69*Setup_and_Criteria!$F$21)+(Setup_and_Criteria!$F$22*'M1_1-15th'!L69)</f>
        <v>75</v>
      </c>
      <c r="P69" s="367">
        <f>+H69</f>
        <v>0</v>
      </c>
      <c r="Q69" s="367">
        <f>+O69-P69</f>
        <v>75</v>
      </c>
      <c r="R69" s="861"/>
      <c r="S69" s="861"/>
      <c r="T69" s="862"/>
      <c r="U69" s="863"/>
      <c r="V69" s="265" t="s">
        <v>156</v>
      </c>
      <c r="W69" s="854"/>
      <c r="X69" s="855"/>
      <c r="Y69" s="855"/>
      <c r="Z69" s="855"/>
      <c r="AA69" s="855"/>
      <c r="AB69" s="855"/>
      <c r="AC69" s="855"/>
      <c r="AD69" s="868"/>
      <c r="AE69" s="869"/>
      <c r="AF69" s="869"/>
      <c r="AG69" s="869"/>
      <c r="AH69" s="869"/>
      <c r="AI69" s="870"/>
    </row>
    <row r="70" spans="1:35" ht="15.75" thickBot="1" x14ac:dyDescent="0.3">
      <c r="A70" s="449" t="str">
        <f>+A57</f>
        <v>Password to enter data = "Enter Info"</v>
      </c>
      <c r="B70" s="450"/>
      <c r="C70" s="451"/>
      <c r="D70" s="451"/>
      <c r="E70" s="451"/>
      <c r="F70" s="451"/>
      <c r="G70" s="451"/>
      <c r="H70" s="451"/>
      <c r="I70" s="450"/>
      <c r="J70" s="451"/>
      <c r="K70" s="451"/>
      <c r="L70" s="451"/>
      <c r="M70" s="451"/>
      <c r="N70" s="451"/>
      <c r="O70" s="451"/>
      <c r="P70" s="451"/>
      <c r="Q70" s="450"/>
      <c r="R70" s="451"/>
      <c r="S70" s="451"/>
      <c r="T70" s="451"/>
      <c r="U70" s="451"/>
      <c r="V70" s="451"/>
      <c r="W70" s="451"/>
      <c r="X70" s="451"/>
      <c r="Y70" s="451"/>
      <c r="Z70" s="451"/>
      <c r="AA70" s="451"/>
      <c r="AB70" s="450"/>
      <c r="AC70" s="450"/>
      <c r="AD70" s="871"/>
      <c r="AE70" s="872"/>
      <c r="AF70" s="872"/>
      <c r="AG70" s="872"/>
      <c r="AH70" s="872"/>
      <c r="AI70" s="873"/>
    </row>
    <row r="71" spans="1:35" ht="35.25" customHeight="1" thickBot="1" x14ac:dyDescent="0.45">
      <c r="A71" s="428" t="str">
        <f>+A58</f>
        <v>April</v>
      </c>
      <c r="B71" s="429">
        <f>+B58+1</f>
        <v>21</v>
      </c>
      <c r="C71" s="885" t="s">
        <v>128</v>
      </c>
      <c r="D71" s="885"/>
      <c r="E71" s="885"/>
      <c r="F71" s="885"/>
      <c r="G71" s="430"/>
      <c r="H71" s="430"/>
      <c r="J71" s="895" t="s">
        <v>129</v>
      </c>
      <c r="K71" s="896"/>
      <c r="L71" s="896"/>
      <c r="M71" s="896"/>
      <c r="N71" s="888" t="s">
        <v>130</v>
      </c>
      <c r="O71" s="888"/>
      <c r="P71" s="888"/>
      <c r="Q71" s="888"/>
      <c r="R71" s="431" t="str">
        <f>+R58</f>
        <v xml:space="preserve"> Corrections Tracking - Check out rooms</v>
      </c>
      <c r="S71" s="431"/>
      <c r="T71" s="431"/>
      <c r="U71" s="431"/>
      <c r="V71" s="431"/>
      <c r="W71" s="431"/>
      <c r="X71" s="431"/>
      <c r="Y71" s="431"/>
      <c r="Z71" s="431"/>
      <c r="AA71" s="431"/>
      <c r="AB71" s="431"/>
      <c r="AC71" s="431"/>
      <c r="AD71" s="462" t="s">
        <v>132</v>
      </c>
      <c r="AE71" s="432"/>
      <c r="AF71" s="432"/>
      <c r="AG71" s="432"/>
      <c r="AH71" s="432"/>
      <c r="AI71" s="433"/>
    </row>
    <row r="72" spans="1:35" ht="59.25" customHeight="1" x14ac:dyDescent="0.25">
      <c r="A72" s="623" t="s">
        <v>133</v>
      </c>
      <c r="B72" s="21"/>
      <c r="C72" s="453" t="s">
        <v>134</v>
      </c>
      <c r="D72" s="453" t="s">
        <v>135</v>
      </c>
      <c r="E72" s="453" t="s">
        <v>134</v>
      </c>
      <c r="F72" s="453" t="s">
        <v>135</v>
      </c>
      <c r="G72" s="635" t="s">
        <v>136</v>
      </c>
      <c r="H72" s="635" t="s">
        <v>108</v>
      </c>
      <c r="I72" s="454"/>
      <c r="J72" s="455" t="str">
        <f>+Setup_and_Criteria!$B$13</f>
        <v>Checkouts</v>
      </c>
      <c r="K72" s="455" t="str">
        <f>+Setup_and_Criteria!$B$14</f>
        <v>Pet Rooms</v>
      </c>
      <c r="L72" s="455" t="str">
        <f>+Setup_and_Criteria!$B$15</f>
        <v>2 Rm &amp; Jac Stes</v>
      </c>
      <c r="M72" s="456" t="str">
        <f>+Setup_and_Criteria!$B$16</f>
        <v>Stayovers</v>
      </c>
      <c r="N72" s="457" t="s">
        <v>137</v>
      </c>
      <c r="O72" s="457" t="s">
        <v>138</v>
      </c>
      <c r="P72" s="458" t="s">
        <v>139</v>
      </c>
      <c r="Q72" s="458" t="s">
        <v>140</v>
      </c>
      <c r="R72" s="459" t="str">
        <f>+Corrections!$C$8</f>
        <v>Vanity</v>
      </c>
      <c r="S72" s="459" t="str">
        <f>+Corrections!$I$8</f>
        <v>Toilet</v>
      </c>
      <c r="T72" s="459" t="str">
        <f>+Corrections!$O$8</f>
        <v>Bed/Pillows</v>
      </c>
      <c r="U72" s="459" t="str">
        <f>+Corrections!$U$8</f>
        <v>Floor</v>
      </c>
      <c r="V72" s="459" t="str">
        <f>+Corrections!$AA$8</f>
        <v>Dusting</v>
      </c>
      <c r="W72" s="459" t="str">
        <f>+Corrections!$AG$8</f>
        <v>Fridge/Micro</v>
      </c>
      <c r="X72" s="459" t="str">
        <f>+Corrections!$AM$8</f>
        <v>Tub</v>
      </c>
      <c r="Y72" s="460" t="str">
        <f>+Corrections!$AS$8</f>
        <v>Mirrors/Glass</v>
      </c>
      <c r="Z72" s="459" t="str">
        <f>+Corrections!$AY$8</f>
        <v>Stocking</v>
      </c>
      <c r="AA72" s="459" t="str">
        <f>+Corrections!$BE$8</f>
        <v>Other</v>
      </c>
      <c r="AB72" s="457" t="s">
        <v>141</v>
      </c>
      <c r="AC72" s="269" t="str">
        <f>+$AC$7</f>
        <v>Daily Corr / Inspected Checkout</v>
      </c>
      <c r="AD72" s="892" t="s">
        <v>143</v>
      </c>
      <c r="AE72" s="893"/>
      <c r="AF72" s="893"/>
      <c r="AG72" s="893"/>
      <c r="AH72" s="893"/>
      <c r="AI72" s="894"/>
    </row>
    <row r="73" spans="1:35" x14ac:dyDescent="0.25">
      <c r="A73" s="638"/>
      <c r="C73" s="369"/>
      <c r="D73" s="369"/>
      <c r="E73" s="369"/>
      <c r="F73" s="369"/>
      <c r="G73" s="264">
        <f t="shared" ref="G73:G78" si="40">+(D73-C73)+(F73-E73)</f>
        <v>0</v>
      </c>
      <c r="H73" s="442">
        <f t="shared" ref="H73:H78" si="41">+G73*1440</f>
        <v>0</v>
      </c>
      <c r="J73" s="630"/>
      <c r="K73" s="630"/>
      <c r="L73" s="630"/>
      <c r="M73" s="630"/>
      <c r="N73" s="1">
        <f>IF(C73&gt;0,((J73*Setup_and_Criteria!$F$13)+('M1_1-15th'!K73*Setup_and_Criteria!$F$14)+('M1_1-15th'!L73*Setup_and_Criteria!$F$15)+('M1_1-15th'!M73*Setup_and_Criteria!$F$16)+Setup_and_Criteria!$J$16),0)</f>
        <v>0</v>
      </c>
      <c r="O73" s="442">
        <f>+H73</f>
        <v>0</v>
      </c>
      <c r="P73" s="443">
        <f t="shared" ref="P73:P79" si="42">+N73-O73</f>
        <v>0</v>
      </c>
      <c r="Q73" s="357" t="e">
        <f t="shared" ref="Q73:Q79" si="43">O73/_xlfn.SINGLE(SUM(J73:M73))</f>
        <v>#DIV/0!</v>
      </c>
      <c r="R73" s="630"/>
      <c r="S73" s="630"/>
      <c r="T73" s="630"/>
      <c r="U73" s="630"/>
      <c r="V73" s="630"/>
      <c r="W73" s="630"/>
      <c r="X73" s="630"/>
      <c r="Y73" s="630"/>
      <c r="Z73" s="630"/>
      <c r="AA73" s="630"/>
      <c r="AB73" s="1">
        <f t="shared" ref="AB73:AB79" si="44">SUM(R73:AA73)</f>
        <v>0</v>
      </c>
      <c r="AC73" s="357" t="e">
        <f t="shared" ref="AC73:AC79" si="45">+AB73/(J73+K73+L73)</f>
        <v>#DIV/0!</v>
      </c>
      <c r="AD73" s="864" t="s">
        <v>144</v>
      </c>
      <c r="AE73" s="865"/>
      <c r="AF73" s="865"/>
      <c r="AG73" s="866"/>
      <c r="AH73" s="866"/>
      <c r="AI73" s="867"/>
    </row>
    <row r="74" spans="1:35" x14ac:dyDescent="0.25">
      <c r="A74" s="638"/>
      <c r="C74" s="369"/>
      <c r="D74" s="369"/>
      <c r="E74" s="630"/>
      <c r="F74" s="630"/>
      <c r="G74" s="264">
        <f t="shared" si="40"/>
        <v>0</v>
      </c>
      <c r="H74" s="442">
        <f t="shared" si="41"/>
        <v>0</v>
      </c>
      <c r="J74" s="630"/>
      <c r="K74" s="630"/>
      <c r="L74" s="630"/>
      <c r="M74" s="630"/>
      <c r="N74" s="1">
        <f>IF(C74&gt;0,((J74*Setup_and_Criteria!$F$13)+('M1_1-15th'!K74*Setup_and_Criteria!$F$14)+('M1_1-15th'!L74*Setup_and_Criteria!$F$15)+('M1_1-15th'!M74*Setup_and_Criteria!$F$16)+Setup_and_Criteria!$J$16),0)</f>
        <v>0</v>
      </c>
      <c r="O74" s="442">
        <f t="shared" ref="O74:O79" si="46">+H74</f>
        <v>0</v>
      </c>
      <c r="P74" s="443">
        <f t="shared" si="42"/>
        <v>0</v>
      </c>
      <c r="Q74" s="357" t="e">
        <f t="shared" si="43"/>
        <v>#DIV/0!</v>
      </c>
      <c r="R74" s="630"/>
      <c r="S74" s="630"/>
      <c r="T74" s="630"/>
      <c r="U74" s="630"/>
      <c r="V74" s="630"/>
      <c r="W74" s="630"/>
      <c r="X74" s="630"/>
      <c r="Y74" s="630"/>
      <c r="Z74" s="630"/>
      <c r="AA74" s="630"/>
      <c r="AB74" s="1">
        <f t="shared" si="44"/>
        <v>0</v>
      </c>
      <c r="AC74" s="357" t="e">
        <f t="shared" si="45"/>
        <v>#DIV/0!</v>
      </c>
      <c r="AD74" s="864"/>
      <c r="AE74" s="865"/>
      <c r="AF74" s="865"/>
      <c r="AG74" s="866"/>
      <c r="AH74" s="866"/>
      <c r="AI74" s="867"/>
    </row>
    <row r="75" spans="1:35" x14ac:dyDescent="0.25">
      <c r="A75" s="638"/>
      <c r="C75" s="630"/>
      <c r="D75" s="630"/>
      <c r="E75" s="630"/>
      <c r="F75" s="630"/>
      <c r="G75" s="264">
        <f t="shared" si="40"/>
        <v>0</v>
      </c>
      <c r="H75" s="442">
        <f t="shared" si="41"/>
        <v>0</v>
      </c>
      <c r="J75" s="630"/>
      <c r="K75" s="630"/>
      <c r="L75" s="630"/>
      <c r="M75" s="630"/>
      <c r="N75" s="1">
        <f>IF(C75&gt;0,((J75*Setup_and_Criteria!$F$13)+('M1_1-15th'!K75*Setup_and_Criteria!$F$14)+('M1_1-15th'!L75*Setup_and_Criteria!$F$15)+('M1_1-15th'!M75*Setup_and_Criteria!$F$16)+Setup_and_Criteria!$J$16),0)</f>
        <v>0</v>
      </c>
      <c r="O75" s="442">
        <f t="shared" si="46"/>
        <v>0</v>
      </c>
      <c r="P75" s="443">
        <f t="shared" si="42"/>
        <v>0</v>
      </c>
      <c r="Q75" s="357" t="e">
        <f t="shared" si="43"/>
        <v>#DIV/0!</v>
      </c>
      <c r="R75" s="630"/>
      <c r="S75" s="630"/>
      <c r="T75" s="630"/>
      <c r="U75" s="630"/>
      <c r="V75" s="630"/>
      <c r="W75" s="630"/>
      <c r="X75" s="630"/>
      <c r="Y75" s="630"/>
      <c r="Z75" s="630"/>
      <c r="AA75" s="630"/>
      <c r="AB75" s="1">
        <f t="shared" si="44"/>
        <v>0</v>
      </c>
      <c r="AC75" s="357" t="e">
        <f t="shared" si="45"/>
        <v>#DIV/0!</v>
      </c>
      <c r="AD75" s="864"/>
      <c r="AE75" s="865"/>
      <c r="AF75" s="865"/>
      <c r="AG75" s="866"/>
      <c r="AH75" s="866"/>
      <c r="AI75" s="867"/>
    </row>
    <row r="76" spans="1:35" x14ac:dyDescent="0.25">
      <c r="A76" s="638"/>
      <c r="C76" s="630"/>
      <c r="D76" s="630"/>
      <c r="E76" s="630"/>
      <c r="F76" s="630"/>
      <c r="G76" s="264">
        <f t="shared" si="40"/>
        <v>0</v>
      </c>
      <c r="H76" s="442">
        <f t="shared" si="41"/>
        <v>0</v>
      </c>
      <c r="J76" s="630"/>
      <c r="K76" s="630"/>
      <c r="L76" s="630"/>
      <c r="M76" s="630"/>
      <c r="N76" s="1">
        <f>IF(C76&gt;0,((J76*Setup_and_Criteria!$F$13)+('M1_1-15th'!K76*Setup_and_Criteria!$F$14)+('M1_1-15th'!L76*Setup_and_Criteria!$F$15)+('M1_1-15th'!M76*Setup_and_Criteria!$F$16)+Setup_and_Criteria!$J$16),0)</f>
        <v>0</v>
      </c>
      <c r="O76" s="442">
        <f t="shared" si="46"/>
        <v>0</v>
      </c>
      <c r="P76" s="443">
        <f t="shared" si="42"/>
        <v>0</v>
      </c>
      <c r="Q76" s="357" t="e">
        <f t="shared" si="43"/>
        <v>#DIV/0!</v>
      </c>
      <c r="R76" s="630"/>
      <c r="S76" s="630"/>
      <c r="T76" s="630"/>
      <c r="U76" s="630"/>
      <c r="V76" s="630"/>
      <c r="W76" s="630"/>
      <c r="X76" s="630"/>
      <c r="Y76" s="630"/>
      <c r="Z76" s="630"/>
      <c r="AA76" s="630"/>
      <c r="AB76" s="1">
        <f t="shared" si="44"/>
        <v>0</v>
      </c>
      <c r="AC76" s="357" t="e">
        <f t="shared" si="45"/>
        <v>#DIV/0!</v>
      </c>
      <c r="AD76" s="864"/>
      <c r="AE76" s="865"/>
      <c r="AF76" s="865"/>
      <c r="AG76" s="866"/>
      <c r="AH76" s="866"/>
      <c r="AI76" s="867"/>
    </row>
    <row r="77" spans="1:35" x14ac:dyDescent="0.25">
      <c r="A77" s="638"/>
      <c r="C77" s="630"/>
      <c r="D77" s="630"/>
      <c r="E77" s="630"/>
      <c r="F77" s="630"/>
      <c r="G77" s="264">
        <f t="shared" si="40"/>
        <v>0</v>
      </c>
      <c r="H77" s="442">
        <f t="shared" si="41"/>
        <v>0</v>
      </c>
      <c r="J77" s="630"/>
      <c r="K77" s="630"/>
      <c r="L77" s="630"/>
      <c r="M77" s="630"/>
      <c r="N77" s="1">
        <f>IF(C77&gt;0,((J77*Setup_and_Criteria!$F$13)+('M1_1-15th'!K77*Setup_and_Criteria!$F$14)+('M1_1-15th'!L77*Setup_and_Criteria!$F$15)+('M1_1-15th'!M77*Setup_and_Criteria!$F$16)+Setup_and_Criteria!$J$16),0)</f>
        <v>0</v>
      </c>
      <c r="O77" s="442">
        <f t="shared" si="46"/>
        <v>0</v>
      </c>
      <c r="P77" s="443">
        <f t="shared" si="42"/>
        <v>0</v>
      </c>
      <c r="Q77" s="357" t="e">
        <f t="shared" si="43"/>
        <v>#DIV/0!</v>
      </c>
      <c r="R77" s="630"/>
      <c r="S77" s="630"/>
      <c r="T77" s="630"/>
      <c r="U77" s="630"/>
      <c r="V77" s="630"/>
      <c r="W77" s="630"/>
      <c r="X77" s="630"/>
      <c r="Y77" s="630"/>
      <c r="Z77" s="630"/>
      <c r="AA77" s="630"/>
      <c r="AB77" s="1">
        <f t="shared" si="44"/>
        <v>0</v>
      </c>
      <c r="AC77" s="357" t="e">
        <f t="shared" si="45"/>
        <v>#DIV/0!</v>
      </c>
      <c r="AD77" s="864"/>
      <c r="AE77" s="865"/>
      <c r="AF77" s="865"/>
      <c r="AG77" s="866"/>
      <c r="AH77" s="866"/>
      <c r="AI77" s="867"/>
    </row>
    <row r="78" spans="1:35" ht="15.75" thickBot="1" x14ac:dyDescent="0.3">
      <c r="A78" s="638"/>
      <c r="C78" s="370"/>
      <c r="D78" s="370"/>
      <c r="E78" s="630"/>
      <c r="F78" s="630"/>
      <c r="G78" s="264">
        <f t="shared" si="40"/>
        <v>0</v>
      </c>
      <c r="H78" s="442">
        <f t="shared" si="41"/>
        <v>0</v>
      </c>
      <c r="J78" s="371"/>
      <c r="K78" s="371"/>
      <c r="L78" s="371"/>
      <c r="M78" s="371"/>
      <c r="N78" s="358">
        <f>IF(C78&gt;0,((J78*Setup_and_Criteria!$F$13)+('M1_1-15th'!K78*Setup_and_Criteria!$F$14)+('M1_1-15th'!L78*Setup_and_Criteria!$F$15)+('M1_1-15th'!M78*Setup_and_Criteria!$F$16)+Setup_and_Criteria!$J$16),0)</f>
        <v>0</v>
      </c>
      <c r="O78" s="359">
        <f t="shared" si="46"/>
        <v>0</v>
      </c>
      <c r="P78" s="383">
        <f t="shared" si="42"/>
        <v>0</v>
      </c>
      <c r="Q78" s="360" t="e">
        <f t="shared" si="43"/>
        <v>#DIV/0!</v>
      </c>
      <c r="R78" s="511"/>
      <c r="S78" s="511"/>
      <c r="T78" s="511"/>
      <c r="U78" s="511"/>
      <c r="V78" s="511"/>
      <c r="W78" s="511"/>
      <c r="X78" s="511"/>
      <c r="Y78" s="511"/>
      <c r="Z78" s="511"/>
      <c r="AA78" s="511"/>
      <c r="AB78" s="1">
        <f t="shared" si="44"/>
        <v>0</v>
      </c>
      <c r="AC78" s="357" t="e">
        <f t="shared" si="45"/>
        <v>#DIV/0!</v>
      </c>
      <c r="AD78" s="864"/>
      <c r="AE78" s="865"/>
      <c r="AF78" s="865"/>
      <c r="AG78" s="866"/>
      <c r="AH78" s="866"/>
      <c r="AI78" s="867"/>
    </row>
    <row r="79" spans="1:35" ht="15.75" thickTop="1" x14ac:dyDescent="0.25">
      <c r="A79" s="58"/>
      <c r="H79" s="442">
        <f>SUM(H73:H78)</f>
        <v>0</v>
      </c>
      <c r="J79" s="1">
        <f>SUM(J73:J78)</f>
        <v>0</v>
      </c>
      <c r="K79" s="1">
        <f>SUM(K73:K78)</f>
        <v>0</v>
      </c>
      <c r="L79" s="1">
        <f>SUM(L73:L78)</f>
        <v>0</v>
      </c>
      <c r="M79" s="1">
        <f>SUM(M73:M78)</f>
        <v>0</v>
      </c>
      <c r="N79" s="1">
        <f>SUM(N73:N78)</f>
        <v>0</v>
      </c>
      <c r="O79" s="1">
        <f t="shared" si="46"/>
        <v>0</v>
      </c>
      <c r="P79" s="443">
        <f t="shared" si="42"/>
        <v>0</v>
      </c>
      <c r="Q79" s="357" t="e">
        <f t="shared" si="43"/>
        <v>#DIV/0!</v>
      </c>
      <c r="R79" s="1">
        <f t="shared" ref="R79:AA79" si="47">SUM(R73:R78)</f>
        <v>0</v>
      </c>
      <c r="S79" s="1">
        <f t="shared" si="47"/>
        <v>0</v>
      </c>
      <c r="T79" s="1">
        <f t="shared" si="47"/>
        <v>0</v>
      </c>
      <c r="U79" s="1">
        <f t="shared" si="47"/>
        <v>0</v>
      </c>
      <c r="V79" s="1">
        <f t="shared" si="47"/>
        <v>0</v>
      </c>
      <c r="W79" s="1">
        <f t="shared" si="47"/>
        <v>0</v>
      </c>
      <c r="X79" s="1">
        <f t="shared" si="47"/>
        <v>0</v>
      </c>
      <c r="Y79" s="1">
        <f t="shared" si="47"/>
        <v>0</v>
      </c>
      <c r="Z79" s="1">
        <f t="shared" si="47"/>
        <v>0</v>
      </c>
      <c r="AA79" s="1">
        <f t="shared" si="47"/>
        <v>0</v>
      </c>
      <c r="AB79" s="1">
        <f t="shared" si="44"/>
        <v>0</v>
      </c>
      <c r="AC79" s="357" t="e">
        <f t="shared" si="45"/>
        <v>#DIV/0!</v>
      </c>
      <c r="AD79" s="877"/>
      <c r="AE79" s="878"/>
      <c r="AF79" s="878"/>
      <c r="AG79" s="749"/>
      <c r="AH79" s="749"/>
      <c r="AI79" s="879"/>
    </row>
    <row r="80" spans="1:35" ht="21" customHeight="1" x14ac:dyDescent="0.35">
      <c r="A80" s="58"/>
      <c r="H80" s="442"/>
      <c r="N80" s="888" t="s">
        <v>145</v>
      </c>
      <c r="O80" s="888"/>
      <c r="P80" s="888"/>
      <c r="Q80" s="888"/>
      <c r="R80" s="431" t="s">
        <v>146</v>
      </c>
      <c r="S80" s="431"/>
      <c r="T80" s="431"/>
      <c r="U80" s="431"/>
      <c r="V80" s="431"/>
      <c r="W80" s="431"/>
      <c r="X80" s="431"/>
      <c r="Y80" s="431"/>
      <c r="Z80" s="431"/>
      <c r="AA80" s="431"/>
      <c r="AB80" s="431"/>
      <c r="AC80" s="431"/>
      <c r="AD80" s="880" t="s">
        <v>132</v>
      </c>
      <c r="AE80" s="881"/>
      <c r="AF80" s="881"/>
      <c r="AG80" s="881"/>
      <c r="AH80" s="881"/>
      <c r="AI80" s="882"/>
    </row>
    <row r="81" spans="1:35" ht="31.5" customHeight="1" x14ac:dyDescent="0.35">
      <c r="A81" s="378" t="s">
        <v>147</v>
      </c>
      <c r="C81" s="885" t="s">
        <v>128</v>
      </c>
      <c r="D81" s="885"/>
      <c r="E81" s="885"/>
      <c r="F81" s="885"/>
      <c r="H81" s="442"/>
      <c r="J81" s="444"/>
      <c r="K81" s="445" t="s">
        <v>35</v>
      </c>
      <c r="L81" s="445" t="s">
        <v>148</v>
      </c>
      <c r="N81" s="446" t="s">
        <v>149</v>
      </c>
      <c r="O81" s="447" t="s">
        <v>150</v>
      </c>
      <c r="P81" s="447" t="s">
        <v>138</v>
      </c>
      <c r="Q81" s="447" t="s">
        <v>151</v>
      </c>
      <c r="R81" s="749" t="s">
        <v>152</v>
      </c>
      <c r="S81" s="749"/>
      <c r="T81" s="883" t="s">
        <v>153</v>
      </c>
      <c r="U81" s="883"/>
      <c r="W81" s="425" t="s">
        <v>154</v>
      </c>
      <c r="X81" s="425"/>
      <c r="Y81" s="425"/>
      <c r="Z81" s="425"/>
      <c r="AA81" s="425"/>
      <c r="AB81" s="425"/>
      <c r="AC81" s="425"/>
      <c r="AD81" s="868" t="s">
        <v>166</v>
      </c>
      <c r="AE81" s="869"/>
      <c r="AF81" s="869"/>
      <c r="AG81" s="869"/>
      <c r="AH81" s="869"/>
      <c r="AI81" s="870"/>
    </row>
    <row r="82" spans="1:35" ht="18" customHeight="1" thickBot="1" x14ac:dyDescent="0.3">
      <c r="A82" s="639"/>
      <c r="B82" s="375"/>
      <c r="C82" s="372"/>
      <c r="D82" s="372"/>
      <c r="E82" s="372"/>
      <c r="F82" s="372"/>
      <c r="G82" s="366">
        <f>+(D82-C82)+(F82-E82)</f>
        <v>0</v>
      </c>
      <c r="H82" s="367">
        <f>+G82*1440</f>
        <v>0</v>
      </c>
      <c r="I82" s="859" t="s">
        <v>155</v>
      </c>
      <c r="J82" s="860"/>
      <c r="K82" s="373"/>
      <c r="L82" s="374"/>
      <c r="M82" s="423"/>
      <c r="N82" s="629">
        <f>+J79+L79+K79+K82+L82</f>
        <v>0</v>
      </c>
      <c r="O82" s="368">
        <f>+(Setup_and_Criteria!$K$31+(J79*Setup_and_Criteria!$F$20)+('M1_1-15th'!K79*Setup_and_Criteria!$F$21)+('M1_1-15th'!L79*Setup_and_Criteria!$F$20))+T82+(K82*Setup_and_Criteria!$F$21)+(Setup_and_Criteria!$F$22*'M1_1-15th'!L82)</f>
        <v>75</v>
      </c>
      <c r="P82" s="367">
        <f>+H82</f>
        <v>0</v>
      </c>
      <c r="Q82" s="367">
        <f>+O82-P82</f>
        <v>75</v>
      </c>
      <c r="R82" s="861"/>
      <c r="S82" s="861"/>
      <c r="T82" s="862"/>
      <c r="U82" s="863"/>
      <c r="V82" s="265" t="s">
        <v>156</v>
      </c>
      <c r="W82" s="854"/>
      <c r="X82" s="855"/>
      <c r="Y82" s="855"/>
      <c r="Z82" s="855"/>
      <c r="AA82" s="855"/>
      <c r="AB82" s="855"/>
      <c r="AC82" s="855"/>
      <c r="AD82" s="868"/>
      <c r="AE82" s="869"/>
      <c r="AF82" s="869"/>
      <c r="AG82" s="869"/>
      <c r="AH82" s="869"/>
      <c r="AI82" s="870"/>
    </row>
    <row r="83" spans="1:35" ht="15.75" thickBot="1" x14ac:dyDescent="0.3">
      <c r="A83" s="449" t="str">
        <f>+A70</f>
        <v>Password to enter data = "Enter Info"</v>
      </c>
      <c r="B83" s="450"/>
      <c r="C83" s="451"/>
      <c r="D83" s="451"/>
      <c r="E83" s="451"/>
      <c r="F83" s="451"/>
      <c r="G83" s="451"/>
      <c r="H83" s="451"/>
      <c r="I83" s="450"/>
      <c r="J83" s="451"/>
      <c r="K83" s="451"/>
      <c r="L83" s="451"/>
      <c r="M83" s="451"/>
      <c r="N83" s="451"/>
      <c r="O83" s="451"/>
      <c r="P83" s="451"/>
      <c r="Q83" s="450"/>
      <c r="R83" s="451"/>
      <c r="S83" s="451"/>
      <c r="T83" s="451"/>
      <c r="U83" s="451"/>
      <c r="V83" s="451"/>
      <c r="W83" s="451"/>
      <c r="X83" s="451"/>
      <c r="Y83" s="451"/>
      <c r="Z83" s="451"/>
      <c r="AA83" s="451"/>
      <c r="AB83" s="450"/>
      <c r="AC83" s="450"/>
      <c r="AD83" s="871"/>
      <c r="AE83" s="872"/>
      <c r="AF83" s="872"/>
      <c r="AG83" s="872"/>
      <c r="AH83" s="872"/>
      <c r="AI83" s="873"/>
    </row>
    <row r="84" spans="1:35" ht="35.25" customHeight="1" x14ac:dyDescent="0.4">
      <c r="A84" s="434" t="str">
        <f>+A71</f>
        <v>April</v>
      </c>
      <c r="B84" s="624">
        <f>+B71+1</f>
        <v>22</v>
      </c>
      <c r="C84" s="884" t="s">
        <v>128</v>
      </c>
      <c r="D84" s="884"/>
      <c r="E84" s="884"/>
      <c r="F84" s="884"/>
      <c r="G84" s="377"/>
      <c r="H84" s="377"/>
      <c r="I84" s="21"/>
      <c r="J84" s="874" t="s">
        <v>129</v>
      </c>
      <c r="K84" s="875"/>
      <c r="L84" s="875"/>
      <c r="M84" s="875"/>
      <c r="N84" s="876" t="s">
        <v>130</v>
      </c>
      <c r="O84" s="876"/>
      <c r="P84" s="876"/>
      <c r="Q84" s="876"/>
      <c r="R84" s="424" t="str">
        <f>+R71</f>
        <v xml:space="preserve"> Corrections Tracking - Check out rooms</v>
      </c>
      <c r="S84" s="424"/>
      <c r="T84" s="424"/>
      <c r="U84" s="424"/>
      <c r="V84" s="424"/>
      <c r="W84" s="424"/>
      <c r="X84" s="424"/>
      <c r="Y84" s="424"/>
      <c r="Z84" s="424"/>
      <c r="AA84" s="424"/>
      <c r="AB84" s="424"/>
      <c r="AC84" s="424"/>
      <c r="AD84" s="461" t="s">
        <v>132</v>
      </c>
      <c r="AE84" s="426"/>
      <c r="AF84" s="426"/>
      <c r="AG84" s="426"/>
      <c r="AH84" s="426"/>
      <c r="AI84" s="427"/>
    </row>
    <row r="85" spans="1:35" ht="59.25" customHeight="1" x14ac:dyDescent="0.25">
      <c r="A85" s="378" t="s">
        <v>133</v>
      </c>
      <c r="C85" s="435" t="s">
        <v>134</v>
      </c>
      <c r="D85" s="435" t="s">
        <v>135</v>
      </c>
      <c r="E85" s="435" t="s">
        <v>134</v>
      </c>
      <c r="F85" s="435" t="s">
        <v>135</v>
      </c>
      <c r="G85" s="1" t="s">
        <v>136</v>
      </c>
      <c r="H85" s="1" t="s">
        <v>108</v>
      </c>
      <c r="I85" s="436"/>
      <c r="J85" s="437" t="str">
        <f>+Setup_and_Criteria!$B$13</f>
        <v>Checkouts</v>
      </c>
      <c r="K85" s="437" t="str">
        <f>+Setup_and_Criteria!$B$14</f>
        <v>Pet Rooms</v>
      </c>
      <c r="L85" s="437" t="str">
        <f>+Setup_and_Criteria!$B$15</f>
        <v>2 Rm &amp; Jac Stes</v>
      </c>
      <c r="M85" s="438" t="str">
        <f>+Setup_and_Criteria!$B$16</f>
        <v>Stayovers</v>
      </c>
      <c r="N85" s="269" t="s">
        <v>137</v>
      </c>
      <c r="O85" s="269" t="s">
        <v>138</v>
      </c>
      <c r="P85" s="439" t="s">
        <v>139</v>
      </c>
      <c r="Q85" s="439" t="s">
        <v>140</v>
      </c>
      <c r="R85" s="440" t="str">
        <f>+Corrections!$C$8</f>
        <v>Vanity</v>
      </c>
      <c r="S85" s="440" t="str">
        <f>+Corrections!$I$8</f>
        <v>Toilet</v>
      </c>
      <c r="T85" s="440" t="str">
        <f>+Corrections!$O$8</f>
        <v>Bed/Pillows</v>
      </c>
      <c r="U85" s="440" t="str">
        <f>+Corrections!$U$8</f>
        <v>Floor</v>
      </c>
      <c r="V85" s="440" t="str">
        <f>+Corrections!$AA$8</f>
        <v>Dusting</v>
      </c>
      <c r="W85" s="440" t="str">
        <f>+Corrections!$AG$8</f>
        <v>Fridge/Micro</v>
      </c>
      <c r="X85" s="440" t="str">
        <f>+Corrections!$AM$8</f>
        <v>Tub</v>
      </c>
      <c r="Y85" s="441" t="str">
        <f>+Corrections!$AS$8</f>
        <v>Mirrors/Glass</v>
      </c>
      <c r="Z85" s="440" t="str">
        <f>+Corrections!$AY$8</f>
        <v>Stocking</v>
      </c>
      <c r="AA85" s="440" t="str">
        <f>+Corrections!$BE$8</f>
        <v>Other</v>
      </c>
      <c r="AB85" s="269" t="s">
        <v>141</v>
      </c>
      <c r="AC85" s="269" t="str">
        <f>+$AC$7</f>
        <v>Daily Corr / Inspected Checkout</v>
      </c>
      <c r="AD85" s="889" t="s">
        <v>143</v>
      </c>
      <c r="AE85" s="890"/>
      <c r="AF85" s="890"/>
      <c r="AG85" s="890"/>
      <c r="AH85" s="890"/>
      <c r="AI85" s="891"/>
    </row>
    <row r="86" spans="1:35" x14ac:dyDescent="0.25">
      <c r="A86" s="638"/>
      <c r="C86" s="369"/>
      <c r="D86" s="369"/>
      <c r="E86" s="369"/>
      <c r="F86" s="369"/>
      <c r="G86" s="264">
        <f t="shared" ref="G86:G91" si="48">+(D86-C86)+(F86-E86)</f>
        <v>0</v>
      </c>
      <c r="H86" s="442">
        <f t="shared" ref="H86:H91" si="49">+G86*1440</f>
        <v>0</v>
      </c>
      <c r="J86" s="630"/>
      <c r="K86" s="630"/>
      <c r="L86" s="630"/>
      <c r="M86" s="630"/>
      <c r="N86" s="1">
        <f>IF(C86&gt;0,((J86*Setup_and_Criteria!$F$13)+('M1_1-15th'!K86*Setup_and_Criteria!$F$14)+('M1_1-15th'!L86*Setup_and_Criteria!$F$15)+('M1_1-15th'!M86*Setup_and_Criteria!$F$16)+Setup_and_Criteria!$J$16),0)</f>
        <v>0</v>
      </c>
      <c r="O86" s="442">
        <f>+H86</f>
        <v>0</v>
      </c>
      <c r="P86" s="443">
        <f t="shared" ref="P86:P92" si="50">+N86-O86</f>
        <v>0</v>
      </c>
      <c r="Q86" s="357" t="e">
        <f t="shared" ref="Q86:Q92" si="51">O86/_xlfn.SINGLE(SUM(J86:M86))</f>
        <v>#DIV/0!</v>
      </c>
      <c r="R86" s="630"/>
      <c r="S86" s="630"/>
      <c r="T86" s="630"/>
      <c r="U86" s="630"/>
      <c r="V86" s="630"/>
      <c r="W86" s="630"/>
      <c r="X86" s="630"/>
      <c r="Y86" s="630"/>
      <c r="Z86" s="630"/>
      <c r="AA86" s="630"/>
      <c r="AB86" s="1">
        <f t="shared" ref="AB86:AB92" si="52">SUM(R86:AA86)</f>
        <v>0</v>
      </c>
      <c r="AC86" s="357" t="e">
        <f t="shared" ref="AC86:AC92" si="53">+AB86/(J86+K86+L86)</f>
        <v>#DIV/0!</v>
      </c>
      <c r="AD86" s="864" t="s">
        <v>144</v>
      </c>
      <c r="AE86" s="865"/>
      <c r="AF86" s="865"/>
      <c r="AG86" s="866"/>
      <c r="AH86" s="866"/>
      <c r="AI86" s="867"/>
    </row>
    <row r="87" spans="1:35" x14ac:dyDescent="0.25">
      <c r="A87" s="638"/>
      <c r="C87" s="369"/>
      <c r="D87" s="369"/>
      <c r="E87" s="630"/>
      <c r="F87" s="630"/>
      <c r="G87" s="264">
        <f t="shared" si="48"/>
        <v>0</v>
      </c>
      <c r="H87" s="442">
        <f t="shared" si="49"/>
        <v>0</v>
      </c>
      <c r="J87" s="630"/>
      <c r="K87" s="630"/>
      <c r="L87" s="630"/>
      <c r="M87" s="630"/>
      <c r="N87" s="1">
        <f>IF(C87&gt;0,((J87*Setup_and_Criteria!$F$13)+('M1_1-15th'!K87*Setup_and_Criteria!$F$14)+('M1_1-15th'!L87*Setup_and_Criteria!$F$15)+('M1_1-15th'!M87*Setup_and_Criteria!$F$16)+Setup_and_Criteria!$J$16),0)</f>
        <v>0</v>
      </c>
      <c r="O87" s="442">
        <f t="shared" ref="O87:O92" si="54">+H87</f>
        <v>0</v>
      </c>
      <c r="P87" s="443">
        <f t="shared" si="50"/>
        <v>0</v>
      </c>
      <c r="Q87" s="357" t="e">
        <f t="shared" si="51"/>
        <v>#DIV/0!</v>
      </c>
      <c r="R87" s="630"/>
      <c r="S87" s="630"/>
      <c r="T87" s="630"/>
      <c r="U87" s="630"/>
      <c r="V87" s="630"/>
      <c r="W87" s="630"/>
      <c r="X87" s="630"/>
      <c r="Y87" s="630"/>
      <c r="Z87" s="630"/>
      <c r="AA87" s="630"/>
      <c r="AB87" s="1">
        <f t="shared" si="52"/>
        <v>0</v>
      </c>
      <c r="AC87" s="357" t="e">
        <f t="shared" si="53"/>
        <v>#DIV/0!</v>
      </c>
      <c r="AD87" s="864"/>
      <c r="AE87" s="865"/>
      <c r="AF87" s="865"/>
      <c r="AG87" s="866"/>
      <c r="AH87" s="866"/>
      <c r="AI87" s="867"/>
    </row>
    <row r="88" spans="1:35" x14ac:dyDescent="0.25">
      <c r="A88" s="638"/>
      <c r="C88" s="630"/>
      <c r="D88" s="630"/>
      <c r="E88" s="630"/>
      <c r="F88" s="630"/>
      <c r="G88" s="264">
        <f t="shared" si="48"/>
        <v>0</v>
      </c>
      <c r="H88" s="442">
        <f t="shared" si="49"/>
        <v>0</v>
      </c>
      <c r="J88" s="630"/>
      <c r="K88" s="630"/>
      <c r="L88" s="630"/>
      <c r="M88" s="630"/>
      <c r="N88" s="1">
        <f>IF(C88&gt;0,((J88*Setup_and_Criteria!$F$13)+('M1_1-15th'!K88*Setup_and_Criteria!$F$14)+('M1_1-15th'!L88*Setup_and_Criteria!$F$15)+('M1_1-15th'!M88*Setup_and_Criteria!$F$16)+Setup_and_Criteria!$J$16),0)</f>
        <v>0</v>
      </c>
      <c r="O88" s="442">
        <f t="shared" si="54"/>
        <v>0</v>
      </c>
      <c r="P88" s="443">
        <f t="shared" si="50"/>
        <v>0</v>
      </c>
      <c r="Q88" s="357" t="e">
        <f t="shared" si="51"/>
        <v>#DIV/0!</v>
      </c>
      <c r="R88" s="630"/>
      <c r="S88" s="630"/>
      <c r="T88" s="630"/>
      <c r="U88" s="630"/>
      <c r="V88" s="630"/>
      <c r="W88" s="630"/>
      <c r="X88" s="630"/>
      <c r="Y88" s="630"/>
      <c r="Z88" s="630"/>
      <c r="AA88" s="630"/>
      <c r="AB88" s="1">
        <f t="shared" si="52"/>
        <v>0</v>
      </c>
      <c r="AC88" s="357" t="e">
        <f t="shared" si="53"/>
        <v>#DIV/0!</v>
      </c>
      <c r="AD88" s="864"/>
      <c r="AE88" s="865"/>
      <c r="AF88" s="865"/>
      <c r="AG88" s="866"/>
      <c r="AH88" s="866"/>
      <c r="AI88" s="867"/>
    </row>
    <row r="89" spans="1:35" x14ac:dyDescent="0.25">
      <c r="A89" s="638"/>
      <c r="C89" s="630"/>
      <c r="D89" s="630"/>
      <c r="E89" s="630"/>
      <c r="F89" s="630"/>
      <c r="G89" s="264">
        <f t="shared" si="48"/>
        <v>0</v>
      </c>
      <c r="H89" s="442">
        <f t="shared" si="49"/>
        <v>0</v>
      </c>
      <c r="J89" s="630"/>
      <c r="K89" s="630"/>
      <c r="L89" s="630"/>
      <c r="M89" s="630"/>
      <c r="N89" s="1">
        <f>IF(C89&gt;0,((J89*Setup_and_Criteria!$F$13)+('M1_1-15th'!K89*Setup_and_Criteria!$F$14)+('M1_1-15th'!L89*Setup_and_Criteria!$F$15)+('M1_1-15th'!M89*Setup_and_Criteria!$F$16)+Setup_and_Criteria!$J$16),0)</f>
        <v>0</v>
      </c>
      <c r="O89" s="442">
        <f t="shared" si="54"/>
        <v>0</v>
      </c>
      <c r="P89" s="443">
        <f t="shared" si="50"/>
        <v>0</v>
      </c>
      <c r="Q89" s="357" t="e">
        <f t="shared" si="51"/>
        <v>#DIV/0!</v>
      </c>
      <c r="R89" s="630"/>
      <c r="S89" s="630"/>
      <c r="T89" s="630"/>
      <c r="U89" s="630"/>
      <c r="V89" s="630"/>
      <c r="W89" s="630"/>
      <c r="X89" s="630"/>
      <c r="Y89" s="630"/>
      <c r="Z89" s="630"/>
      <c r="AA89" s="630"/>
      <c r="AB89" s="1">
        <f t="shared" si="52"/>
        <v>0</v>
      </c>
      <c r="AC89" s="357" t="e">
        <f t="shared" si="53"/>
        <v>#DIV/0!</v>
      </c>
      <c r="AD89" s="864"/>
      <c r="AE89" s="865"/>
      <c r="AF89" s="865"/>
      <c r="AG89" s="866"/>
      <c r="AH89" s="866"/>
      <c r="AI89" s="867"/>
    </row>
    <row r="90" spans="1:35" x14ac:dyDescent="0.25">
      <c r="A90" s="638"/>
      <c r="C90" s="630"/>
      <c r="D90" s="630"/>
      <c r="E90" s="630"/>
      <c r="F90" s="630"/>
      <c r="G90" s="264">
        <f t="shared" si="48"/>
        <v>0</v>
      </c>
      <c r="H90" s="442">
        <f t="shared" si="49"/>
        <v>0</v>
      </c>
      <c r="J90" s="630"/>
      <c r="K90" s="630"/>
      <c r="L90" s="630"/>
      <c r="M90" s="630"/>
      <c r="N90" s="1">
        <f>IF(C90&gt;0,((J90*Setup_and_Criteria!$F$13)+('M1_1-15th'!K90*Setup_and_Criteria!$F$14)+('M1_1-15th'!L90*Setup_and_Criteria!$F$15)+('M1_1-15th'!M90*Setup_and_Criteria!$F$16)+Setup_and_Criteria!$J$16),0)</f>
        <v>0</v>
      </c>
      <c r="O90" s="442">
        <f t="shared" si="54"/>
        <v>0</v>
      </c>
      <c r="P90" s="443">
        <f t="shared" si="50"/>
        <v>0</v>
      </c>
      <c r="Q90" s="357" t="e">
        <f t="shared" si="51"/>
        <v>#DIV/0!</v>
      </c>
      <c r="R90" s="630"/>
      <c r="S90" s="630"/>
      <c r="T90" s="630"/>
      <c r="U90" s="630"/>
      <c r="V90" s="630"/>
      <c r="W90" s="630"/>
      <c r="X90" s="630"/>
      <c r="Y90" s="630"/>
      <c r="Z90" s="630"/>
      <c r="AA90" s="630"/>
      <c r="AB90" s="1">
        <f t="shared" si="52"/>
        <v>0</v>
      </c>
      <c r="AC90" s="357" t="e">
        <f t="shared" si="53"/>
        <v>#DIV/0!</v>
      </c>
      <c r="AD90" s="864"/>
      <c r="AE90" s="865"/>
      <c r="AF90" s="865"/>
      <c r="AG90" s="866"/>
      <c r="AH90" s="866"/>
      <c r="AI90" s="867"/>
    </row>
    <row r="91" spans="1:35" ht="15.75" thickBot="1" x14ac:dyDescent="0.3">
      <c r="A91" s="638"/>
      <c r="C91" s="370"/>
      <c r="D91" s="370"/>
      <c r="E91" s="630"/>
      <c r="F91" s="630"/>
      <c r="G91" s="264">
        <f t="shared" si="48"/>
        <v>0</v>
      </c>
      <c r="H91" s="442">
        <f t="shared" si="49"/>
        <v>0</v>
      </c>
      <c r="J91" s="371"/>
      <c r="K91" s="371"/>
      <c r="L91" s="371"/>
      <c r="M91" s="371"/>
      <c r="N91" s="358">
        <f>IF(C91&gt;0,((J91*Setup_and_Criteria!$F$13)+('M1_1-15th'!K91*Setup_and_Criteria!$F$14)+('M1_1-15th'!L91*Setup_and_Criteria!$F$15)+('M1_1-15th'!M91*Setup_and_Criteria!$F$16)+Setup_and_Criteria!$J$16),0)</f>
        <v>0</v>
      </c>
      <c r="O91" s="359">
        <f t="shared" si="54"/>
        <v>0</v>
      </c>
      <c r="P91" s="383">
        <f t="shared" si="50"/>
        <v>0</v>
      </c>
      <c r="Q91" s="360" t="e">
        <f t="shared" si="51"/>
        <v>#DIV/0!</v>
      </c>
      <c r="R91" s="511"/>
      <c r="S91" s="511"/>
      <c r="T91" s="511"/>
      <c r="U91" s="511"/>
      <c r="V91" s="511"/>
      <c r="W91" s="511"/>
      <c r="X91" s="511"/>
      <c r="Y91" s="511"/>
      <c r="Z91" s="511"/>
      <c r="AA91" s="511"/>
      <c r="AB91" s="1">
        <f t="shared" si="52"/>
        <v>0</v>
      </c>
      <c r="AC91" s="357" t="e">
        <f t="shared" si="53"/>
        <v>#DIV/0!</v>
      </c>
      <c r="AD91" s="864"/>
      <c r="AE91" s="865"/>
      <c r="AF91" s="865"/>
      <c r="AG91" s="866"/>
      <c r="AH91" s="866"/>
      <c r="AI91" s="867"/>
    </row>
    <row r="92" spans="1:35" ht="15.75" thickTop="1" x14ac:dyDescent="0.25">
      <c r="A92" s="58"/>
      <c r="H92" s="442">
        <f>SUM(H86:H91)</f>
        <v>0</v>
      </c>
      <c r="J92" s="1">
        <f>SUM(J86:J91)</f>
        <v>0</v>
      </c>
      <c r="K92" s="1">
        <f>SUM(K86:K91)</f>
        <v>0</v>
      </c>
      <c r="L92" s="1">
        <f>SUM(L86:L91)</f>
        <v>0</v>
      </c>
      <c r="M92" s="1">
        <f>SUM(M86:M91)</f>
        <v>0</v>
      </c>
      <c r="N92" s="1">
        <f>SUM(N86:N91)</f>
        <v>0</v>
      </c>
      <c r="O92" s="1">
        <f t="shared" si="54"/>
        <v>0</v>
      </c>
      <c r="P92" s="443">
        <f t="shared" si="50"/>
        <v>0</v>
      </c>
      <c r="Q92" s="357" t="e">
        <f t="shared" si="51"/>
        <v>#DIV/0!</v>
      </c>
      <c r="R92" s="1">
        <f t="shared" ref="R92:AA92" si="55">SUM(R86:R91)</f>
        <v>0</v>
      </c>
      <c r="S92" s="1">
        <f t="shared" si="55"/>
        <v>0</v>
      </c>
      <c r="T92" s="1">
        <f t="shared" si="55"/>
        <v>0</v>
      </c>
      <c r="U92" s="1">
        <f t="shared" si="55"/>
        <v>0</v>
      </c>
      <c r="V92" s="1">
        <f t="shared" si="55"/>
        <v>0</v>
      </c>
      <c r="W92" s="1">
        <f t="shared" si="55"/>
        <v>0</v>
      </c>
      <c r="X92" s="1">
        <f t="shared" si="55"/>
        <v>0</v>
      </c>
      <c r="Y92" s="1">
        <f t="shared" si="55"/>
        <v>0</v>
      </c>
      <c r="Z92" s="1">
        <f t="shared" si="55"/>
        <v>0</v>
      </c>
      <c r="AA92" s="1">
        <f t="shared" si="55"/>
        <v>0</v>
      </c>
      <c r="AB92" s="1">
        <f t="shared" si="52"/>
        <v>0</v>
      </c>
      <c r="AC92" s="357" t="e">
        <f t="shared" si="53"/>
        <v>#DIV/0!</v>
      </c>
      <c r="AD92" s="877"/>
      <c r="AE92" s="878"/>
      <c r="AF92" s="878"/>
      <c r="AG92" s="749"/>
      <c r="AH92" s="749"/>
      <c r="AI92" s="879"/>
    </row>
    <row r="93" spans="1:35" ht="21" customHeight="1" x14ac:dyDescent="0.35">
      <c r="A93" s="58"/>
      <c r="H93" s="442"/>
      <c r="N93" s="888" t="s">
        <v>145</v>
      </c>
      <c r="O93" s="888"/>
      <c r="P93" s="888"/>
      <c r="Q93" s="888"/>
      <c r="R93" s="431" t="s">
        <v>146</v>
      </c>
      <c r="S93" s="431"/>
      <c r="T93" s="431"/>
      <c r="U93" s="431"/>
      <c r="V93" s="431"/>
      <c r="W93" s="431"/>
      <c r="X93" s="431"/>
      <c r="Y93" s="431"/>
      <c r="Z93" s="431"/>
      <c r="AA93" s="431"/>
      <c r="AB93" s="431"/>
      <c r="AC93" s="431"/>
      <c r="AD93" s="880" t="s">
        <v>132</v>
      </c>
      <c r="AE93" s="881"/>
      <c r="AF93" s="881"/>
      <c r="AG93" s="881"/>
      <c r="AH93" s="881"/>
      <c r="AI93" s="882"/>
    </row>
    <row r="94" spans="1:35" ht="31.5" customHeight="1" x14ac:dyDescent="0.35">
      <c r="A94" s="378" t="s">
        <v>147</v>
      </c>
      <c r="C94" s="885" t="s">
        <v>128</v>
      </c>
      <c r="D94" s="885"/>
      <c r="E94" s="885"/>
      <c r="F94" s="885"/>
      <c r="H94" s="442"/>
      <c r="J94" s="444"/>
      <c r="K94" s="445" t="s">
        <v>35</v>
      </c>
      <c r="L94" s="445" t="s">
        <v>148</v>
      </c>
      <c r="N94" s="446" t="s">
        <v>149</v>
      </c>
      <c r="O94" s="447" t="s">
        <v>150</v>
      </c>
      <c r="P94" s="447" t="s">
        <v>138</v>
      </c>
      <c r="Q94" s="447" t="s">
        <v>151</v>
      </c>
      <c r="R94" s="749" t="s">
        <v>152</v>
      </c>
      <c r="S94" s="749"/>
      <c r="T94" s="883" t="s">
        <v>153</v>
      </c>
      <c r="U94" s="883"/>
      <c r="W94" s="425" t="s">
        <v>154</v>
      </c>
      <c r="X94" s="425"/>
      <c r="Y94" s="425"/>
      <c r="Z94" s="425"/>
      <c r="AA94" s="425"/>
      <c r="AB94" s="425"/>
      <c r="AC94" s="425"/>
      <c r="AD94" s="868" t="s">
        <v>167</v>
      </c>
      <c r="AE94" s="869"/>
      <c r="AF94" s="869"/>
      <c r="AG94" s="869"/>
      <c r="AH94" s="869"/>
      <c r="AI94" s="870"/>
    </row>
    <row r="95" spans="1:35" ht="18" customHeight="1" thickBot="1" x14ac:dyDescent="0.3">
      <c r="A95" s="639"/>
      <c r="B95" s="375"/>
      <c r="C95" s="372"/>
      <c r="D95" s="372"/>
      <c r="E95" s="372"/>
      <c r="F95" s="372"/>
      <c r="G95" s="366">
        <f>+(D95-C95)+(F95-E95)</f>
        <v>0</v>
      </c>
      <c r="H95" s="367">
        <f>+G95*1440</f>
        <v>0</v>
      </c>
      <c r="I95" s="859" t="s">
        <v>155</v>
      </c>
      <c r="J95" s="860"/>
      <c r="K95" s="373"/>
      <c r="L95" s="374"/>
      <c r="M95" s="423"/>
      <c r="N95" s="629">
        <f>+J92+L92+K92+K95+L95</f>
        <v>0</v>
      </c>
      <c r="O95" s="368">
        <f>+(Setup_and_Criteria!$K$31+(J92*Setup_and_Criteria!$F$20)+('M1_1-15th'!K92*Setup_and_Criteria!$F$21)+('M1_1-15th'!L92*Setup_and_Criteria!$F$20))+T95+(K95*Setup_and_Criteria!$F$21)+(Setup_and_Criteria!$F$22*'M1_1-15th'!L95)</f>
        <v>75</v>
      </c>
      <c r="P95" s="367">
        <f>+H95</f>
        <v>0</v>
      </c>
      <c r="Q95" s="367">
        <f>+O95-P95</f>
        <v>75</v>
      </c>
      <c r="R95" s="861"/>
      <c r="S95" s="861"/>
      <c r="T95" s="862"/>
      <c r="U95" s="863"/>
      <c r="V95" s="265" t="s">
        <v>156</v>
      </c>
      <c r="W95" s="854"/>
      <c r="X95" s="855"/>
      <c r="Y95" s="855"/>
      <c r="Z95" s="855"/>
      <c r="AA95" s="855"/>
      <c r="AB95" s="855"/>
      <c r="AC95" s="855"/>
      <c r="AD95" s="868"/>
      <c r="AE95" s="869"/>
      <c r="AF95" s="869"/>
      <c r="AG95" s="869"/>
      <c r="AH95" s="869"/>
      <c r="AI95" s="870"/>
    </row>
    <row r="96" spans="1:35" ht="15.75" thickBot="1" x14ac:dyDescent="0.3">
      <c r="A96" s="449" t="str">
        <f>+A83</f>
        <v>Password to enter data = "Enter Info"</v>
      </c>
      <c r="B96" s="450"/>
      <c r="C96" s="451"/>
      <c r="D96" s="451"/>
      <c r="E96" s="451"/>
      <c r="F96" s="451"/>
      <c r="G96" s="451"/>
      <c r="H96" s="451"/>
      <c r="I96" s="450"/>
      <c r="J96" s="451"/>
      <c r="K96" s="451"/>
      <c r="L96" s="451"/>
      <c r="M96" s="451"/>
      <c r="N96" s="451"/>
      <c r="O96" s="451"/>
      <c r="P96" s="451"/>
      <c r="Q96" s="450"/>
      <c r="R96" s="451"/>
      <c r="S96" s="451"/>
      <c r="T96" s="451"/>
      <c r="U96" s="451"/>
      <c r="V96" s="451"/>
      <c r="W96" s="451"/>
      <c r="X96" s="451"/>
      <c r="Y96" s="451"/>
      <c r="Z96" s="451"/>
      <c r="AA96" s="451"/>
      <c r="AB96" s="450"/>
      <c r="AC96" s="450"/>
      <c r="AD96" s="871"/>
      <c r="AE96" s="872"/>
      <c r="AF96" s="872"/>
      <c r="AG96" s="872"/>
      <c r="AH96" s="872"/>
      <c r="AI96" s="873"/>
    </row>
    <row r="97" spans="1:35" ht="35.25" customHeight="1" x14ac:dyDescent="0.4">
      <c r="A97" s="434" t="str">
        <f>+A84</f>
        <v>April</v>
      </c>
      <c r="B97" s="624">
        <f>+B84+1</f>
        <v>23</v>
      </c>
      <c r="C97" s="884" t="s">
        <v>128</v>
      </c>
      <c r="D97" s="884"/>
      <c r="E97" s="884"/>
      <c r="F97" s="884"/>
      <c r="G97" s="377"/>
      <c r="H97" s="377"/>
      <c r="I97" s="21"/>
      <c r="J97" s="874" t="s">
        <v>129</v>
      </c>
      <c r="K97" s="875"/>
      <c r="L97" s="875"/>
      <c r="M97" s="875"/>
      <c r="N97" s="876" t="s">
        <v>130</v>
      </c>
      <c r="O97" s="876"/>
      <c r="P97" s="876"/>
      <c r="Q97" s="876"/>
      <c r="R97" s="424" t="str">
        <f>+R84</f>
        <v xml:space="preserve"> Corrections Tracking - Check out rooms</v>
      </c>
      <c r="S97" s="424"/>
      <c r="T97" s="424"/>
      <c r="U97" s="424"/>
      <c r="V97" s="424"/>
      <c r="W97" s="424"/>
      <c r="X97" s="424"/>
      <c r="Y97" s="424"/>
      <c r="Z97" s="424"/>
      <c r="AA97" s="424"/>
      <c r="AB97" s="424"/>
      <c r="AC97" s="424"/>
      <c r="AD97" s="461" t="s">
        <v>132</v>
      </c>
      <c r="AE97" s="426"/>
      <c r="AF97" s="426"/>
      <c r="AG97" s="426"/>
      <c r="AH97" s="426"/>
      <c r="AI97" s="427"/>
    </row>
    <row r="98" spans="1:35" ht="59.25" customHeight="1" x14ac:dyDescent="0.25">
      <c r="A98" s="378" t="s">
        <v>133</v>
      </c>
      <c r="C98" s="435" t="s">
        <v>134</v>
      </c>
      <c r="D98" s="435" t="s">
        <v>135</v>
      </c>
      <c r="E98" s="435" t="s">
        <v>134</v>
      </c>
      <c r="F98" s="435" t="s">
        <v>135</v>
      </c>
      <c r="G98" s="1" t="s">
        <v>136</v>
      </c>
      <c r="H98" s="1" t="s">
        <v>108</v>
      </c>
      <c r="I98" s="436"/>
      <c r="J98" s="437" t="str">
        <f>+Setup_and_Criteria!$B$13</f>
        <v>Checkouts</v>
      </c>
      <c r="K98" s="437" t="str">
        <f>+Setup_and_Criteria!$B$14</f>
        <v>Pet Rooms</v>
      </c>
      <c r="L98" s="437" t="str">
        <f>+Setup_and_Criteria!$B$15</f>
        <v>2 Rm &amp; Jac Stes</v>
      </c>
      <c r="M98" s="438" t="str">
        <f>+Setup_and_Criteria!$B$16</f>
        <v>Stayovers</v>
      </c>
      <c r="N98" s="269" t="s">
        <v>137</v>
      </c>
      <c r="O98" s="269" t="s">
        <v>138</v>
      </c>
      <c r="P98" s="439" t="s">
        <v>139</v>
      </c>
      <c r="Q98" s="439" t="s">
        <v>140</v>
      </c>
      <c r="R98" s="440" t="str">
        <f>+Corrections!$C$8</f>
        <v>Vanity</v>
      </c>
      <c r="S98" s="440" t="str">
        <f>+Corrections!$I$8</f>
        <v>Toilet</v>
      </c>
      <c r="T98" s="440" t="str">
        <f>+Corrections!$O$8</f>
        <v>Bed/Pillows</v>
      </c>
      <c r="U98" s="440" t="str">
        <f>+Corrections!$U$8</f>
        <v>Floor</v>
      </c>
      <c r="V98" s="440" t="str">
        <f>+Corrections!$AA$8</f>
        <v>Dusting</v>
      </c>
      <c r="W98" s="440" t="str">
        <f>+Corrections!$AG$8</f>
        <v>Fridge/Micro</v>
      </c>
      <c r="X98" s="440" t="str">
        <f>+Corrections!$AM$8</f>
        <v>Tub</v>
      </c>
      <c r="Y98" s="441" t="str">
        <f>+Corrections!$AS$8</f>
        <v>Mirrors/Glass</v>
      </c>
      <c r="Z98" s="440" t="str">
        <f>+Corrections!$AY$8</f>
        <v>Stocking</v>
      </c>
      <c r="AA98" s="440" t="str">
        <f>+Corrections!$BE$8</f>
        <v>Other</v>
      </c>
      <c r="AB98" s="269" t="s">
        <v>141</v>
      </c>
      <c r="AC98" s="269" t="str">
        <f>+$AC$7</f>
        <v>Daily Corr / Inspected Checkout</v>
      </c>
      <c r="AD98" s="889" t="s">
        <v>143</v>
      </c>
      <c r="AE98" s="890"/>
      <c r="AF98" s="890"/>
      <c r="AG98" s="890"/>
      <c r="AH98" s="890"/>
      <c r="AI98" s="891"/>
    </row>
    <row r="99" spans="1:35" x14ac:dyDescent="0.25">
      <c r="A99" s="638"/>
      <c r="C99" s="369"/>
      <c r="D99" s="369"/>
      <c r="E99" s="369"/>
      <c r="F99" s="369"/>
      <c r="G99" s="264">
        <f t="shared" ref="G99:G104" si="56">+(D99-C99)+(F99-E99)</f>
        <v>0</v>
      </c>
      <c r="H99" s="442">
        <f t="shared" ref="H99:H104" si="57">+G99*1440</f>
        <v>0</v>
      </c>
      <c r="J99" s="630"/>
      <c r="K99" s="630"/>
      <c r="L99" s="630"/>
      <c r="M99" s="630"/>
      <c r="N99" s="1">
        <f>IF(C99&gt;0,((J99*Setup_and_Criteria!$F$13)+('M1_1-15th'!K99*Setup_and_Criteria!$F$14)+('M1_1-15th'!L99*Setup_and_Criteria!$F$15)+('M1_1-15th'!M99*Setup_and_Criteria!$F$16)+Setup_and_Criteria!$J$16),0)</f>
        <v>0</v>
      </c>
      <c r="O99" s="442">
        <f>+H99</f>
        <v>0</v>
      </c>
      <c r="P99" s="443">
        <f t="shared" ref="P99:P105" si="58">+N99-O99</f>
        <v>0</v>
      </c>
      <c r="Q99" s="357" t="e">
        <f t="shared" ref="Q99:Q105" si="59">O99/_xlfn.SINGLE(SUM(J99:M99))</f>
        <v>#DIV/0!</v>
      </c>
      <c r="R99" s="630"/>
      <c r="S99" s="630"/>
      <c r="T99" s="630"/>
      <c r="U99" s="630"/>
      <c r="V99" s="630"/>
      <c r="W99" s="630"/>
      <c r="X99" s="630"/>
      <c r="Y99" s="630"/>
      <c r="Z99" s="630"/>
      <c r="AA99" s="630"/>
      <c r="AB99" s="1">
        <f t="shared" ref="AB99:AB105" si="60">SUM(R99:AA99)</f>
        <v>0</v>
      </c>
      <c r="AC99" s="357" t="e">
        <f t="shared" ref="AC99:AC105" si="61">+AB99/(J99+K99+L99)</f>
        <v>#DIV/0!</v>
      </c>
      <c r="AD99" s="864" t="s">
        <v>144</v>
      </c>
      <c r="AE99" s="865"/>
      <c r="AF99" s="865"/>
      <c r="AG99" s="866"/>
      <c r="AH99" s="866"/>
      <c r="AI99" s="867"/>
    </row>
    <row r="100" spans="1:35" x14ac:dyDescent="0.25">
      <c r="A100" s="638"/>
      <c r="C100" s="369"/>
      <c r="D100" s="369"/>
      <c r="E100" s="630"/>
      <c r="F100" s="630"/>
      <c r="G100" s="264">
        <f t="shared" si="56"/>
        <v>0</v>
      </c>
      <c r="H100" s="442">
        <f t="shared" si="57"/>
        <v>0</v>
      </c>
      <c r="J100" s="630"/>
      <c r="K100" s="630"/>
      <c r="L100" s="630"/>
      <c r="M100" s="630"/>
      <c r="N100" s="1">
        <f>IF(C100&gt;0,((J100*Setup_and_Criteria!$F$13)+('M1_1-15th'!K100*Setup_and_Criteria!$F$14)+('M1_1-15th'!L100*Setup_and_Criteria!$F$15)+('M1_1-15th'!M100*Setup_and_Criteria!$F$16)+Setup_and_Criteria!$J$16),0)</f>
        <v>0</v>
      </c>
      <c r="O100" s="442">
        <f t="shared" ref="O100:O105" si="62">+H100</f>
        <v>0</v>
      </c>
      <c r="P100" s="443">
        <f t="shared" si="58"/>
        <v>0</v>
      </c>
      <c r="Q100" s="357" t="e">
        <f t="shared" si="59"/>
        <v>#DIV/0!</v>
      </c>
      <c r="R100" s="630"/>
      <c r="S100" s="630"/>
      <c r="T100" s="630"/>
      <c r="U100" s="630"/>
      <c r="V100" s="630"/>
      <c r="W100" s="630"/>
      <c r="X100" s="630"/>
      <c r="Y100" s="630"/>
      <c r="Z100" s="630"/>
      <c r="AA100" s="630"/>
      <c r="AB100" s="1">
        <f t="shared" si="60"/>
        <v>0</v>
      </c>
      <c r="AC100" s="357" t="e">
        <f t="shared" si="61"/>
        <v>#DIV/0!</v>
      </c>
      <c r="AD100" s="864"/>
      <c r="AE100" s="865"/>
      <c r="AF100" s="865"/>
      <c r="AG100" s="866"/>
      <c r="AH100" s="866"/>
      <c r="AI100" s="867"/>
    </row>
    <row r="101" spans="1:35" x14ac:dyDescent="0.25">
      <c r="A101" s="638"/>
      <c r="C101" s="630"/>
      <c r="D101" s="630"/>
      <c r="E101" s="630"/>
      <c r="F101" s="630"/>
      <c r="G101" s="264">
        <f t="shared" si="56"/>
        <v>0</v>
      </c>
      <c r="H101" s="442">
        <f t="shared" si="57"/>
        <v>0</v>
      </c>
      <c r="J101" s="630"/>
      <c r="K101" s="630"/>
      <c r="L101" s="630"/>
      <c r="M101" s="630"/>
      <c r="N101" s="1">
        <f>IF(C101&gt;0,((J101*Setup_and_Criteria!$F$13)+('M1_1-15th'!K101*Setup_and_Criteria!$F$14)+('M1_1-15th'!L101*Setup_and_Criteria!$F$15)+('M1_1-15th'!M101*Setup_and_Criteria!$F$16)+Setup_and_Criteria!$J$16),0)</f>
        <v>0</v>
      </c>
      <c r="O101" s="442">
        <f t="shared" si="62"/>
        <v>0</v>
      </c>
      <c r="P101" s="443">
        <f t="shared" si="58"/>
        <v>0</v>
      </c>
      <c r="Q101" s="357" t="e">
        <f t="shared" si="59"/>
        <v>#DIV/0!</v>
      </c>
      <c r="R101" s="630"/>
      <c r="S101" s="630"/>
      <c r="T101" s="630"/>
      <c r="U101" s="630"/>
      <c r="V101" s="630"/>
      <c r="W101" s="630"/>
      <c r="X101" s="630"/>
      <c r="Y101" s="630"/>
      <c r="Z101" s="630"/>
      <c r="AA101" s="630"/>
      <c r="AB101" s="1">
        <f t="shared" si="60"/>
        <v>0</v>
      </c>
      <c r="AC101" s="357" t="e">
        <f t="shared" si="61"/>
        <v>#DIV/0!</v>
      </c>
      <c r="AD101" s="864"/>
      <c r="AE101" s="865"/>
      <c r="AF101" s="865"/>
      <c r="AG101" s="866"/>
      <c r="AH101" s="866"/>
      <c r="AI101" s="867"/>
    </row>
    <row r="102" spans="1:35" x14ac:dyDescent="0.25">
      <c r="A102" s="638"/>
      <c r="C102" s="630"/>
      <c r="D102" s="630"/>
      <c r="E102" s="630"/>
      <c r="F102" s="630"/>
      <c r="G102" s="264">
        <f t="shared" si="56"/>
        <v>0</v>
      </c>
      <c r="H102" s="442">
        <f t="shared" si="57"/>
        <v>0</v>
      </c>
      <c r="J102" s="630"/>
      <c r="K102" s="630"/>
      <c r="L102" s="630"/>
      <c r="M102" s="630"/>
      <c r="N102" s="1">
        <f>IF(C102&gt;0,((J102*Setup_and_Criteria!$F$13)+('M1_1-15th'!K102*Setup_and_Criteria!$F$14)+('M1_1-15th'!L102*Setup_and_Criteria!$F$15)+('M1_1-15th'!M102*Setup_and_Criteria!$F$16)+Setup_and_Criteria!$J$16),0)</f>
        <v>0</v>
      </c>
      <c r="O102" s="442">
        <f t="shared" si="62"/>
        <v>0</v>
      </c>
      <c r="P102" s="443">
        <f t="shared" si="58"/>
        <v>0</v>
      </c>
      <c r="Q102" s="357" t="e">
        <f t="shared" si="59"/>
        <v>#DIV/0!</v>
      </c>
      <c r="R102" s="630"/>
      <c r="S102" s="630"/>
      <c r="T102" s="630"/>
      <c r="U102" s="630"/>
      <c r="V102" s="630"/>
      <c r="W102" s="630"/>
      <c r="X102" s="630"/>
      <c r="Y102" s="630"/>
      <c r="Z102" s="630"/>
      <c r="AA102" s="630"/>
      <c r="AB102" s="1">
        <f t="shared" si="60"/>
        <v>0</v>
      </c>
      <c r="AC102" s="357" t="e">
        <f t="shared" si="61"/>
        <v>#DIV/0!</v>
      </c>
      <c r="AD102" s="864"/>
      <c r="AE102" s="865"/>
      <c r="AF102" s="865"/>
      <c r="AG102" s="866"/>
      <c r="AH102" s="866"/>
      <c r="AI102" s="867"/>
    </row>
    <row r="103" spans="1:35" x14ac:dyDescent="0.25">
      <c r="A103" s="638"/>
      <c r="C103" s="630"/>
      <c r="D103" s="630"/>
      <c r="E103" s="630"/>
      <c r="F103" s="630"/>
      <c r="G103" s="264">
        <f t="shared" si="56"/>
        <v>0</v>
      </c>
      <c r="H103" s="442">
        <f t="shared" si="57"/>
        <v>0</v>
      </c>
      <c r="J103" s="630"/>
      <c r="K103" s="630"/>
      <c r="L103" s="630"/>
      <c r="M103" s="630"/>
      <c r="N103" s="1">
        <f>IF(C103&gt;0,((J103*Setup_and_Criteria!$F$13)+('M1_1-15th'!K103*Setup_and_Criteria!$F$14)+('M1_1-15th'!L103*Setup_and_Criteria!$F$15)+('M1_1-15th'!M103*Setup_and_Criteria!$F$16)+Setup_and_Criteria!$J$16),0)</f>
        <v>0</v>
      </c>
      <c r="O103" s="442">
        <f t="shared" si="62"/>
        <v>0</v>
      </c>
      <c r="P103" s="443">
        <f t="shared" si="58"/>
        <v>0</v>
      </c>
      <c r="Q103" s="357" t="e">
        <f t="shared" si="59"/>
        <v>#DIV/0!</v>
      </c>
      <c r="R103" s="630"/>
      <c r="S103" s="630"/>
      <c r="T103" s="630"/>
      <c r="U103" s="630"/>
      <c r="V103" s="630"/>
      <c r="W103" s="630"/>
      <c r="X103" s="630"/>
      <c r="Y103" s="630"/>
      <c r="Z103" s="630"/>
      <c r="AA103" s="630"/>
      <c r="AB103" s="1">
        <f t="shared" si="60"/>
        <v>0</v>
      </c>
      <c r="AC103" s="357" t="e">
        <f t="shared" si="61"/>
        <v>#DIV/0!</v>
      </c>
      <c r="AD103" s="864"/>
      <c r="AE103" s="865"/>
      <c r="AF103" s="865"/>
      <c r="AG103" s="866"/>
      <c r="AH103" s="866"/>
      <c r="AI103" s="867"/>
    </row>
    <row r="104" spans="1:35" ht="15.75" thickBot="1" x14ac:dyDescent="0.3">
      <c r="A104" s="638"/>
      <c r="C104" s="370"/>
      <c r="D104" s="370"/>
      <c r="E104" s="630"/>
      <c r="F104" s="630"/>
      <c r="G104" s="264">
        <f t="shared" si="56"/>
        <v>0</v>
      </c>
      <c r="H104" s="442">
        <f t="shared" si="57"/>
        <v>0</v>
      </c>
      <c r="J104" s="371"/>
      <c r="K104" s="371"/>
      <c r="L104" s="371"/>
      <c r="M104" s="371"/>
      <c r="N104" s="358">
        <f>IF(C104&gt;0,((J104*Setup_and_Criteria!$F$13)+('M1_1-15th'!K104*Setup_and_Criteria!$F$14)+('M1_1-15th'!L104*Setup_and_Criteria!$F$15)+('M1_1-15th'!M104*Setup_and_Criteria!$F$16)+Setup_and_Criteria!$J$16),0)</f>
        <v>0</v>
      </c>
      <c r="O104" s="359">
        <f t="shared" si="62"/>
        <v>0</v>
      </c>
      <c r="P104" s="383">
        <f t="shared" si="58"/>
        <v>0</v>
      </c>
      <c r="Q104" s="360" t="e">
        <f t="shared" si="59"/>
        <v>#DIV/0!</v>
      </c>
      <c r="R104" s="511"/>
      <c r="S104" s="511"/>
      <c r="T104" s="511"/>
      <c r="U104" s="511"/>
      <c r="V104" s="511"/>
      <c r="W104" s="511"/>
      <c r="X104" s="511"/>
      <c r="Y104" s="511"/>
      <c r="Z104" s="511"/>
      <c r="AA104" s="511"/>
      <c r="AB104" s="1">
        <f t="shared" si="60"/>
        <v>0</v>
      </c>
      <c r="AC104" s="357" t="e">
        <f t="shared" si="61"/>
        <v>#DIV/0!</v>
      </c>
      <c r="AD104" s="864"/>
      <c r="AE104" s="865"/>
      <c r="AF104" s="865"/>
      <c r="AG104" s="866"/>
      <c r="AH104" s="866"/>
      <c r="AI104" s="867"/>
    </row>
    <row r="105" spans="1:35" ht="15.75" thickTop="1" x14ac:dyDescent="0.25">
      <c r="A105" s="58"/>
      <c r="H105" s="442">
        <f>SUM(H99:H104)</f>
        <v>0</v>
      </c>
      <c r="J105" s="1">
        <f>SUM(J99:J104)</f>
        <v>0</v>
      </c>
      <c r="K105" s="1">
        <f>SUM(K99:K104)</f>
        <v>0</v>
      </c>
      <c r="L105" s="1">
        <f>SUM(L99:L104)</f>
        <v>0</v>
      </c>
      <c r="M105" s="1">
        <f>SUM(M99:M104)</f>
        <v>0</v>
      </c>
      <c r="N105" s="1">
        <f>SUM(N99:N104)</f>
        <v>0</v>
      </c>
      <c r="O105" s="1">
        <f t="shared" si="62"/>
        <v>0</v>
      </c>
      <c r="P105" s="443">
        <f t="shared" si="58"/>
        <v>0</v>
      </c>
      <c r="Q105" s="357" t="e">
        <f t="shared" si="59"/>
        <v>#DIV/0!</v>
      </c>
      <c r="R105" s="1">
        <f t="shared" ref="R105:AA105" si="63">SUM(R99:R104)</f>
        <v>0</v>
      </c>
      <c r="S105" s="1">
        <f t="shared" si="63"/>
        <v>0</v>
      </c>
      <c r="T105" s="1">
        <f t="shared" si="63"/>
        <v>0</v>
      </c>
      <c r="U105" s="1">
        <f t="shared" si="63"/>
        <v>0</v>
      </c>
      <c r="V105" s="1">
        <f t="shared" si="63"/>
        <v>0</v>
      </c>
      <c r="W105" s="1">
        <f t="shared" si="63"/>
        <v>0</v>
      </c>
      <c r="X105" s="1">
        <f t="shared" si="63"/>
        <v>0</v>
      </c>
      <c r="Y105" s="1">
        <f t="shared" si="63"/>
        <v>0</v>
      </c>
      <c r="Z105" s="1">
        <f t="shared" si="63"/>
        <v>0</v>
      </c>
      <c r="AA105" s="1">
        <f t="shared" si="63"/>
        <v>0</v>
      </c>
      <c r="AB105" s="1">
        <f t="shared" si="60"/>
        <v>0</v>
      </c>
      <c r="AC105" s="357" t="e">
        <f t="shared" si="61"/>
        <v>#DIV/0!</v>
      </c>
      <c r="AD105" s="877"/>
      <c r="AE105" s="878"/>
      <c r="AF105" s="878"/>
      <c r="AG105" s="749"/>
      <c r="AH105" s="749"/>
      <c r="AI105" s="879"/>
    </row>
    <row r="106" spans="1:35" ht="21" customHeight="1" x14ac:dyDescent="0.35">
      <c r="A106" s="58"/>
      <c r="H106" s="442"/>
      <c r="N106" s="888" t="s">
        <v>145</v>
      </c>
      <c r="O106" s="888"/>
      <c r="P106" s="888"/>
      <c r="Q106" s="888"/>
      <c r="R106" s="431" t="s">
        <v>146</v>
      </c>
      <c r="S106" s="431"/>
      <c r="T106" s="431"/>
      <c r="U106" s="431"/>
      <c r="V106" s="431"/>
      <c r="W106" s="431"/>
      <c r="X106" s="431"/>
      <c r="Y106" s="431"/>
      <c r="Z106" s="431"/>
      <c r="AA106" s="431"/>
      <c r="AB106" s="431"/>
      <c r="AC106" s="431"/>
      <c r="AD106" s="880" t="s">
        <v>132</v>
      </c>
      <c r="AE106" s="881"/>
      <c r="AF106" s="881"/>
      <c r="AG106" s="881"/>
      <c r="AH106" s="881"/>
      <c r="AI106" s="882"/>
    </row>
    <row r="107" spans="1:35" ht="31.5" customHeight="1" x14ac:dyDescent="0.35">
      <c r="A107" s="378" t="s">
        <v>147</v>
      </c>
      <c r="C107" s="885" t="s">
        <v>128</v>
      </c>
      <c r="D107" s="885"/>
      <c r="E107" s="885"/>
      <c r="F107" s="885"/>
      <c r="H107" s="442"/>
      <c r="J107" s="444"/>
      <c r="K107" s="445" t="s">
        <v>35</v>
      </c>
      <c r="L107" s="445" t="s">
        <v>148</v>
      </c>
      <c r="N107" s="446" t="s">
        <v>149</v>
      </c>
      <c r="O107" s="447" t="s">
        <v>150</v>
      </c>
      <c r="P107" s="447" t="s">
        <v>138</v>
      </c>
      <c r="Q107" s="447" t="s">
        <v>151</v>
      </c>
      <c r="R107" s="749" t="s">
        <v>152</v>
      </c>
      <c r="S107" s="749"/>
      <c r="T107" s="883" t="s">
        <v>153</v>
      </c>
      <c r="U107" s="883"/>
      <c r="W107" s="425" t="s">
        <v>154</v>
      </c>
      <c r="X107" s="425"/>
      <c r="Y107" s="425"/>
      <c r="Z107" s="425"/>
      <c r="AA107" s="425"/>
      <c r="AB107" s="425"/>
      <c r="AC107" s="425"/>
      <c r="AD107" s="868" t="s">
        <v>160</v>
      </c>
      <c r="AE107" s="869"/>
      <c r="AF107" s="869"/>
      <c r="AG107" s="869"/>
      <c r="AH107" s="869"/>
      <c r="AI107" s="870"/>
    </row>
    <row r="108" spans="1:35" ht="18" customHeight="1" thickBot="1" x14ac:dyDescent="0.3">
      <c r="A108" s="639"/>
      <c r="B108" s="364"/>
      <c r="C108" s="372"/>
      <c r="D108" s="372"/>
      <c r="E108" s="372"/>
      <c r="F108" s="372"/>
      <c r="G108" s="366">
        <f>+(D108-C108)+(F108-E108)</f>
        <v>0</v>
      </c>
      <c r="H108" s="367">
        <f>+G108*1440</f>
        <v>0</v>
      </c>
      <c r="I108" s="859" t="s">
        <v>155</v>
      </c>
      <c r="J108" s="860"/>
      <c r="K108" s="373"/>
      <c r="L108" s="374"/>
      <c r="M108" s="423"/>
      <c r="N108" s="629">
        <f>+J105+L105+K105+K108+L108</f>
        <v>0</v>
      </c>
      <c r="O108" s="368">
        <f>+(Setup_and_Criteria!$K$31+(J105*Setup_and_Criteria!$F$20)+('M1_1-15th'!K105*Setup_and_Criteria!$F$21)+('M1_1-15th'!L105*Setup_and_Criteria!$F$20))+T108+(K108*Setup_and_Criteria!$F$21)+(Setup_and_Criteria!$F$22*'M1_1-15th'!L108)</f>
        <v>75</v>
      </c>
      <c r="P108" s="367">
        <f>+H108</f>
        <v>0</v>
      </c>
      <c r="Q108" s="367">
        <f>+O108-P108</f>
        <v>75</v>
      </c>
      <c r="R108" s="861" t="s">
        <v>252</v>
      </c>
      <c r="S108" s="861"/>
      <c r="T108" s="862"/>
      <c r="U108" s="863"/>
      <c r="V108" s="265" t="s">
        <v>156</v>
      </c>
      <c r="W108" s="854"/>
      <c r="X108" s="855"/>
      <c r="Y108" s="855"/>
      <c r="Z108" s="855"/>
      <c r="AA108" s="855"/>
      <c r="AB108" s="855"/>
      <c r="AC108" s="855"/>
      <c r="AD108" s="868"/>
      <c r="AE108" s="869"/>
      <c r="AF108" s="869"/>
      <c r="AG108" s="869"/>
      <c r="AH108" s="869"/>
      <c r="AI108" s="870"/>
    </row>
    <row r="109" spans="1:35" ht="15.75" thickBot="1" x14ac:dyDescent="0.3">
      <c r="A109" s="449" t="str">
        <f>+A96</f>
        <v>Password to enter data = "Enter Info"</v>
      </c>
      <c r="B109" s="450"/>
      <c r="C109" s="451"/>
      <c r="D109" s="451"/>
      <c r="E109" s="451"/>
      <c r="F109" s="451"/>
      <c r="G109" s="451"/>
      <c r="H109" s="451"/>
      <c r="I109" s="450"/>
      <c r="J109" s="451"/>
      <c r="K109" s="451"/>
      <c r="L109" s="451"/>
      <c r="M109" s="451"/>
      <c r="N109" s="451"/>
      <c r="O109" s="451"/>
      <c r="P109" s="451"/>
      <c r="Q109" s="450"/>
      <c r="R109" s="451"/>
      <c r="S109" s="451"/>
      <c r="T109" s="451"/>
      <c r="U109" s="451"/>
      <c r="V109" s="451"/>
      <c r="W109" s="451"/>
      <c r="X109" s="451"/>
      <c r="Y109" s="451"/>
      <c r="Z109" s="451"/>
      <c r="AA109" s="451"/>
      <c r="AB109" s="450"/>
      <c r="AC109" s="450"/>
      <c r="AD109" s="871"/>
      <c r="AE109" s="872"/>
      <c r="AF109" s="872"/>
      <c r="AG109" s="872"/>
      <c r="AH109" s="872"/>
      <c r="AI109" s="873"/>
    </row>
    <row r="110" spans="1:35" ht="35.25" customHeight="1" x14ac:dyDescent="0.4">
      <c r="A110" s="434" t="str">
        <f>+A97</f>
        <v>April</v>
      </c>
      <c r="B110" s="624">
        <f>+B97+1</f>
        <v>24</v>
      </c>
      <c r="C110" s="884" t="s">
        <v>128</v>
      </c>
      <c r="D110" s="884"/>
      <c r="E110" s="884"/>
      <c r="F110" s="884"/>
      <c r="G110" s="377"/>
      <c r="H110" s="377"/>
      <c r="I110" s="21"/>
      <c r="J110" s="874" t="s">
        <v>129</v>
      </c>
      <c r="K110" s="875"/>
      <c r="L110" s="875"/>
      <c r="M110" s="875"/>
      <c r="N110" s="876" t="s">
        <v>130</v>
      </c>
      <c r="O110" s="876"/>
      <c r="P110" s="876"/>
      <c r="Q110" s="876"/>
      <c r="R110" s="424" t="str">
        <f>+R97</f>
        <v xml:space="preserve"> Corrections Tracking - Check out rooms</v>
      </c>
      <c r="S110" s="424"/>
      <c r="T110" s="424"/>
      <c r="U110" s="424"/>
      <c r="V110" s="424"/>
      <c r="W110" s="424"/>
      <c r="X110" s="424"/>
      <c r="Y110" s="424"/>
      <c r="Z110" s="424"/>
      <c r="AA110" s="424"/>
      <c r="AB110" s="424"/>
      <c r="AC110" s="424"/>
      <c r="AD110" s="461" t="s">
        <v>132</v>
      </c>
      <c r="AE110" s="426"/>
      <c r="AF110" s="426"/>
      <c r="AG110" s="426"/>
      <c r="AH110" s="426"/>
      <c r="AI110" s="427"/>
    </row>
    <row r="111" spans="1:35" ht="59.25" customHeight="1" x14ac:dyDescent="0.25">
      <c r="A111" s="378" t="s">
        <v>133</v>
      </c>
      <c r="C111" s="435" t="s">
        <v>134</v>
      </c>
      <c r="D111" s="435" t="s">
        <v>135</v>
      </c>
      <c r="E111" s="435" t="s">
        <v>134</v>
      </c>
      <c r="F111" s="435" t="s">
        <v>135</v>
      </c>
      <c r="G111" s="1" t="s">
        <v>136</v>
      </c>
      <c r="H111" s="1" t="s">
        <v>108</v>
      </c>
      <c r="I111" s="436"/>
      <c r="J111" s="437" t="str">
        <f>+Setup_and_Criteria!$B$13</f>
        <v>Checkouts</v>
      </c>
      <c r="K111" s="437" t="str">
        <f>+Setup_and_Criteria!$B$14</f>
        <v>Pet Rooms</v>
      </c>
      <c r="L111" s="437" t="str">
        <f>+Setup_and_Criteria!$B$15</f>
        <v>2 Rm &amp; Jac Stes</v>
      </c>
      <c r="M111" s="438" t="str">
        <f>+Setup_and_Criteria!$B$16</f>
        <v>Stayovers</v>
      </c>
      <c r="N111" s="269" t="s">
        <v>137</v>
      </c>
      <c r="O111" s="269" t="s">
        <v>138</v>
      </c>
      <c r="P111" s="439" t="s">
        <v>139</v>
      </c>
      <c r="Q111" s="439" t="s">
        <v>140</v>
      </c>
      <c r="R111" s="440" t="str">
        <f>+Corrections!$C$8</f>
        <v>Vanity</v>
      </c>
      <c r="S111" s="440" t="str">
        <f>+Corrections!$I$8</f>
        <v>Toilet</v>
      </c>
      <c r="T111" s="440" t="str">
        <f>+Corrections!$O$8</f>
        <v>Bed/Pillows</v>
      </c>
      <c r="U111" s="440" t="str">
        <f>+Corrections!$U$8</f>
        <v>Floor</v>
      </c>
      <c r="V111" s="440" t="str">
        <f>+Corrections!$AA$8</f>
        <v>Dusting</v>
      </c>
      <c r="W111" s="440" t="str">
        <f>+Corrections!$AG$8</f>
        <v>Fridge/Micro</v>
      </c>
      <c r="X111" s="440" t="str">
        <f>+Corrections!$AM$8</f>
        <v>Tub</v>
      </c>
      <c r="Y111" s="441" t="str">
        <f>+Corrections!$AS$8</f>
        <v>Mirrors/Glass</v>
      </c>
      <c r="Z111" s="440" t="str">
        <f>+Corrections!$AY$8</f>
        <v>Stocking</v>
      </c>
      <c r="AA111" s="440" t="str">
        <f>+Corrections!$BE$8</f>
        <v>Other</v>
      </c>
      <c r="AB111" s="269" t="s">
        <v>141</v>
      </c>
      <c r="AC111" s="269" t="str">
        <f>+$AC$7</f>
        <v>Daily Corr / Inspected Checkout</v>
      </c>
      <c r="AD111" s="889" t="s">
        <v>143</v>
      </c>
      <c r="AE111" s="890"/>
      <c r="AF111" s="890"/>
      <c r="AG111" s="890"/>
      <c r="AH111" s="890"/>
      <c r="AI111" s="891"/>
    </row>
    <row r="112" spans="1:35" x14ac:dyDescent="0.25">
      <c r="A112" s="638"/>
      <c r="C112" s="369"/>
      <c r="D112" s="369"/>
      <c r="E112" s="369"/>
      <c r="F112" s="369"/>
      <c r="G112" s="264">
        <f t="shared" ref="G112:G117" si="64">+(D112-C112)+(F112-E112)</f>
        <v>0</v>
      </c>
      <c r="H112" s="442">
        <f t="shared" ref="H112:H117" si="65">+G112*1440</f>
        <v>0</v>
      </c>
      <c r="J112" s="630"/>
      <c r="K112" s="630"/>
      <c r="L112" s="630"/>
      <c r="M112" s="630"/>
      <c r="N112" s="1">
        <f>IF(C112&gt;0,((J112*Setup_and_Criteria!$F$13)+('M1_1-15th'!K112*Setup_and_Criteria!$F$14)+('M1_1-15th'!L112*Setup_and_Criteria!$F$15)+('M1_1-15th'!M112*Setup_and_Criteria!$F$16)+Setup_and_Criteria!$J$16),0)</f>
        <v>0</v>
      </c>
      <c r="O112" s="442">
        <f>+H112</f>
        <v>0</v>
      </c>
      <c r="P112" s="443">
        <f t="shared" ref="P112:P118" si="66">+N112-O112</f>
        <v>0</v>
      </c>
      <c r="Q112" s="357" t="e">
        <f t="shared" ref="Q112:Q118" si="67">O112/_xlfn.SINGLE(SUM(J112:M112))</f>
        <v>#DIV/0!</v>
      </c>
      <c r="R112" s="630"/>
      <c r="S112" s="630"/>
      <c r="T112" s="630"/>
      <c r="U112" s="630"/>
      <c r="V112" s="630"/>
      <c r="W112" s="630"/>
      <c r="X112" s="630"/>
      <c r="Y112" s="630"/>
      <c r="Z112" s="630"/>
      <c r="AA112" s="630"/>
      <c r="AB112" s="1">
        <f t="shared" ref="AB112:AB118" si="68">SUM(R112:AA112)</f>
        <v>0</v>
      </c>
      <c r="AC112" s="357" t="e">
        <f t="shared" ref="AC112:AC118" si="69">+AB112/(J112+K112+L112)</f>
        <v>#DIV/0!</v>
      </c>
      <c r="AD112" s="864" t="s">
        <v>144</v>
      </c>
      <c r="AE112" s="865"/>
      <c r="AF112" s="865"/>
      <c r="AG112" s="866"/>
      <c r="AH112" s="866"/>
      <c r="AI112" s="867"/>
    </row>
    <row r="113" spans="1:35" x14ac:dyDescent="0.25">
      <c r="A113" s="638"/>
      <c r="C113" s="630"/>
      <c r="D113" s="630"/>
      <c r="E113" s="630"/>
      <c r="F113" s="630"/>
      <c r="G113" s="264">
        <f t="shared" si="64"/>
        <v>0</v>
      </c>
      <c r="H113" s="442">
        <f t="shared" si="65"/>
        <v>0</v>
      </c>
      <c r="J113" s="630"/>
      <c r="K113" s="630"/>
      <c r="L113" s="630"/>
      <c r="M113" s="630"/>
      <c r="N113" s="1">
        <f>IF(C113&gt;0,((J113*Setup_and_Criteria!$F$13)+('M1_1-15th'!K113*Setup_and_Criteria!$F$14)+('M1_1-15th'!L113*Setup_and_Criteria!$F$15)+('M1_1-15th'!M113*Setup_and_Criteria!$F$16)+Setup_and_Criteria!$J$16),0)</f>
        <v>0</v>
      </c>
      <c r="O113" s="442">
        <f t="shared" ref="O113:O118" si="70">+H113</f>
        <v>0</v>
      </c>
      <c r="P113" s="443">
        <f t="shared" si="66"/>
        <v>0</v>
      </c>
      <c r="Q113" s="357" t="e">
        <f t="shared" si="67"/>
        <v>#DIV/0!</v>
      </c>
      <c r="R113" s="630"/>
      <c r="S113" s="630"/>
      <c r="T113" s="630"/>
      <c r="U113" s="630"/>
      <c r="V113" s="630"/>
      <c r="W113" s="630"/>
      <c r="X113" s="630"/>
      <c r="Y113" s="630"/>
      <c r="Z113" s="630"/>
      <c r="AA113" s="630"/>
      <c r="AB113" s="1">
        <f t="shared" si="68"/>
        <v>0</v>
      </c>
      <c r="AC113" s="357" t="e">
        <f t="shared" si="69"/>
        <v>#DIV/0!</v>
      </c>
      <c r="AD113" s="864"/>
      <c r="AE113" s="865"/>
      <c r="AF113" s="865"/>
      <c r="AG113" s="866"/>
      <c r="AH113" s="866"/>
      <c r="AI113" s="867"/>
    </row>
    <row r="114" spans="1:35" x14ac:dyDescent="0.25">
      <c r="A114" s="638"/>
      <c r="C114" s="630"/>
      <c r="D114" s="630"/>
      <c r="E114" s="630"/>
      <c r="F114" s="630"/>
      <c r="G114" s="264">
        <f t="shared" si="64"/>
        <v>0</v>
      </c>
      <c r="H114" s="442">
        <f t="shared" si="65"/>
        <v>0</v>
      </c>
      <c r="J114" s="630"/>
      <c r="K114" s="630"/>
      <c r="L114" s="630"/>
      <c r="M114" s="630"/>
      <c r="N114" s="1">
        <f>IF(C114&gt;0,((J114*Setup_and_Criteria!$F$13)+('M1_1-15th'!K114*Setup_and_Criteria!$F$14)+('M1_1-15th'!L114*Setup_and_Criteria!$F$15)+('M1_1-15th'!M114*Setup_and_Criteria!$F$16)+Setup_and_Criteria!$J$16),0)</f>
        <v>0</v>
      </c>
      <c r="O114" s="442">
        <f t="shared" si="70"/>
        <v>0</v>
      </c>
      <c r="P114" s="443">
        <f t="shared" si="66"/>
        <v>0</v>
      </c>
      <c r="Q114" s="357" t="e">
        <f t="shared" si="67"/>
        <v>#DIV/0!</v>
      </c>
      <c r="R114" s="630"/>
      <c r="S114" s="630"/>
      <c r="T114" s="630"/>
      <c r="U114" s="630"/>
      <c r="V114" s="630"/>
      <c r="W114" s="630"/>
      <c r="X114" s="630"/>
      <c r="Y114" s="630"/>
      <c r="Z114" s="630"/>
      <c r="AA114" s="630"/>
      <c r="AB114" s="1">
        <f t="shared" si="68"/>
        <v>0</v>
      </c>
      <c r="AC114" s="357" t="e">
        <f t="shared" si="69"/>
        <v>#DIV/0!</v>
      </c>
      <c r="AD114" s="864"/>
      <c r="AE114" s="865"/>
      <c r="AF114" s="865"/>
      <c r="AG114" s="866"/>
      <c r="AH114" s="866"/>
      <c r="AI114" s="867"/>
    </row>
    <row r="115" spans="1:35" x14ac:dyDescent="0.25">
      <c r="A115" s="638"/>
      <c r="C115" s="630"/>
      <c r="D115" s="630"/>
      <c r="E115" s="630"/>
      <c r="F115" s="630"/>
      <c r="G115" s="264">
        <f t="shared" si="64"/>
        <v>0</v>
      </c>
      <c r="H115" s="442">
        <f t="shared" si="65"/>
        <v>0</v>
      </c>
      <c r="J115" s="630"/>
      <c r="K115" s="630"/>
      <c r="L115" s="630"/>
      <c r="M115" s="630"/>
      <c r="N115" s="1">
        <f>IF(C115&gt;0,((J115*Setup_and_Criteria!$F$13)+('M1_1-15th'!K115*Setup_and_Criteria!$F$14)+('M1_1-15th'!L115*Setup_and_Criteria!$F$15)+('M1_1-15th'!M115*Setup_and_Criteria!$F$16)+Setup_and_Criteria!$J$16),0)</f>
        <v>0</v>
      </c>
      <c r="O115" s="442">
        <f t="shared" si="70"/>
        <v>0</v>
      </c>
      <c r="P115" s="443">
        <f t="shared" si="66"/>
        <v>0</v>
      </c>
      <c r="Q115" s="357" t="e">
        <f t="shared" si="67"/>
        <v>#DIV/0!</v>
      </c>
      <c r="R115" s="630"/>
      <c r="S115" s="630"/>
      <c r="T115" s="630"/>
      <c r="U115" s="630"/>
      <c r="V115" s="630"/>
      <c r="W115" s="630"/>
      <c r="X115" s="630"/>
      <c r="Y115" s="630"/>
      <c r="Z115" s="630"/>
      <c r="AA115" s="630"/>
      <c r="AB115" s="1">
        <f t="shared" si="68"/>
        <v>0</v>
      </c>
      <c r="AC115" s="357" t="e">
        <f t="shared" si="69"/>
        <v>#DIV/0!</v>
      </c>
      <c r="AD115" s="864"/>
      <c r="AE115" s="865"/>
      <c r="AF115" s="865"/>
      <c r="AG115" s="866"/>
      <c r="AH115" s="866"/>
      <c r="AI115" s="867"/>
    </row>
    <row r="116" spans="1:35" x14ac:dyDescent="0.25">
      <c r="A116" s="638"/>
      <c r="C116" s="630"/>
      <c r="D116" s="630"/>
      <c r="E116" s="630"/>
      <c r="F116" s="630"/>
      <c r="G116" s="264">
        <f t="shared" si="64"/>
        <v>0</v>
      </c>
      <c r="H116" s="442">
        <f t="shared" si="65"/>
        <v>0</v>
      </c>
      <c r="J116" s="630"/>
      <c r="K116" s="630"/>
      <c r="L116" s="630"/>
      <c r="M116" s="630"/>
      <c r="N116" s="1">
        <f>IF(C116&gt;0,((J116*Setup_and_Criteria!$F$13)+('M1_1-15th'!K116*Setup_and_Criteria!$F$14)+('M1_1-15th'!L116*Setup_and_Criteria!$F$15)+('M1_1-15th'!M116*Setup_and_Criteria!$F$16)+Setup_and_Criteria!$J$16),0)</f>
        <v>0</v>
      </c>
      <c r="O116" s="442">
        <f t="shared" si="70"/>
        <v>0</v>
      </c>
      <c r="P116" s="443">
        <f t="shared" si="66"/>
        <v>0</v>
      </c>
      <c r="Q116" s="357" t="e">
        <f t="shared" si="67"/>
        <v>#DIV/0!</v>
      </c>
      <c r="R116" s="630"/>
      <c r="S116" s="630"/>
      <c r="T116" s="630"/>
      <c r="U116" s="630"/>
      <c r="V116" s="630"/>
      <c r="W116" s="630"/>
      <c r="X116" s="630"/>
      <c r="Y116" s="630"/>
      <c r="Z116" s="630"/>
      <c r="AA116" s="630"/>
      <c r="AB116" s="1">
        <f t="shared" si="68"/>
        <v>0</v>
      </c>
      <c r="AC116" s="357" t="e">
        <f t="shared" si="69"/>
        <v>#DIV/0!</v>
      </c>
      <c r="AD116" s="864"/>
      <c r="AE116" s="865"/>
      <c r="AF116" s="865"/>
      <c r="AG116" s="866"/>
      <c r="AH116" s="866"/>
      <c r="AI116" s="867"/>
    </row>
    <row r="117" spans="1:35" ht="15.75" thickBot="1" x14ac:dyDescent="0.3">
      <c r="A117" s="638"/>
      <c r="C117" s="370"/>
      <c r="D117" s="370"/>
      <c r="E117" s="630"/>
      <c r="F117" s="630"/>
      <c r="G117" s="264">
        <f t="shared" si="64"/>
        <v>0</v>
      </c>
      <c r="H117" s="442">
        <f t="shared" si="65"/>
        <v>0</v>
      </c>
      <c r="J117" s="371"/>
      <c r="K117" s="371"/>
      <c r="L117" s="371"/>
      <c r="M117" s="371"/>
      <c r="N117" s="358">
        <f>IF(C117&gt;0,((J117*Setup_and_Criteria!$F$13)+('M1_1-15th'!K117*Setup_and_Criteria!$F$14)+('M1_1-15th'!L117*Setup_and_Criteria!$F$15)+('M1_1-15th'!M117*Setup_and_Criteria!$F$16)+Setup_and_Criteria!$J$16),0)</f>
        <v>0</v>
      </c>
      <c r="O117" s="359">
        <f t="shared" si="70"/>
        <v>0</v>
      </c>
      <c r="P117" s="383">
        <f t="shared" si="66"/>
        <v>0</v>
      </c>
      <c r="Q117" s="360" t="e">
        <f t="shared" si="67"/>
        <v>#DIV/0!</v>
      </c>
      <c r="R117" s="511"/>
      <c r="S117" s="511"/>
      <c r="T117" s="511"/>
      <c r="U117" s="511"/>
      <c r="V117" s="511"/>
      <c r="W117" s="511"/>
      <c r="X117" s="511"/>
      <c r="Y117" s="511"/>
      <c r="Z117" s="511"/>
      <c r="AA117" s="511"/>
      <c r="AB117" s="1">
        <f t="shared" si="68"/>
        <v>0</v>
      </c>
      <c r="AC117" s="357" t="e">
        <f t="shared" si="69"/>
        <v>#DIV/0!</v>
      </c>
      <c r="AD117" s="864"/>
      <c r="AE117" s="865"/>
      <c r="AF117" s="865"/>
      <c r="AG117" s="866"/>
      <c r="AH117" s="866"/>
      <c r="AI117" s="867"/>
    </row>
    <row r="118" spans="1:35" ht="15.75" thickTop="1" x14ac:dyDescent="0.25">
      <c r="A118" s="58"/>
      <c r="H118" s="442">
        <f>SUM(H112:H117)</f>
        <v>0</v>
      </c>
      <c r="J118" s="1">
        <f>SUM(J112:J117)</f>
        <v>0</v>
      </c>
      <c r="K118" s="1">
        <f>SUM(K112:K117)</f>
        <v>0</v>
      </c>
      <c r="L118" s="1">
        <f>SUM(L112:L117)</f>
        <v>0</v>
      </c>
      <c r="M118" s="1">
        <f>SUM(M112:M117)</f>
        <v>0</v>
      </c>
      <c r="N118" s="1">
        <f>SUM(N112:N117)</f>
        <v>0</v>
      </c>
      <c r="O118" s="1">
        <f t="shared" si="70"/>
        <v>0</v>
      </c>
      <c r="P118" s="443">
        <f t="shared" si="66"/>
        <v>0</v>
      </c>
      <c r="Q118" s="357" t="e">
        <f t="shared" si="67"/>
        <v>#DIV/0!</v>
      </c>
      <c r="R118" s="1">
        <f t="shared" ref="R118:AA118" si="71">SUM(R112:R117)</f>
        <v>0</v>
      </c>
      <c r="S118" s="1">
        <f t="shared" si="71"/>
        <v>0</v>
      </c>
      <c r="T118" s="1">
        <f t="shared" si="71"/>
        <v>0</v>
      </c>
      <c r="U118" s="1">
        <f t="shared" si="71"/>
        <v>0</v>
      </c>
      <c r="V118" s="1">
        <f t="shared" si="71"/>
        <v>0</v>
      </c>
      <c r="W118" s="1">
        <f t="shared" si="71"/>
        <v>0</v>
      </c>
      <c r="X118" s="1">
        <f t="shared" si="71"/>
        <v>0</v>
      </c>
      <c r="Y118" s="1">
        <f t="shared" si="71"/>
        <v>0</v>
      </c>
      <c r="Z118" s="1">
        <f t="shared" si="71"/>
        <v>0</v>
      </c>
      <c r="AA118" s="1">
        <f t="shared" si="71"/>
        <v>0</v>
      </c>
      <c r="AB118" s="1">
        <f t="shared" si="68"/>
        <v>0</v>
      </c>
      <c r="AC118" s="357" t="e">
        <f t="shared" si="69"/>
        <v>#DIV/0!</v>
      </c>
      <c r="AD118" s="877"/>
      <c r="AE118" s="878"/>
      <c r="AF118" s="878"/>
      <c r="AG118" s="749"/>
      <c r="AH118" s="749"/>
      <c r="AI118" s="879"/>
    </row>
    <row r="119" spans="1:35" ht="21" customHeight="1" x14ac:dyDescent="0.35">
      <c r="A119" s="58"/>
      <c r="H119" s="442"/>
      <c r="N119" s="888" t="s">
        <v>145</v>
      </c>
      <c r="O119" s="888"/>
      <c r="P119" s="888"/>
      <c r="Q119" s="888"/>
      <c r="R119" s="431" t="s">
        <v>146</v>
      </c>
      <c r="S119" s="431"/>
      <c r="T119" s="431"/>
      <c r="U119" s="431"/>
      <c r="V119" s="431"/>
      <c r="W119" s="431"/>
      <c r="X119" s="431"/>
      <c r="Y119" s="431"/>
      <c r="Z119" s="431"/>
      <c r="AA119" s="431"/>
      <c r="AB119" s="431"/>
      <c r="AC119" s="431"/>
      <c r="AD119" s="880" t="s">
        <v>132</v>
      </c>
      <c r="AE119" s="881"/>
      <c r="AF119" s="881"/>
      <c r="AG119" s="881"/>
      <c r="AH119" s="881"/>
      <c r="AI119" s="882"/>
    </row>
    <row r="120" spans="1:35" ht="31.5" customHeight="1" x14ac:dyDescent="0.35">
      <c r="A120" s="378" t="s">
        <v>147</v>
      </c>
      <c r="C120" s="885" t="s">
        <v>128</v>
      </c>
      <c r="D120" s="885"/>
      <c r="E120" s="885"/>
      <c r="F120" s="885"/>
      <c r="H120" s="442"/>
      <c r="J120" s="444"/>
      <c r="K120" s="445" t="s">
        <v>35</v>
      </c>
      <c r="L120" s="445" t="s">
        <v>148</v>
      </c>
      <c r="N120" s="446" t="s">
        <v>149</v>
      </c>
      <c r="O120" s="447" t="s">
        <v>150</v>
      </c>
      <c r="P120" s="447" t="s">
        <v>138</v>
      </c>
      <c r="Q120" s="447" t="s">
        <v>151</v>
      </c>
      <c r="R120" s="749" t="s">
        <v>152</v>
      </c>
      <c r="S120" s="749"/>
      <c r="T120" s="883" t="s">
        <v>153</v>
      </c>
      <c r="U120" s="883"/>
      <c r="W120" s="425" t="s">
        <v>154</v>
      </c>
      <c r="X120" s="425"/>
      <c r="Y120" s="425"/>
      <c r="Z120" s="425"/>
      <c r="AA120" s="425"/>
      <c r="AB120" s="425"/>
      <c r="AC120" s="425"/>
      <c r="AD120" s="868" t="s">
        <v>168</v>
      </c>
      <c r="AE120" s="869"/>
      <c r="AF120" s="869"/>
      <c r="AG120" s="869"/>
      <c r="AH120" s="869"/>
      <c r="AI120" s="870"/>
    </row>
    <row r="121" spans="1:35" ht="18" customHeight="1" thickBot="1" x14ac:dyDescent="0.3">
      <c r="A121" s="639"/>
      <c r="B121" s="375"/>
      <c r="C121" s="372"/>
      <c r="D121" s="372"/>
      <c r="E121" s="372"/>
      <c r="F121" s="372"/>
      <c r="G121" s="366">
        <f>+(D121-C121)+(F121-E121)</f>
        <v>0</v>
      </c>
      <c r="H121" s="367">
        <f>+G121*1440</f>
        <v>0</v>
      </c>
      <c r="I121" s="859" t="s">
        <v>155</v>
      </c>
      <c r="J121" s="860"/>
      <c r="K121" s="373"/>
      <c r="L121" s="374"/>
      <c r="M121" s="423"/>
      <c r="N121" s="629">
        <f>+J118+L118+K118+K121+L121</f>
        <v>0</v>
      </c>
      <c r="O121" s="368">
        <f>+(Setup_and_Criteria!$K$31+(J118*Setup_and_Criteria!$F$20)+('M1_1-15th'!K118*Setup_and_Criteria!$F$21)+('M1_1-15th'!L118*Setup_and_Criteria!$F$20))+T121+(K121*Setup_and_Criteria!$F$21)+(Setup_and_Criteria!$F$22*'M1_1-15th'!L121)</f>
        <v>75</v>
      </c>
      <c r="P121" s="367">
        <f>+H121</f>
        <v>0</v>
      </c>
      <c r="Q121" s="367">
        <f>+O121-P121</f>
        <v>75</v>
      </c>
      <c r="R121" s="861" t="s">
        <v>252</v>
      </c>
      <c r="S121" s="861"/>
      <c r="T121" s="862"/>
      <c r="U121" s="863"/>
      <c r="V121" s="265" t="s">
        <v>156</v>
      </c>
      <c r="W121" s="854"/>
      <c r="X121" s="855"/>
      <c r="Y121" s="855"/>
      <c r="Z121" s="855"/>
      <c r="AA121" s="855"/>
      <c r="AB121" s="855"/>
      <c r="AC121" s="855"/>
      <c r="AD121" s="868"/>
      <c r="AE121" s="869"/>
      <c r="AF121" s="869"/>
      <c r="AG121" s="869"/>
      <c r="AH121" s="869"/>
      <c r="AI121" s="870"/>
    </row>
    <row r="122" spans="1:35" ht="15.75" thickBot="1" x14ac:dyDescent="0.3">
      <c r="A122" s="449" t="str">
        <f>+A109</f>
        <v>Password to enter data = "Enter Info"</v>
      </c>
      <c r="B122" s="450"/>
      <c r="C122" s="451"/>
      <c r="D122" s="451"/>
      <c r="E122" s="451"/>
      <c r="F122" s="451"/>
      <c r="G122" s="451"/>
      <c r="H122" s="451"/>
      <c r="I122" s="450"/>
      <c r="J122" s="451"/>
      <c r="K122" s="451"/>
      <c r="L122" s="451"/>
      <c r="M122" s="451"/>
      <c r="N122" s="451"/>
      <c r="O122" s="451"/>
      <c r="P122" s="451"/>
      <c r="Q122" s="450"/>
      <c r="R122" s="451"/>
      <c r="S122" s="451"/>
      <c r="T122" s="451"/>
      <c r="U122" s="451"/>
      <c r="V122" s="451"/>
      <c r="W122" s="451"/>
      <c r="X122" s="451"/>
      <c r="Y122" s="451"/>
      <c r="Z122" s="451"/>
      <c r="AA122" s="451"/>
      <c r="AB122" s="450"/>
      <c r="AC122" s="450"/>
      <c r="AD122" s="871"/>
      <c r="AE122" s="872"/>
      <c r="AF122" s="872"/>
      <c r="AG122" s="872"/>
      <c r="AH122" s="872"/>
      <c r="AI122" s="873"/>
    </row>
    <row r="123" spans="1:35" ht="35.25" customHeight="1" x14ac:dyDescent="0.4">
      <c r="A123" s="434" t="str">
        <f>+A110</f>
        <v>April</v>
      </c>
      <c r="B123" s="624">
        <f>+B110+1</f>
        <v>25</v>
      </c>
      <c r="C123" s="884" t="s">
        <v>128</v>
      </c>
      <c r="D123" s="884"/>
      <c r="E123" s="884"/>
      <c r="F123" s="884"/>
      <c r="G123" s="377"/>
      <c r="H123" s="377"/>
      <c r="I123" s="21"/>
      <c r="J123" s="874" t="s">
        <v>129</v>
      </c>
      <c r="K123" s="875"/>
      <c r="L123" s="875"/>
      <c r="M123" s="875"/>
      <c r="N123" s="876" t="s">
        <v>130</v>
      </c>
      <c r="O123" s="876"/>
      <c r="P123" s="876"/>
      <c r="Q123" s="876"/>
      <c r="R123" s="424" t="str">
        <f>+R110</f>
        <v xml:space="preserve"> Corrections Tracking - Check out rooms</v>
      </c>
      <c r="S123" s="424"/>
      <c r="T123" s="424"/>
      <c r="U123" s="424"/>
      <c r="V123" s="424"/>
      <c r="W123" s="424"/>
      <c r="X123" s="424"/>
      <c r="Y123" s="424"/>
      <c r="Z123" s="424"/>
      <c r="AA123" s="424"/>
      <c r="AB123" s="424"/>
      <c r="AC123" s="424"/>
      <c r="AD123" s="461" t="s">
        <v>132</v>
      </c>
      <c r="AE123" s="426"/>
      <c r="AF123" s="426"/>
      <c r="AG123" s="426"/>
      <c r="AH123" s="426"/>
      <c r="AI123" s="427"/>
    </row>
    <row r="124" spans="1:35" ht="59.25" customHeight="1" x14ac:dyDescent="0.25">
      <c r="A124" s="378" t="s">
        <v>133</v>
      </c>
      <c r="C124" s="435" t="s">
        <v>134</v>
      </c>
      <c r="D124" s="435" t="s">
        <v>135</v>
      </c>
      <c r="E124" s="435" t="s">
        <v>134</v>
      </c>
      <c r="F124" s="435" t="s">
        <v>135</v>
      </c>
      <c r="G124" s="1" t="s">
        <v>136</v>
      </c>
      <c r="H124" s="1" t="s">
        <v>108</v>
      </c>
      <c r="I124" s="436"/>
      <c r="J124" s="437" t="str">
        <f>+Setup_and_Criteria!$B$13</f>
        <v>Checkouts</v>
      </c>
      <c r="K124" s="437" t="str">
        <f>+Setup_and_Criteria!$B$14</f>
        <v>Pet Rooms</v>
      </c>
      <c r="L124" s="437" t="str">
        <f>+Setup_and_Criteria!$B$15</f>
        <v>2 Rm &amp; Jac Stes</v>
      </c>
      <c r="M124" s="438" t="str">
        <f>+Setup_and_Criteria!$B$16</f>
        <v>Stayovers</v>
      </c>
      <c r="N124" s="269" t="s">
        <v>137</v>
      </c>
      <c r="O124" s="269" t="s">
        <v>138</v>
      </c>
      <c r="P124" s="439" t="s">
        <v>139</v>
      </c>
      <c r="Q124" s="439" t="s">
        <v>140</v>
      </c>
      <c r="R124" s="440" t="str">
        <f>+Corrections!$C$8</f>
        <v>Vanity</v>
      </c>
      <c r="S124" s="440" t="str">
        <f>+Corrections!$I$8</f>
        <v>Toilet</v>
      </c>
      <c r="T124" s="440" t="str">
        <f>+Corrections!$O$8</f>
        <v>Bed/Pillows</v>
      </c>
      <c r="U124" s="440" t="str">
        <f>+Corrections!$U$8</f>
        <v>Floor</v>
      </c>
      <c r="V124" s="440" t="str">
        <f>+Corrections!$AA$8</f>
        <v>Dusting</v>
      </c>
      <c r="W124" s="440" t="str">
        <f>+Corrections!$AG$8</f>
        <v>Fridge/Micro</v>
      </c>
      <c r="X124" s="440" t="str">
        <f>+Corrections!$AM$8</f>
        <v>Tub</v>
      </c>
      <c r="Y124" s="441" t="str">
        <f>+Corrections!$AS$8</f>
        <v>Mirrors/Glass</v>
      </c>
      <c r="Z124" s="440" t="str">
        <f>+Corrections!$AY$8</f>
        <v>Stocking</v>
      </c>
      <c r="AA124" s="440" t="str">
        <f>+Corrections!$BE$8</f>
        <v>Other</v>
      </c>
      <c r="AB124" s="269" t="s">
        <v>141</v>
      </c>
      <c r="AC124" s="269" t="str">
        <f>+$AC$7</f>
        <v>Daily Corr / Inspected Checkout</v>
      </c>
      <c r="AD124" s="889" t="s">
        <v>143</v>
      </c>
      <c r="AE124" s="890"/>
      <c r="AF124" s="890"/>
      <c r="AG124" s="890"/>
      <c r="AH124" s="890"/>
      <c r="AI124" s="891"/>
    </row>
    <row r="125" spans="1:35" x14ac:dyDescent="0.25">
      <c r="A125" s="638"/>
      <c r="C125" s="369"/>
      <c r="D125" s="369"/>
      <c r="E125" s="369"/>
      <c r="F125" s="369"/>
      <c r="G125" s="264">
        <f t="shared" ref="G125:G130" si="72">+(D125-C125)+(F125-E125)</f>
        <v>0</v>
      </c>
      <c r="H125" s="442">
        <f t="shared" ref="H125:H130" si="73">+G125*1440</f>
        <v>0</v>
      </c>
      <c r="J125" s="630"/>
      <c r="K125" s="630"/>
      <c r="L125" s="630"/>
      <c r="M125" s="630"/>
      <c r="N125" s="1">
        <f>IF(C125&gt;0,((J125*Setup_and_Criteria!$F$13)+('M1_1-15th'!K125*Setup_and_Criteria!$F$14)+('M1_1-15th'!L125*Setup_and_Criteria!$F$15)+('M1_1-15th'!M125*Setup_and_Criteria!$F$16)+Setup_and_Criteria!$J$16),0)</f>
        <v>0</v>
      </c>
      <c r="O125" s="442">
        <f>+H125</f>
        <v>0</v>
      </c>
      <c r="P125" s="443">
        <f t="shared" ref="P125:P131" si="74">+N125-O125</f>
        <v>0</v>
      </c>
      <c r="Q125" s="357" t="e">
        <f t="shared" ref="Q125:Q131" si="75">O125/_xlfn.SINGLE(SUM(J125:M125))</f>
        <v>#DIV/0!</v>
      </c>
      <c r="R125" s="630"/>
      <c r="S125" s="630"/>
      <c r="T125" s="630"/>
      <c r="U125" s="630"/>
      <c r="V125" s="630"/>
      <c r="W125" s="630"/>
      <c r="X125" s="630"/>
      <c r="Y125" s="630"/>
      <c r="Z125" s="630"/>
      <c r="AA125" s="630"/>
      <c r="AB125" s="1">
        <f t="shared" ref="AB125:AB131" si="76">SUM(R125:AA125)</f>
        <v>0</v>
      </c>
      <c r="AC125" s="357" t="e">
        <f t="shared" ref="AC125:AC131" si="77">+AB125/(J125+K125+L125)</f>
        <v>#DIV/0!</v>
      </c>
      <c r="AD125" s="864"/>
      <c r="AE125" s="865"/>
      <c r="AF125" s="865"/>
      <c r="AG125" s="866"/>
      <c r="AH125" s="866"/>
      <c r="AI125" s="867"/>
    </row>
    <row r="126" spans="1:35" x14ac:dyDescent="0.25">
      <c r="A126" s="638"/>
      <c r="C126" s="369"/>
      <c r="D126" s="369"/>
      <c r="E126" s="630"/>
      <c r="F126" s="630"/>
      <c r="G126" s="264">
        <f t="shared" si="72"/>
        <v>0</v>
      </c>
      <c r="H126" s="442">
        <f t="shared" si="73"/>
        <v>0</v>
      </c>
      <c r="J126" s="630"/>
      <c r="K126" s="630"/>
      <c r="L126" s="630"/>
      <c r="M126" s="630"/>
      <c r="N126" s="1">
        <f>IF(C126&gt;0,((J126*Setup_and_Criteria!$F$13)+('M1_1-15th'!K126*Setup_and_Criteria!$F$14)+('M1_1-15th'!L126*Setup_and_Criteria!$F$15)+('M1_1-15th'!M126*Setup_and_Criteria!$F$16)+Setup_and_Criteria!$J$16),0)</f>
        <v>0</v>
      </c>
      <c r="O126" s="442">
        <f t="shared" ref="O126:O131" si="78">+H126</f>
        <v>0</v>
      </c>
      <c r="P126" s="443">
        <f t="shared" si="74"/>
        <v>0</v>
      </c>
      <c r="Q126" s="357" t="e">
        <f t="shared" si="75"/>
        <v>#DIV/0!</v>
      </c>
      <c r="R126" s="630"/>
      <c r="S126" s="630"/>
      <c r="T126" s="630"/>
      <c r="U126" s="630"/>
      <c r="V126" s="630"/>
      <c r="W126" s="630"/>
      <c r="X126" s="630"/>
      <c r="Y126" s="630"/>
      <c r="Z126" s="630"/>
      <c r="AA126" s="630"/>
      <c r="AB126" s="1">
        <f t="shared" si="76"/>
        <v>0</v>
      </c>
      <c r="AC126" s="357" t="e">
        <f t="shared" si="77"/>
        <v>#DIV/0!</v>
      </c>
      <c r="AD126" s="864"/>
      <c r="AE126" s="865"/>
      <c r="AF126" s="865"/>
      <c r="AG126" s="866"/>
      <c r="AH126" s="866"/>
      <c r="AI126" s="867"/>
    </row>
    <row r="127" spans="1:35" x14ac:dyDescent="0.25">
      <c r="A127" s="638"/>
      <c r="C127" s="630"/>
      <c r="D127" s="630"/>
      <c r="E127" s="630"/>
      <c r="F127" s="630"/>
      <c r="G127" s="264">
        <f t="shared" si="72"/>
        <v>0</v>
      </c>
      <c r="H127" s="442">
        <f t="shared" si="73"/>
        <v>0</v>
      </c>
      <c r="J127" s="630"/>
      <c r="K127" s="630"/>
      <c r="L127" s="630"/>
      <c r="M127" s="630"/>
      <c r="N127" s="1">
        <f>IF(C127&gt;0,((J127*Setup_and_Criteria!$F$13)+('M1_1-15th'!K127*Setup_and_Criteria!$F$14)+('M1_1-15th'!L127*Setup_and_Criteria!$F$15)+('M1_1-15th'!M127*Setup_and_Criteria!$F$16)+Setup_and_Criteria!$J$16),0)</f>
        <v>0</v>
      </c>
      <c r="O127" s="442">
        <f t="shared" si="78"/>
        <v>0</v>
      </c>
      <c r="P127" s="443">
        <f t="shared" si="74"/>
        <v>0</v>
      </c>
      <c r="Q127" s="357" t="e">
        <f t="shared" si="75"/>
        <v>#DIV/0!</v>
      </c>
      <c r="R127" s="630"/>
      <c r="S127" s="630"/>
      <c r="T127" s="630"/>
      <c r="U127" s="630"/>
      <c r="V127" s="630"/>
      <c r="W127" s="630"/>
      <c r="X127" s="630"/>
      <c r="Y127" s="630"/>
      <c r="Z127" s="630"/>
      <c r="AA127" s="630"/>
      <c r="AB127" s="1">
        <f t="shared" si="76"/>
        <v>0</v>
      </c>
      <c r="AC127" s="357" t="e">
        <f t="shared" si="77"/>
        <v>#DIV/0!</v>
      </c>
      <c r="AD127" s="864"/>
      <c r="AE127" s="865"/>
      <c r="AF127" s="865"/>
      <c r="AG127" s="866"/>
      <c r="AH127" s="866"/>
      <c r="AI127" s="867"/>
    </row>
    <row r="128" spans="1:35" x14ac:dyDescent="0.25">
      <c r="A128" s="638"/>
      <c r="C128" s="630"/>
      <c r="D128" s="630"/>
      <c r="E128" s="630"/>
      <c r="F128" s="630"/>
      <c r="G128" s="264">
        <f t="shared" si="72"/>
        <v>0</v>
      </c>
      <c r="H128" s="442">
        <f t="shared" si="73"/>
        <v>0</v>
      </c>
      <c r="J128" s="630"/>
      <c r="K128" s="630"/>
      <c r="L128" s="630"/>
      <c r="M128" s="630"/>
      <c r="N128" s="1">
        <f>IF(C128&gt;0,((J128*Setup_and_Criteria!$F$13)+('M1_1-15th'!K128*Setup_and_Criteria!$F$14)+('M1_1-15th'!L128*Setup_and_Criteria!$F$15)+('M1_1-15th'!M128*Setup_and_Criteria!$F$16)+Setup_and_Criteria!$J$16),0)</f>
        <v>0</v>
      </c>
      <c r="O128" s="442">
        <f t="shared" si="78"/>
        <v>0</v>
      </c>
      <c r="P128" s="443">
        <f t="shared" si="74"/>
        <v>0</v>
      </c>
      <c r="Q128" s="357" t="e">
        <f t="shared" si="75"/>
        <v>#DIV/0!</v>
      </c>
      <c r="R128" s="630"/>
      <c r="S128" s="630"/>
      <c r="T128" s="630"/>
      <c r="U128" s="630"/>
      <c r="V128" s="630"/>
      <c r="W128" s="630"/>
      <c r="X128" s="630"/>
      <c r="Y128" s="630"/>
      <c r="Z128" s="630"/>
      <c r="AA128" s="630"/>
      <c r="AB128" s="1">
        <f t="shared" si="76"/>
        <v>0</v>
      </c>
      <c r="AC128" s="357" t="e">
        <f t="shared" si="77"/>
        <v>#DIV/0!</v>
      </c>
      <c r="AD128" s="864"/>
      <c r="AE128" s="865"/>
      <c r="AF128" s="865"/>
      <c r="AG128" s="866"/>
      <c r="AH128" s="866"/>
      <c r="AI128" s="867"/>
    </row>
    <row r="129" spans="1:35" x14ac:dyDescent="0.25">
      <c r="A129" s="638"/>
      <c r="C129" s="630"/>
      <c r="D129" s="630"/>
      <c r="E129" s="630"/>
      <c r="F129" s="630"/>
      <c r="G129" s="264">
        <f t="shared" si="72"/>
        <v>0</v>
      </c>
      <c r="H129" s="442">
        <f t="shared" si="73"/>
        <v>0</v>
      </c>
      <c r="J129" s="630"/>
      <c r="K129" s="630"/>
      <c r="L129" s="630"/>
      <c r="M129" s="630"/>
      <c r="N129" s="1">
        <f>IF(C129&gt;0,((J129*Setup_and_Criteria!$F$13)+('M1_1-15th'!K129*Setup_and_Criteria!$F$14)+('M1_1-15th'!L129*Setup_and_Criteria!$F$15)+('M1_1-15th'!M129*Setup_and_Criteria!$F$16)+Setup_and_Criteria!$J$16),0)</f>
        <v>0</v>
      </c>
      <c r="O129" s="442">
        <f t="shared" si="78"/>
        <v>0</v>
      </c>
      <c r="P129" s="443">
        <f t="shared" si="74"/>
        <v>0</v>
      </c>
      <c r="Q129" s="357" t="e">
        <f t="shared" si="75"/>
        <v>#DIV/0!</v>
      </c>
      <c r="R129" s="630"/>
      <c r="S129" s="630"/>
      <c r="T129" s="630"/>
      <c r="U129" s="630"/>
      <c r="V129" s="630"/>
      <c r="W129" s="630"/>
      <c r="X129" s="630"/>
      <c r="Y129" s="630"/>
      <c r="Z129" s="630"/>
      <c r="AA129" s="630"/>
      <c r="AB129" s="1">
        <f t="shared" si="76"/>
        <v>0</v>
      </c>
      <c r="AC129" s="357" t="e">
        <f t="shared" si="77"/>
        <v>#DIV/0!</v>
      </c>
      <c r="AD129" s="864"/>
      <c r="AE129" s="865"/>
      <c r="AF129" s="865"/>
      <c r="AG129" s="866"/>
      <c r="AH129" s="866"/>
      <c r="AI129" s="867"/>
    </row>
    <row r="130" spans="1:35" ht="15.75" thickBot="1" x14ac:dyDescent="0.3">
      <c r="A130" s="638"/>
      <c r="C130" s="370"/>
      <c r="D130" s="370"/>
      <c r="E130" s="630"/>
      <c r="F130" s="630"/>
      <c r="G130" s="264">
        <f t="shared" si="72"/>
        <v>0</v>
      </c>
      <c r="H130" s="442">
        <f t="shared" si="73"/>
        <v>0</v>
      </c>
      <c r="J130" s="371"/>
      <c r="K130" s="371"/>
      <c r="L130" s="371"/>
      <c r="M130" s="371"/>
      <c r="N130" s="358">
        <f>IF(C130&gt;0,((J130*Setup_and_Criteria!$F$13)+('M1_1-15th'!K130*Setup_and_Criteria!$F$14)+('M1_1-15th'!L130*Setup_and_Criteria!$F$15)+('M1_1-15th'!M130*Setup_and_Criteria!$F$16)+Setup_and_Criteria!$J$16),0)</f>
        <v>0</v>
      </c>
      <c r="O130" s="359">
        <f t="shared" si="78"/>
        <v>0</v>
      </c>
      <c r="P130" s="383">
        <f t="shared" si="74"/>
        <v>0</v>
      </c>
      <c r="Q130" s="360" t="e">
        <f t="shared" si="75"/>
        <v>#DIV/0!</v>
      </c>
      <c r="R130" s="511"/>
      <c r="S130" s="511"/>
      <c r="T130" s="511"/>
      <c r="U130" s="511"/>
      <c r="V130" s="511"/>
      <c r="W130" s="511"/>
      <c r="X130" s="511"/>
      <c r="Y130" s="511"/>
      <c r="Z130" s="511"/>
      <c r="AA130" s="511"/>
      <c r="AB130" s="1">
        <f t="shared" si="76"/>
        <v>0</v>
      </c>
      <c r="AC130" s="357" t="e">
        <f t="shared" si="77"/>
        <v>#DIV/0!</v>
      </c>
      <c r="AD130" s="864"/>
      <c r="AE130" s="865"/>
      <c r="AF130" s="865"/>
      <c r="AG130" s="866"/>
      <c r="AH130" s="866"/>
      <c r="AI130" s="867"/>
    </row>
    <row r="131" spans="1:35" ht="15.75" thickTop="1" x14ac:dyDescent="0.25">
      <c r="A131" s="58"/>
      <c r="H131" s="442">
        <f>SUM(H125:H130)</f>
        <v>0</v>
      </c>
      <c r="J131" s="1">
        <f>SUM(J125:J130)</f>
        <v>0</v>
      </c>
      <c r="K131" s="1">
        <f>SUM(K125:K130)</f>
        <v>0</v>
      </c>
      <c r="L131" s="1">
        <f>SUM(L125:L130)</f>
        <v>0</v>
      </c>
      <c r="M131" s="1">
        <f>SUM(M125:M130)</f>
        <v>0</v>
      </c>
      <c r="N131" s="1">
        <f>SUM(N125:N130)</f>
        <v>0</v>
      </c>
      <c r="O131" s="1">
        <f t="shared" si="78"/>
        <v>0</v>
      </c>
      <c r="P131" s="443">
        <f t="shared" si="74"/>
        <v>0</v>
      </c>
      <c r="Q131" s="357" t="e">
        <f t="shared" si="75"/>
        <v>#DIV/0!</v>
      </c>
      <c r="R131" s="1">
        <f t="shared" ref="R131:AA131" si="79">SUM(R125:R130)</f>
        <v>0</v>
      </c>
      <c r="S131" s="1">
        <f t="shared" si="79"/>
        <v>0</v>
      </c>
      <c r="T131" s="1">
        <f t="shared" si="79"/>
        <v>0</v>
      </c>
      <c r="U131" s="1">
        <f t="shared" si="79"/>
        <v>0</v>
      </c>
      <c r="V131" s="1">
        <f t="shared" si="79"/>
        <v>0</v>
      </c>
      <c r="W131" s="1">
        <f t="shared" si="79"/>
        <v>0</v>
      </c>
      <c r="X131" s="1">
        <f t="shared" si="79"/>
        <v>0</v>
      </c>
      <c r="Y131" s="1">
        <f t="shared" si="79"/>
        <v>0</v>
      </c>
      <c r="Z131" s="1">
        <f t="shared" si="79"/>
        <v>0</v>
      </c>
      <c r="AA131" s="1">
        <f t="shared" si="79"/>
        <v>0</v>
      </c>
      <c r="AB131" s="1">
        <f t="shared" si="76"/>
        <v>0</v>
      </c>
      <c r="AC131" s="357" t="e">
        <f t="shared" si="77"/>
        <v>#DIV/0!</v>
      </c>
      <c r="AD131" s="877"/>
      <c r="AE131" s="878"/>
      <c r="AF131" s="878"/>
      <c r="AG131" s="749"/>
      <c r="AH131" s="749"/>
      <c r="AI131" s="879"/>
    </row>
    <row r="132" spans="1:35" ht="21" customHeight="1" x14ac:dyDescent="0.35">
      <c r="A132" s="58"/>
      <c r="H132" s="442"/>
      <c r="N132" s="888" t="s">
        <v>145</v>
      </c>
      <c r="O132" s="888"/>
      <c r="P132" s="888"/>
      <c r="Q132" s="888"/>
      <c r="R132" s="431" t="s">
        <v>146</v>
      </c>
      <c r="S132" s="431"/>
      <c r="T132" s="431"/>
      <c r="U132" s="431"/>
      <c r="V132" s="431"/>
      <c r="W132" s="431"/>
      <c r="X132" s="431"/>
      <c r="Y132" s="431"/>
      <c r="Z132" s="431"/>
      <c r="AA132" s="431"/>
      <c r="AB132" s="431"/>
      <c r="AC132" s="431"/>
      <c r="AD132" s="880" t="s">
        <v>132</v>
      </c>
      <c r="AE132" s="881"/>
      <c r="AF132" s="881"/>
      <c r="AG132" s="881"/>
      <c r="AH132" s="881"/>
      <c r="AI132" s="882"/>
    </row>
    <row r="133" spans="1:35" ht="31.5" customHeight="1" x14ac:dyDescent="0.35">
      <c r="A133" s="617" t="s">
        <v>147</v>
      </c>
      <c r="C133" s="885" t="s">
        <v>128</v>
      </c>
      <c r="D133" s="885"/>
      <c r="E133" s="885"/>
      <c r="F133" s="885"/>
      <c r="H133" s="442"/>
      <c r="J133" s="444"/>
      <c r="K133" s="445" t="s">
        <v>35</v>
      </c>
      <c r="L133" s="445" t="s">
        <v>148</v>
      </c>
      <c r="N133" s="446" t="s">
        <v>149</v>
      </c>
      <c r="O133" s="447" t="s">
        <v>150</v>
      </c>
      <c r="P133" s="447" t="s">
        <v>138</v>
      </c>
      <c r="Q133" s="447" t="s">
        <v>151</v>
      </c>
      <c r="R133" s="749" t="s">
        <v>152</v>
      </c>
      <c r="S133" s="749"/>
      <c r="T133" s="883" t="s">
        <v>153</v>
      </c>
      <c r="U133" s="883"/>
      <c r="W133" s="425" t="s">
        <v>154</v>
      </c>
      <c r="X133" s="425"/>
      <c r="Y133" s="425"/>
      <c r="Z133" s="425"/>
      <c r="AA133" s="425"/>
      <c r="AB133" s="425"/>
      <c r="AC133" s="425"/>
      <c r="AD133" s="868" t="s">
        <v>169</v>
      </c>
      <c r="AE133" s="869"/>
      <c r="AF133" s="869"/>
      <c r="AG133" s="869"/>
      <c r="AH133" s="869"/>
      <c r="AI133" s="870"/>
    </row>
    <row r="134" spans="1:35" ht="18" customHeight="1" thickBot="1" x14ac:dyDescent="0.3">
      <c r="A134" s="639"/>
      <c r="B134" s="375"/>
      <c r="C134" s="372"/>
      <c r="D134" s="372"/>
      <c r="E134" s="372"/>
      <c r="F134" s="372"/>
      <c r="G134" s="366">
        <f>+(D134-C134)+(F134-E134)</f>
        <v>0</v>
      </c>
      <c r="H134" s="367">
        <f>+G134*1440</f>
        <v>0</v>
      </c>
      <c r="I134" s="859" t="s">
        <v>155</v>
      </c>
      <c r="J134" s="860"/>
      <c r="K134" s="373"/>
      <c r="L134" s="374"/>
      <c r="M134" s="423"/>
      <c r="N134" s="629">
        <f>+J131+L131+K131+K134+L134</f>
        <v>0</v>
      </c>
      <c r="O134" s="368">
        <f>+(Setup_and_Criteria!$K$31+(J131*Setup_and_Criteria!$F$20)+('M1_1-15th'!K131*Setup_and_Criteria!$F$21)+('M1_1-15th'!L131*Setup_and_Criteria!$F$20))+T134+(K134*Setup_and_Criteria!$F$21)+(Setup_and_Criteria!$F$22*'M1_1-15th'!L134)</f>
        <v>75</v>
      </c>
      <c r="P134" s="367">
        <f>+H134</f>
        <v>0</v>
      </c>
      <c r="Q134" s="367">
        <f>+O134-P134</f>
        <v>75</v>
      </c>
      <c r="R134" s="861" t="s">
        <v>252</v>
      </c>
      <c r="S134" s="861"/>
      <c r="T134" s="862"/>
      <c r="U134" s="863"/>
      <c r="V134" s="265" t="s">
        <v>156</v>
      </c>
      <c r="W134" s="854"/>
      <c r="X134" s="855"/>
      <c r="Y134" s="855"/>
      <c r="Z134" s="855"/>
      <c r="AA134" s="855"/>
      <c r="AB134" s="855"/>
      <c r="AC134" s="855"/>
      <c r="AD134" s="868"/>
      <c r="AE134" s="869"/>
      <c r="AF134" s="869"/>
      <c r="AG134" s="869"/>
      <c r="AH134" s="869"/>
      <c r="AI134" s="870"/>
    </row>
    <row r="135" spans="1:35" ht="15.75" thickBot="1" x14ac:dyDescent="0.3">
      <c r="A135" s="449" t="str">
        <f>+A122</f>
        <v>Password to enter data = "Enter Info"</v>
      </c>
      <c r="B135" s="450"/>
      <c r="C135" s="451"/>
      <c r="D135" s="451"/>
      <c r="E135" s="451"/>
      <c r="F135" s="451"/>
      <c r="G135" s="451"/>
      <c r="H135" s="451"/>
      <c r="I135" s="450"/>
      <c r="J135" s="451"/>
      <c r="K135" s="451"/>
      <c r="L135" s="451"/>
      <c r="M135" s="451"/>
      <c r="N135" s="451"/>
      <c r="O135" s="451"/>
      <c r="P135" s="451"/>
      <c r="Q135" s="450"/>
      <c r="R135" s="451"/>
      <c r="S135" s="451"/>
      <c r="T135" s="451"/>
      <c r="U135" s="451"/>
      <c r="V135" s="451"/>
      <c r="W135" s="451"/>
      <c r="X135" s="451"/>
      <c r="Y135" s="451"/>
      <c r="Z135" s="451"/>
      <c r="AA135" s="451"/>
      <c r="AB135" s="450"/>
      <c r="AC135" s="450"/>
      <c r="AD135" s="871"/>
      <c r="AE135" s="872"/>
      <c r="AF135" s="872"/>
      <c r="AG135" s="872"/>
      <c r="AH135" s="872"/>
      <c r="AI135" s="873"/>
    </row>
    <row r="136" spans="1:35" ht="35.25" customHeight="1" x14ac:dyDescent="0.4">
      <c r="A136" s="434" t="str">
        <f>+A123</f>
        <v>April</v>
      </c>
      <c r="B136" s="624">
        <f>+B123+1</f>
        <v>26</v>
      </c>
      <c r="C136" s="884" t="s">
        <v>128</v>
      </c>
      <c r="D136" s="884"/>
      <c r="E136" s="884"/>
      <c r="F136" s="884"/>
      <c r="G136" s="377"/>
      <c r="H136" s="377"/>
      <c r="I136" s="21"/>
      <c r="J136" s="874" t="s">
        <v>129</v>
      </c>
      <c r="K136" s="875"/>
      <c r="L136" s="875"/>
      <c r="M136" s="875"/>
      <c r="N136" s="876" t="s">
        <v>130</v>
      </c>
      <c r="O136" s="876"/>
      <c r="P136" s="876"/>
      <c r="Q136" s="876"/>
      <c r="R136" s="424" t="str">
        <f>+R123</f>
        <v xml:space="preserve"> Corrections Tracking - Check out rooms</v>
      </c>
      <c r="S136" s="424"/>
      <c r="T136" s="424"/>
      <c r="U136" s="424"/>
      <c r="V136" s="424"/>
      <c r="W136" s="424"/>
      <c r="X136" s="424"/>
      <c r="Y136" s="424"/>
      <c r="Z136" s="424"/>
      <c r="AA136" s="424"/>
      <c r="AB136" s="424"/>
      <c r="AC136" s="424"/>
      <c r="AD136" s="461" t="s">
        <v>132</v>
      </c>
      <c r="AE136" s="426"/>
      <c r="AF136" s="426"/>
      <c r="AG136" s="426"/>
      <c r="AH136" s="426"/>
      <c r="AI136" s="427"/>
    </row>
    <row r="137" spans="1:35" ht="59.25" customHeight="1" x14ac:dyDescent="0.25">
      <c r="A137" s="378" t="s">
        <v>133</v>
      </c>
      <c r="C137" s="435" t="s">
        <v>134</v>
      </c>
      <c r="D137" s="435" t="s">
        <v>135</v>
      </c>
      <c r="E137" s="435" t="s">
        <v>134</v>
      </c>
      <c r="F137" s="435" t="s">
        <v>135</v>
      </c>
      <c r="G137" s="1" t="s">
        <v>136</v>
      </c>
      <c r="H137" s="1" t="s">
        <v>108</v>
      </c>
      <c r="I137" s="436"/>
      <c r="J137" s="437" t="str">
        <f>+Setup_and_Criteria!$B$13</f>
        <v>Checkouts</v>
      </c>
      <c r="K137" s="437" t="str">
        <f>+Setup_and_Criteria!$B$14</f>
        <v>Pet Rooms</v>
      </c>
      <c r="L137" s="437" t="str">
        <f>+Setup_and_Criteria!$B$15</f>
        <v>2 Rm &amp; Jac Stes</v>
      </c>
      <c r="M137" s="438" t="str">
        <f>+Setup_and_Criteria!$B$16</f>
        <v>Stayovers</v>
      </c>
      <c r="N137" s="269" t="s">
        <v>137</v>
      </c>
      <c r="O137" s="269" t="s">
        <v>138</v>
      </c>
      <c r="P137" s="439" t="s">
        <v>139</v>
      </c>
      <c r="Q137" s="439" t="s">
        <v>140</v>
      </c>
      <c r="R137" s="440" t="str">
        <f>+Corrections!$C$8</f>
        <v>Vanity</v>
      </c>
      <c r="S137" s="440" t="str">
        <f>+Corrections!$I$8</f>
        <v>Toilet</v>
      </c>
      <c r="T137" s="440" t="str">
        <f>+Corrections!$O$8</f>
        <v>Bed/Pillows</v>
      </c>
      <c r="U137" s="440" t="str">
        <f>+Corrections!$U$8</f>
        <v>Floor</v>
      </c>
      <c r="V137" s="440" t="str">
        <f>+Corrections!$AA$8</f>
        <v>Dusting</v>
      </c>
      <c r="W137" s="440" t="str">
        <f>+Corrections!$AG$8</f>
        <v>Fridge/Micro</v>
      </c>
      <c r="X137" s="440" t="str">
        <f>+Corrections!$AM$8</f>
        <v>Tub</v>
      </c>
      <c r="Y137" s="441" t="str">
        <f>+Corrections!$AS$8</f>
        <v>Mirrors/Glass</v>
      </c>
      <c r="Z137" s="440" t="str">
        <f>+Corrections!$AY$8</f>
        <v>Stocking</v>
      </c>
      <c r="AA137" s="440" t="str">
        <f>+Corrections!$BE$8</f>
        <v>Other</v>
      </c>
      <c r="AB137" s="269" t="s">
        <v>141</v>
      </c>
      <c r="AC137" s="269" t="str">
        <f>+$AC$7</f>
        <v>Daily Corr / Inspected Checkout</v>
      </c>
      <c r="AD137" s="889" t="s">
        <v>143</v>
      </c>
      <c r="AE137" s="890"/>
      <c r="AF137" s="890"/>
      <c r="AG137" s="890"/>
      <c r="AH137" s="890"/>
      <c r="AI137" s="891"/>
    </row>
    <row r="138" spans="1:35" x14ac:dyDescent="0.25">
      <c r="A138" s="638"/>
      <c r="C138" s="369"/>
      <c r="D138" s="369"/>
      <c r="E138" s="369"/>
      <c r="F138" s="369"/>
      <c r="G138" s="264">
        <f t="shared" ref="G138:G143" si="80">+(D138-C138)+(F138-E138)</f>
        <v>0</v>
      </c>
      <c r="H138" s="442">
        <f t="shared" ref="H138:H143" si="81">+G138*1440</f>
        <v>0</v>
      </c>
      <c r="J138" s="630"/>
      <c r="K138" s="630"/>
      <c r="L138" s="630"/>
      <c r="M138" s="630"/>
      <c r="N138" s="1">
        <f>IF(C138&gt;0,((J138*Setup_and_Criteria!$F$13)+('M1_1-15th'!K138*Setup_and_Criteria!$F$14)+('M1_1-15th'!L138*Setup_and_Criteria!$F$15)+('M1_1-15th'!M138*Setup_and_Criteria!$F$16)+Setup_and_Criteria!$J$16),0)</f>
        <v>0</v>
      </c>
      <c r="O138" s="442">
        <f>+H138</f>
        <v>0</v>
      </c>
      <c r="P138" s="443">
        <f t="shared" ref="P138:P144" si="82">+N138-O138</f>
        <v>0</v>
      </c>
      <c r="Q138" s="357" t="e">
        <f t="shared" ref="Q138:Q144" si="83">O138/_xlfn.SINGLE(SUM(J138:M138))</f>
        <v>#DIV/0!</v>
      </c>
      <c r="R138" s="630"/>
      <c r="S138" s="630"/>
      <c r="T138" s="630"/>
      <c r="U138" s="630"/>
      <c r="V138" s="630"/>
      <c r="W138" s="630"/>
      <c r="X138" s="630"/>
      <c r="Y138" s="630"/>
      <c r="Z138" s="630"/>
      <c r="AA138" s="630"/>
      <c r="AB138" s="1">
        <f t="shared" ref="AB138:AB144" si="84">SUM(R138:AA138)</f>
        <v>0</v>
      </c>
      <c r="AC138" s="357" t="e">
        <f t="shared" ref="AC138:AC144" si="85">+AB138/(J138+K138+L138)</f>
        <v>#DIV/0!</v>
      </c>
      <c r="AD138" s="864" t="s">
        <v>144</v>
      </c>
      <c r="AE138" s="865"/>
      <c r="AF138" s="865"/>
      <c r="AG138" s="866"/>
      <c r="AH138" s="866"/>
      <c r="AI138" s="867"/>
    </row>
    <row r="139" spans="1:35" x14ac:dyDescent="0.25">
      <c r="A139" s="638"/>
      <c r="C139" s="369"/>
      <c r="D139" s="369"/>
      <c r="E139" s="630"/>
      <c r="F139" s="630"/>
      <c r="G139" s="264">
        <f t="shared" si="80"/>
        <v>0</v>
      </c>
      <c r="H139" s="442">
        <f t="shared" si="81"/>
        <v>0</v>
      </c>
      <c r="J139" s="630"/>
      <c r="K139" s="630"/>
      <c r="L139" s="630"/>
      <c r="M139" s="630"/>
      <c r="N139" s="1">
        <f>IF(C139&gt;0,((J139*Setup_and_Criteria!$F$13)+('M1_1-15th'!K139*Setup_and_Criteria!$F$14)+('M1_1-15th'!L139*Setup_and_Criteria!$F$15)+('M1_1-15th'!M139*Setup_and_Criteria!$F$16)+Setup_and_Criteria!$J$16),0)</f>
        <v>0</v>
      </c>
      <c r="O139" s="442">
        <f t="shared" ref="O139:O144" si="86">+H139</f>
        <v>0</v>
      </c>
      <c r="P139" s="443">
        <f t="shared" si="82"/>
        <v>0</v>
      </c>
      <c r="Q139" s="357" t="e">
        <f t="shared" si="83"/>
        <v>#DIV/0!</v>
      </c>
      <c r="R139" s="630"/>
      <c r="S139" s="630"/>
      <c r="T139" s="630"/>
      <c r="U139" s="630"/>
      <c r="V139" s="630"/>
      <c r="W139" s="630"/>
      <c r="X139" s="630"/>
      <c r="Y139" s="630"/>
      <c r="Z139" s="630"/>
      <c r="AA139" s="630"/>
      <c r="AB139" s="1">
        <f t="shared" si="84"/>
        <v>0</v>
      </c>
      <c r="AC139" s="357" t="e">
        <f t="shared" si="85"/>
        <v>#DIV/0!</v>
      </c>
      <c r="AD139" s="864"/>
      <c r="AE139" s="865"/>
      <c r="AF139" s="865"/>
      <c r="AG139" s="866"/>
      <c r="AH139" s="866"/>
      <c r="AI139" s="867"/>
    </row>
    <row r="140" spans="1:35" x14ac:dyDescent="0.25">
      <c r="A140" s="638"/>
      <c r="C140" s="630"/>
      <c r="D140" s="630"/>
      <c r="E140" s="630"/>
      <c r="F140" s="630"/>
      <c r="G140" s="264">
        <f t="shared" si="80"/>
        <v>0</v>
      </c>
      <c r="H140" s="442">
        <f t="shared" si="81"/>
        <v>0</v>
      </c>
      <c r="J140" s="630"/>
      <c r="K140" s="630"/>
      <c r="L140" s="630"/>
      <c r="M140" s="630"/>
      <c r="N140" s="1">
        <f>IF(C140&gt;0,((J140*Setup_and_Criteria!$F$13)+('M1_1-15th'!K140*Setup_and_Criteria!$F$14)+('M1_1-15th'!L140*Setup_and_Criteria!$F$15)+('M1_1-15th'!M140*Setup_and_Criteria!$F$16)+Setup_and_Criteria!$J$16),0)</f>
        <v>0</v>
      </c>
      <c r="O140" s="442">
        <f t="shared" si="86"/>
        <v>0</v>
      </c>
      <c r="P140" s="443">
        <f t="shared" si="82"/>
        <v>0</v>
      </c>
      <c r="Q140" s="357" t="e">
        <f t="shared" si="83"/>
        <v>#DIV/0!</v>
      </c>
      <c r="R140" s="630"/>
      <c r="S140" s="630"/>
      <c r="T140" s="630"/>
      <c r="U140" s="630"/>
      <c r="V140" s="630"/>
      <c r="W140" s="630"/>
      <c r="X140" s="630"/>
      <c r="Y140" s="630"/>
      <c r="Z140" s="630"/>
      <c r="AA140" s="630"/>
      <c r="AB140" s="1">
        <f t="shared" si="84"/>
        <v>0</v>
      </c>
      <c r="AC140" s="357" t="e">
        <f t="shared" si="85"/>
        <v>#DIV/0!</v>
      </c>
      <c r="AD140" s="864"/>
      <c r="AE140" s="865"/>
      <c r="AF140" s="865"/>
      <c r="AG140" s="866"/>
      <c r="AH140" s="866"/>
      <c r="AI140" s="867"/>
    </row>
    <row r="141" spans="1:35" x14ac:dyDescent="0.25">
      <c r="A141" s="638"/>
      <c r="C141" s="630"/>
      <c r="D141" s="630"/>
      <c r="E141" s="630"/>
      <c r="F141" s="630"/>
      <c r="G141" s="264">
        <f t="shared" si="80"/>
        <v>0</v>
      </c>
      <c r="H141" s="442">
        <f t="shared" si="81"/>
        <v>0</v>
      </c>
      <c r="J141" s="630"/>
      <c r="K141" s="630"/>
      <c r="L141" s="630"/>
      <c r="M141" s="630"/>
      <c r="N141" s="1">
        <f>IF(C141&gt;0,((J141*Setup_and_Criteria!$F$13)+('M1_1-15th'!K141*Setup_and_Criteria!$F$14)+('M1_1-15th'!L141*Setup_and_Criteria!$F$15)+('M1_1-15th'!M141*Setup_and_Criteria!$F$16)+Setup_and_Criteria!$J$16),0)</f>
        <v>0</v>
      </c>
      <c r="O141" s="442">
        <f t="shared" si="86"/>
        <v>0</v>
      </c>
      <c r="P141" s="443">
        <f t="shared" si="82"/>
        <v>0</v>
      </c>
      <c r="Q141" s="357" t="e">
        <f t="shared" si="83"/>
        <v>#DIV/0!</v>
      </c>
      <c r="R141" s="630"/>
      <c r="S141" s="630"/>
      <c r="T141" s="630"/>
      <c r="U141" s="630"/>
      <c r="V141" s="630"/>
      <c r="W141" s="630"/>
      <c r="X141" s="630"/>
      <c r="Y141" s="630"/>
      <c r="Z141" s="630"/>
      <c r="AA141" s="630"/>
      <c r="AB141" s="1">
        <f t="shared" si="84"/>
        <v>0</v>
      </c>
      <c r="AC141" s="357" t="e">
        <f t="shared" si="85"/>
        <v>#DIV/0!</v>
      </c>
      <c r="AD141" s="864"/>
      <c r="AE141" s="865"/>
      <c r="AF141" s="865"/>
      <c r="AG141" s="866"/>
      <c r="AH141" s="866"/>
      <c r="AI141" s="867"/>
    </row>
    <row r="142" spans="1:35" x14ac:dyDescent="0.25">
      <c r="A142" s="638"/>
      <c r="C142" s="630"/>
      <c r="D142" s="630"/>
      <c r="E142" s="630"/>
      <c r="F142" s="630"/>
      <c r="G142" s="264">
        <f t="shared" si="80"/>
        <v>0</v>
      </c>
      <c r="H142" s="442">
        <f t="shared" si="81"/>
        <v>0</v>
      </c>
      <c r="J142" s="630"/>
      <c r="K142" s="630"/>
      <c r="L142" s="630"/>
      <c r="M142" s="630"/>
      <c r="N142" s="1">
        <f>IF(C142&gt;0,((J142*Setup_and_Criteria!$F$13)+('M1_1-15th'!K142*Setup_and_Criteria!$F$14)+('M1_1-15th'!L142*Setup_and_Criteria!$F$15)+('M1_1-15th'!M142*Setup_and_Criteria!$F$16)+Setup_and_Criteria!$J$16),0)</f>
        <v>0</v>
      </c>
      <c r="O142" s="442">
        <f t="shared" si="86"/>
        <v>0</v>
      </c>
      <c r="P142" s="443">
        <f t="shared" si="82"/>
        <v>0</v>
      </c>
      <c r="Q142" s="357" t="e">
        <f t="shared" si="83"/>
        <v>#DIV/0!</v>
      </c>
      <c r="R142" s="630"/>
      <c r="S142" s="630"/>
      <c r="T142" s="630"/>
      <c r="U142" s="630"/>
      <c r="V142" s="630"/>
      <c r="W142" s="630"/>
      <c r="X142" s="630"/>
      <c r="Y142" s="630"/>
      <c r="Z142" s="630"/>
      <c r="AA142" s="630"/>
      <c r="AB142" s="1">
        <f t="shared" si="84"/>
        <v>0</v>
      </c>
      <c r="AC142" s="357" t="e">
        <f t="shared" si="85"/>
        <v>#DIV/0!</v>
      </c>
      <c r="AD142" s="864"/>
      <c r="AE142" s="865"/>
      <c r="AF142" s="865"/>
      <c r="AG142" s="866"/>
      <c r="AH142" s="866"/>
      <c r="AI142" s="867"/>
    </row>
    <row r="143" spans="1:35" ht="15.75" thickBot="1" x14ac:dyDescent="0.3">
      <c r="A143" s="638"/>
      <c r="C143" s="370"/>
      <c r="D143" s="370"/>
      <c r="E143" s="630"/>
      <c r="F143" s="630"/>
      <c r="G143" s="264">
        <f t="shared" si="80"/>
        <v>0</v>
      </c>
      <c r="H143" s="442">
        <f t="shared" si="81"/>
        <v>0</v>
      </c>
      <c r="J143" s="371"/>
      <c r="K143" s="371"/>
      <c r="L143" s="371"/>
      <c r="M143" s="371"/>
      <c r="N143" s="358">
        <f>IF(C143&gt;0,((J143*Setup_and_Criteria!$F$13)+('M1_1-15th'!K143*Setup_and_Criteria!$F$14)+('M1_1-15th'!L143*Setup_and_Criteria!$F$15)+('M1_1-15th'!M143*Setup_and_Criteria!$F$16)+Setup_and_Criteria!$J$16),0)</f>
        <v>0</v>
      </c>
      <c r="O143" s="359">
        <f t="shared" si="86"/>
        <v>0</v>
      </c>
      <c r="P143" s="383">
        <f t="shared" si="82"/>
        <v>0</v>
      </c>
      <c r="Q143" s="360" t="e">
        <f t="shared" si="83"/>
        <v>#DIV/0!</v>
      </c>
      <c r="R143" s="511"/>
      <c r="S143" s="511"/>
      <c r="T143" s="511"/>
      <c r="U143" s="511"/>
      <c r="V143" s="511"/>
      <c r="W143" s="511"/>
      <c r="X143" s="511"/>
      <c r="Y143" s="511"/>
      <c r="Z143" s="511"/>
      <c r="AA143" s="511"/>
      <c r="AB143" s="1">
        <f t="shared" si="84"/>
        <v>0</v>
      </c>
      <c r="AC143" s="357" t="e">
        <f t="shared" si="85"/>
        <v>#DIV/0!</v>
      </c>
      <c r="AD143" s="864"/>
      <c r="AE143" s="865"/>
      <c r="AF143" s="865"/>
      <c r="AG143" s="866"/>
      <c r="AH143" s="866"/>
      <c r="AI143" s="867"/>
    </row>
    <row r="144" spans="1:35" ht="15.75" thickTop="1" x14ac:dyDescent="0.25">
      <c r="A144" s="58"/>
      <c r="H144" s="442">
        <f>SUM(H138:H143)</f>
        <v>0</v>
      </c>
      <c r="J144" s="1">
        <f>SUM(J138:J143)</f>
        <v>0</v>
      </c>
      <c r="K144" s="1">
        <f>SUM(K138:K143)</f>
        <v>0</v>
      </c>
      <c r="L144" s="1">
        <f>SUM(L138:L143)</f>
        <v>0</v>
      </c>
      <c r="M144" s="1">
        <f>SUM(M138:M143)</f>
        <v>0</v>
      </c>
      <c r="N144" s="1">
        <f>SUM(N138:N143)</f>
        <v>0</v>
      </c>
      <c r="O144" s="1">
        <f t="shared" si="86"/>
        <v>0</v>
      </c>
      <c r="P144" s="443">
        <f t="shared" si="82"/>
        <v>0</v>
      </c>
      <c r="Q144" s="357" t="e">
        <f t="shared" si="83"/>
        <v>#DIV/0!</v>
      </c>
      <c r="R144" s="1">
        <f t="shared" ref="R144:AA144" si="87">SUM(R138:R143)</f>
        <v>0</v>
      </c>
      <c r="S144" s="1">
        <f t="shared" si="87"/>
        <v>0</v>
      </c>
      <c r="T144" s="1">
        <f t="shared" si="87"/>
        <v>0</v>
      </c>
      <c r="U144" s="1">
        <f t="shared" si="87"/>
        <v>0</v>
      </c>
      <c r="V144" s="1">
        <f t="shared" si="87"/>
        <v>0</v>
      </c>
      <c r="W144" s="1">
        <f t="shared" si="87"/>
        <v>0</v>
      </c>
      <c r="X144" s="1">
        <f t="shared" si="87"/>
        <v>0</v>
      </c>
      <c r="Y144" s="1">
        <f t="shared" si="87"/>
        <v>0</v>
      </c>
      <c r="Z144" s="1">
        <f t="shared" si="87"/>
        <v>0</v>
      </c>
      <c r="AA144" s="1">
        <f t="shared" si="87"/>
        <v>0</v>
      </c>
      <c r="AB144" s="1">
        <f t="shared" si="84"/>
        <v>0</v>
      </c>
      <c r="AC144" s="357" t="e">
        <f t="shared" si="85"/>
        <v>#DIV/0!</v>
      </c>
      <c r="AD144" s="877"/>
      <c r="AE144" s="878"/>
      <c r="AF144" s="878"/>
      <c r="AG144" s="749"/>
      <c r="AH144" s="749"/>
      <c r="AI144" s="879"/>
    </row>
    <row r="145" spans="1:35" ht="21" customHeight="1" x14ac:dyDescent="0.35">
      <c r="A145" s="58"/>
      <c r="H145" s="442"/>
      <c r="N145" s="888" t="s">
        <v>145</v>
      </c>
      <c r="O145" s="888"/>
      <c r="P145" s="888"/>
      <c r="Q145" s="888"/>
      <c r="R145" s="431" t="s">
        <v>146</v>
      </c>
      <c r="S145" s="431"/>
      <c r="T145" s="431"/>
      <c r="U145" s="431"/>
      <c r="V145" s="431"/>
      <c r="W145" s="431"/>
      <c r="X145" s="431"/>
      <c r="Y145" s="431"/>
      <c r="Z145" s="431"/>
      <c r="AA145" s="431"/>
      <c r="AB145" s="431"/>
      <c r="AC145" s="431"/>
      <c r="AD145" s="880" t="s">
        <v>132</v>
      </c>
      <c r="AE145" s="881"/>
      <c r="AF145" s="881"/>
      <c r="AG145" s="881"/>
      <c r="AH145" s="881"/>
      <c r="AI145" s="882"/>
    </row>
    <row r="146" spans="1:35" ht="31.5" customHeight="1" x14ac:dyDescent="0.35">
      <c r="A146" s="617" t="s">
        <v>147</v>
      </c>
      <c r="C146" s="885" t="s">
        <v>128</v>
      </c>
      <c r="D146" s="885"/>
      <c r="E146" s="885"/>
      <c r="F146" s="885"/>
      <c r="H146" s="442"/>
      <c r="J146" s="444"/>
      <c r="K146" s="445" t="s">
        <v>35</v>
      </c>
      <c r="L146" s="445" t="s">
        <v>148</v>
      </c>
      <c r="N146" s="446" t="s">
        <v>149</v>
      </c>
      <c r="O146" s="447" t="s">
        <v>150</v>
      </c>
      <c r="P146" s="447" t="s">
        <v>138</v>
      </c>
      <c r="Q146" s="447" t="s">
        <v>151</v>
      </c>
      <c r="R146" s="749" t="s">
        <v>152</v>
      </c>
      <c r="S146" s="749"/>
      <c r="T146" s="883" t="s">
        <v>153</v>
      </c>
      <c r="U146" s="883"/>
      <c r="W146" s="425" t="s">
        <v>154</v>
      </c>
      <c r="X146" s="425"/>
      <c r="Y146" s="425"/>
      <c r="Z146" s="425"/>
      <c r="AA146" s="425"/>
      <c r="AB146" s="425"/>
      <c r="AC146" s="425"/>
      <c r="AD146" s="868" t="s">
        <v>160</v>
      </c>
      <c r="AE146" s="869"/>
      <c r="AF146" s="869"/>
      <c r="AG146" s="869"/>
      <c r="AH146" s="869"/>
      <c r="AI146" s="870"/>
    </row>
    <row r="147" spans="1:35" ht="18" customHeight="1" thickBot="1" x14ac:dyDescent="0.3">
      <c r="A147" s="639"/>
      <c r="B147" s="375"/>
      <c r="C147" s="372"/>
      <c r="D147" s="372"/>
      <c r="E147" s="372"/>
      <c r="F147" s="372"/>
      <c r="G147" s="366">
        <f>+(D147-C147)+(F147-E147)</f>
        <v>0</v>
      </c>
      <c r="H147" s="367">
        <f>+G147*1440</f>
        <v>0</v>
      </c>
      <c r="I147" s="859" t="s">
        <v>155</v>
      </c>
      <c r="J147" s="860"/>
      <c r="K147" s="373"/>
      <c r="L147" s="374"/>
      <c r="M147" s="423"/>
      <c r="N147" s="629">
        <f>+J144+L144+K144+K147+L147</f>
        <v>0</v>
      </c>
      <c r="O147" s="368">
        <f>+(Setup_and_Criteria!$K$31+(J144*Setup_and_Criteria!$F$20)+('M1_1-15th'!K144*Setup_and_Criteria!$F$21)+('M1_1-15th'!L144*Setup_and_Criteria!$F$20))+T147+(K147*Setup_and_Criteria!$F$21)+(Setup_and_Criteria!$F$22*'M1_1-15th'!L147)</f>
        <v>75</v>
      </c>
      <c r="P147" s="367">
        <f>+H147</f>
        <v>0</v>
      </c>
      <c r="Q147" s="367">
        <f>+O147-P147</f>
        <v>75</v>
      </c>
      <c r="R147" s="861"/>
      <c r="S147" s="861"/>
      <c r="T147" s="862"/>
      <c r="U147" s="863"/>
      <c r="V147" s="265" t="s">
        <v>156</v>
      </c>
      <c r="W147" s="854"/>
      <c r="X147" s="855"/>
      <c r="Y147" s="855"/>
      <c r="Z147" s="855"/>
      <c r="AA147" s="855"/>
      <c r="AB147" s="855"/>
      <c r="AC147" s="855"/>
      <c r="AD147" s="868"/>
      <c r="AE147" s="869"/>
      <c r="AF147" s="869"/>
      <c r="AG147" s="869"/>
      <c r="AH147" s="869"/>
      <c r="AI147" s="870"/>
    </row>
    <row r="148" spans="1:35" ht="15.75" thickBot="1" x14ac:dyDescent="0.3">
      <c r="A148" s="449" t="str">
        <f>+A135</f>
        <v>Password to enter data = "Enter Info"</v>
      </c>
      <c r="B148" s="450"/>
      <c r="C148" s="451"/>
      <c r="D148" s="451"/>
      <c r="E148" s="451"/>
      <c r="F148" s="451"/>
      <c r="G148" s="451"/>
      <c r="H148" s="451"/>
      <c r="I148" s="450"/>
      <c r="J148" s="451"/>
      <c r="K148" s="451"/>
      <c r="L148" s="451"/>
      <c r="M148" s="451"/>
      <c r="N148" s="451"/>
      <c r="O148" s="451"/>
      <c r="P148" s="451"/>
      <c r="Q148" s="450"/>
      <c r="R148" s="451"/>
      <c r="S148" s="451"/>
      <c r="T148" s="451"/>
      <c r="U148" s="451"/>
      <c r="V148" s="451"/>
      <c r="W148" s="451"/>
      <c r="X148" s="451"/>
      <c r="Y148" s="451"/>
      <c r="Z148" s="451"/>
      <c r="AA148" s="451"/>
      <c r="AB148" s="450"/>
      <c r="AC148" s="450"/>
      <c r="AD148" s="871"/>
      <c r="AE148" s="872"/>
      <c r="AF148" s="872"/>
      <c r="AG148" s="872"/>
      <c r="AH148" s="872"/>
      <c r="AI148" s="873"/>
    </row>
    <row r="149" spans="1:35" ht="35.25" customHeight="1" x14ac:dyDescent="0.4">
      <c r="A149" s="434" t="str">
        <f>+A136</f>
        <v>April</v>
      </c>
      <c r="B149" s="624">
        <f>+B136+1</f>
        <v>27</v>
      </c>
      <c r="C149" s="884" t="s">
        <v>128</v>
      </c>
      <c r="D149" s="884"/>
      <c r="E149" s="884"/>
      <c r="F149" s="884"/>
      <c r="G149" s="377"/>
      <c r="H149" s="377"/>
      <c r="I149" s="21"/>
      <c r="J149" s="874" t="s">
        <v>129</v>
      </c>
      <c r="K149" s="875"/>
      <c r="L149" s="875"/>
      <c r="M149" s="875"/>
      <c r="N149" s="876" t="s">
        <v>130</v>
      </c>
      <c r="O149" s="876"/>
      <c r="P149" s="876"/>
      <c r="Q149" s="876"/>
      <c r="R149" s="424" t="str">
        <f>+R136</f>
        <v xml:space="preserve"> Corrections Tracking - Check out rooms</v>
      </c>
      <c r="S149" s="424"/>
      <c r="T149" s="424"/>
      <c r="U149" s="424"/>
      <c r="V149" s="424"/>
      <c r="W149" s="424"/>
      <c r="X149" s="424"/>
      <c r="Y149" s="424"/>
      <c r="Z149" s="424"/>
      <c r="AA149" s="424"/>
      <c r="AB149" s="424"/>
      <c r="AC149" s="424"/>
      <c r="AD149" s="461" t="s">
        <v>132</v>
      </c>
      <c r="AE149" s="426"/>
      <c r="AF149" s="426"/>
      <c r="AG149" s="426"/>
      <c r="AH149" s="426"/>
      <c r="AI149" s="427"/>
    </row>
    <row r="150" spans="1:35" ht="59.25" customHeight="1" x14ac:dyDescent="0.25">
      <c r="A150" s="378" t="s">
        <v>133</v>
      </c>
      <c r="C150" s="435" t="s">
        <v>134</v>
      </c>
      <c r="D150" s="435" t="s">
        <v>135</v>
      </c>
      <c r="E150" s="435" t="s">
        <v>134</v>
      </c>
      <c r="F150" s="435" t="s">
        <v>135</v>
      </c>
      <c r="G150" s="1" t="s">
        <v>136</v>
      </c>
      <c r="H150" s="1" t="s">
        <v>108</v>
      </c>
      <c r="I150" s="436"/>
      <c r="J150" s="437" t="str">
        <f>+Setup_and_Criteria!$B$13</f>
        <v>Checkouts</v>
      </c>
      <c r="K150" s="437" t="str">
        <f>+Setup_and_Criteria!$B$14</f>
        <v>Pet Rooms</v>
      </c>
      <c r="L150" s="437" t="str">
        <f>+Setup_and_Criteria!$B$15</f>
        <v>2 Rm &amp; Jac Stes</v>
      </c>
      <c r="M150" s="438" t="str">
        <f>+Setup_and_Criteria!$B$16</f>
        <v>Stayovers</v>
      </c>
      <c r="N150" s="269" t="s">
        <v>137</v>
      </c>
      <c r="O150" s="269" t="s">
        <v>138</v>
      </c>
      <c r="P150" s="439" t="s">
        <v>139</v>
      </c>
      <c r="Q150" s="439" t="s">
        <v>140</v>
      </c>
      <c r="R150" s="440" t="str">
        <f>+Corrections!$C$8</f>
        <v>Vanity</v>
      </c>
      <c r="S150" s="440" t="str">
        <f>+Corrections!$I$8</f>
        <v>Toilet</v>
      </c>
      <c r="T150" s="440" t="str">
        <f>+Corrections!$O$8</f>
        <v>Bed/Pillows</v>
      </c>
      <c r="U150" s="440" t="str">
        <f>+Corrections!$U$8</f>
        <v>Floor</v>
      </c>
      <c r="V150" s="440" t="str">
        <f>+Corrections!$AA$8</f>
        <v>Dusting</v>
      </c>
      <c r="W150" s="440" t="str">
        <f>+Corrections!$AG$8</f>
        <v>Fridge/Micro</v>
      </c>
      <c r="X150" s="440" t="str">
        <f>+Corrections!$AM$8</f>
        <v>Tub</v>
      </c>
      <c r="Y150" s="441" t="str">
        <f>+Corrections!$AS$8</f>
        <v>Mirrors/Glass</v>
      </c>
      <c r="Z150" s="440" t="str">
        <f>+Corrections!$AY$8</f>
        <v>Stocking</v>
      </c>
      <c r="AA150" s="440" t="str">
        <f>+Corrections!$BE$8</f>
        <v>Other</v>
      </c>
      <c r="AB150" s="269" t="s">
        <v>141</v>
      </c>
      <c r="AC150" s="269" t="str">
        <f>+$AC$7</f>
        <v>Daily Corr / Inspected Checkout</v>
      </c>
      <c r="AD150" s="889" t="s">
        <v>143</v>
      </c>
      <c r="AE150" s="890"/>
      <c r="AF150" s="890"/>
      <c r="AG150" s="890"/>
      <c r="AH150" s="890"/>
      <c r="AI150" s="891"/>
    </row>
    <row r="151" spans="1:35" x14ac:dyDescent="0.25">
      <c r="A151" s="638"/>
      <c r="C151" s="369"/>
      <c r="D151" s="369"/>
      <c r="E151" s="369"/>
      <c r="F151" s="369"/>
      <c r="G151" s="264">
        <f t="shared" ref="G151:G156" si="88">+(D151-C151)+(F151-E151)</f>
        <v>0</v>
      </c>
      <c r="H151" s="442">
        <f t="shared" ref="H151:H156" si="89">+G151*1440</f>
        <v>0</v>
      </c>
      <c r="J151" s="630"/>
      <c r="K151" s="630"/>
      <c r="L151" s="630"/>
      <c r="M151" s="630"/>
      <c r="N151" s="1">
        <f>IF(C151&gt;0,((J151*Setup_and_Criteria!$F$13)+('M1_1-15th'!K151*Setup_and_Criteria!$F$14)+('M1_1-15th'!L151*Setup_and_Criteria!$F$15)+('M1_1-15th'!M151*Setup_and_Criteria!$F$16)+Setup_and_Criteria!$J$16),0)</f>
        <v>0</v>
      </c>
      <c r="O151" s="442">
        <f>+H151</f>
        <v>0</v>
      </c>
      <c r="P151" s="443">
        <f t="shared" ref="P151:P157" si="90">+N151-O151</f>
        <v>0</v>
      </c>
      <c r="Q151" s="357" t="e">
        <f t="shared" ref="Q151:Q157" si="91">O151/_xlfn.SINGLE(SUM(J151:M151))</f>
        <v>#DIV/0!</v>
      </c>
      <c r="R151" s="630"/>
      <c r="S151" s="630"/>
      <c r="T151" s="630"/>
      <c r="U151" s="630"/>
      <c r="V151" s="630"/>
      <c r="W151" s="630"/>
      <c r="X151" s="630"/>
      <c r="Y151" s="630"/>
      <c r="Z151" s="630"/>
      <c r="AA151" s="630"/>
      <c r="AB151" s="1">
        <f t="shared" ref="AB151:AB157" si="92">SUM(R151:AA151)</f>
        <v>0</v>
      </c>
      <c r="AC151" s="357" t="e">
        <f t="shared" ref="AC151:AC157" si="93">+AB151/(J151+K151+L151)</f>
        <v>#DIV/0!</v>
      </c>
      <c r="AD151" s="864" t="s">
        <v>144</v>
      </c>
      <c r="AE151" s="865"/>
      <c r="AF151" s="865"/>
      <c r="AG151" s="866"/>
      <c r="AH151" s="866"/>
      <c r="AI151" s="867"/>
    </row>
    <row r="152" spans="1:35" x14ac:dyDescent="0.25">
      <c r="A152" s="638"/>
      <c r="C152" s="369"/>
      <c r="D152" s="369"/>
      <c r="E152" s="630"/>
      <c r="F152" s="630"/>
      <c r="G152" s="264">
        <f t="shared" si="88"/>
        <v>0</v>
      </c>
      <c r="H152" s="442">
        <f t="shared" si="89"/>
        <v>0</v>
      </c>
      <c r="J152" s="630"/>
      <c r="K152" s="630"/>
      <c r="L152" s="630"/>
      <c r="M152" s="630"/>
      <c r="N152" s="1">
        <f>IF(C152&gt;0,((J152*Setup_and_Criteria!$F$13)+('M1_1-15th'!K152*Setup_and_Criteria!$F$14)+('M1_1-15th'!L152*Setup_and_Criteria!$F$15)+('M1_1-15th'!M152*Setup_and_Criteria!$F$16)+Setup_and_Criteria!$J$16),0)</f>
        <v>0</v>
      </c>
      <c r="O152" s="442">
        <f t="shared" ref="O152:O157" si="94">+H152</f>
        <v>0</v>
      </c>
      <c r="P152" s="443">
        <f t="shared" si="90"/>
        <v>0</v>
      </c>
      <c r="Q152" s="357" t="e">
        <f t="shared" si="91"/>
        <v>#DIV/0!</v>
      </c>
      <c r="R152" s="630"/>
      <c r="S152" s="630"/>
      <c r="T152" s="630"/>
      <c r="U152" s="630"/>
      <c r="V152" s="630"/>
      <c r="W152" s="630"/>
      <c r="X152" s="630"/>
      <c r="Y152" s="630"/>
      <c r="Z152" s="630"/>
      <c r="AA152" s="630"/>
      <c r="AB152" s="1">
        <f t="shared" si="92"/>
        <v>0</v>
      </c>
      <c r="AC152" s="357" t="e">
        <f t="shared" si="93"/>
        <v>#DIV/0!</v>
      </c>
      <c r="AD152" s="864"/>
      <c r="AE152" s="865"/>
      <c r="AF152" s="865"/>
      <c r="AG152" s="866"/>
      <c r="AH152" s="866"/>
      <c r="AI152" s="867"/>
    </row>
    <row r="153" spans="1:35" x14ac:dyDescent="0.25">
      <c r="A153" s="638"/>
      <c r="C153" s="630"/>
      <c r="D153" s="630"/>
      <c r="E153" s="630"/>
      <c r="F153" s="630"/>
      <c r="G153" s="264">
        <f t="shared" si="88"/>
        <v>0</v>
      </c>
      <c r="H153" s="442">
        <f t="shared" si="89"/>
        <v>0</v>
      </c>
      <c r="J153" s="630"/>
      <c r="K153" s="630"/>
      <c r="L153" s="630"/>
      <c r="M153" s="630"/>
      <c r="N153" s="1">
        <f>IF(C153&gt;0,((J153*Setup_and_Criteria!$F$13)+('M1_1-15th'!K153*Setup_and_Criteria!$F$14)+('M1_1-15th'!L153*Setup_and_Criteria!$F$15)+('M1_1-15th'!M153*Setup_and_Criteria!$F$16)+Setup_and_Criteria!$J$16),0)</f>
        <v>0</v>
      </c>
      <c r="O153" s="442">
        <f t="shared" si="94"/>
        <v>0</v>
      </c>
      <c r="P153" s="443">
        <f t="shared" si="90"/>
        <v>0</v>
      </c>
      <c r="Q153" s="357" t="e">
        <f t="shared" si="91"/>
        <v>#DIV/0!</v>
      </c>
      <c r="R153" s="630"/>
      <c r="S153" s="630"/>
      <c r="T153" s="630"/>
      <c r="U153" s="630"/>
      <c r="V153" s="630"/>
      <c r="W153" s="630"/>
      <c r="X153" s="630"/>
      <c r="Y153" s="630"/>
      <c r="Z153" s="630"/>
      <c r="AA153" s="630"/>
      <c r="AB153" s="1">
        <f t="shared" si="92"/>
        <v>0</v>
      </c>
      <c r="AC153" s="357" t="e">
        <f t="shared" si="93"/>
        <v>#DIV/0!</v>
      </c>
      <c r="AD153" s="864"/>
      <c r="AE153" s="865"/>
      <c r="AF153" s="865"/>
      <c r="AG153" s="866"/>
      <c r="AH153" s="866"/>
      <c r="AI153" s="867"/>
    </row>
    <row r="154" spans="1:35" x14ac:dyDescent="0.25">
      <c r="A154" s="638"/>
      <c r="C154" s="630"/>
      <c r="D154" s="630"/>
      <c r="E154" s="630"/>
      <c r="F154" s="630"/>
      <c r="G154" s="264">
        <f t="shared" si="88"/>
        <v>0</v>
      </c>
      <c r="H154" s="442">
        <f t="shared" si="89"/>
        <v>0</v>
      </c>
      <c r="J154" s="630"/>
      <c r="K154" s="630"/>
      <c r="L154" s="630"/>
      <c r="M154" s="630"/>
      <c r="N154" s="1">
        <f>IF(C154&gt;0,((J154*Setup_and_Criteria!$F$13)+('M1_1-15th'!K154*Setup_and_Criteria!$F$14)+('M1_1-15th'!L154*Setup_and_Criteria!$F$15)+('M1_1-15th'!M154*Setup_and_Criteria!$F$16)+Setup_and_Criteria!$J$16),0)</f>
        <v>0</v>
      </c>
      <c r="O154" s="442">
        <f t="shared" si="94"/>
        <v>0</v>
      </c>
      <c r="P154" s="443">
        <f t="shared" si="90"/>
        <v>0</v>
      </c>
      <c r="Q154" s="357" t="e">
        <f t="shared" si="91"/>
        <v>#DIV/0!</v>
      </c>
      <c r="R154" s="630"/>
      <c r="S154" s="630"/>
      <c r="T154" s="630"/>
      <c r="U154" s="630"/>
      <c r="V154" s="630"/>
      <c r="W154" s="630"/>
      <c r="X154" s="630"/>
      <c r="Y154" s="630"/>
      <c r="Z154" s="630"/>
      <c r="AA154" s="630"/>
      <c r="AB154" s="1">
        <f t="shared" si="92"/>
        <v>0</v>
      </c>
      <c r="AC154" s="357" t="e">
        <f t="shared" si="93"/>
        <v>#DIV/0!</v>
      </c>
      <c r="AD154" s="864"/>
      <c r="AE154" s="865"/>
      <c r="AF154" s="865"/>
      <c r="AG154" s="866"/>
      <c r="AH154" s="866"/>
      <c r="AI154" s="867"/>
    </row>
    <row r="155" spans="1:35" x14ac:dyDescent="0.25">
      <c r="A155" s="638"/>
      <c r="C155" s="630"/>
      <c r="D155" s="630"/>
      <c r="E155" s="630"/>
      <c r="F155" s="630"/>
      <c r="G155" s="264">
        <f t="shared" si="88"/>
        <v>0</v>
      </c>
      <c r="H155" s="442">
        <f t="shared" si="89"/>
        <v>0</v>
      </c>
      <c r="J155" s="630"/>
      <c r="K155" s="630"/>
      <c r="L155" s="630"/>
      <c r="M155" s="630"/>
      <c r="N155" s="1">
        <f>IF(C155&gt;0,((J155*Setup_and_Criteria!$F$13)+('M1_1-15th'!K155*Setup_and_Criteria!$F$14)+('M1_1-15th'!L155*Setup_and_Criteria!$F$15)+('M1_1-15th'!M155*Setup_and_Criteria!$F$16)+Setup_and_Criteria!$J$16),0)</f>
        <v>0</v>
      </c>
      <c r="O155" s="442">
        <f t="shared" si="94"/>
        <v>0</v>
      </c>
      <c r="P155" s="443">
        <f t="shared" si="90"/>
        <v>0</v>
      </c>
      <c r="Q155" s="357" t="e">
        <f t="shared" si="91"/>
        <v>#DIV/0!</v>
      </c>
      <c r="R155" s="630"/>
      <c r="S155" s="630"/>
      <c r="T155" s="630"/>
      <c r="U155" s="630"/>
      <c r="V155" s="630"/>
      <c r="W155" s="630"/>
      <c r="X155" s="630"/>
      <c r="Y155" s="630"/>
      <c r="Z155" s="630"/>
      <c r="AA155" s="630"/>
      <c r="AB155" s="1">
        <f t="shared" si="92"/>
        <v>0</v>
      </c>
      <c r="AC155" s="357" t="e">
        <f t="shared" si="93"/>
        <v>#DIV/0!</v>
      </c>
      <c r="AD155" s="864"/>
      <c r="AE155" s="865"/>
      <c r="AF155" s="865"/>
      <c r="AG155" s="866"/>
      <c r="AH155" s="866"/>
      <c r="AI155" s="867"/>
    </row>
    <row r="156" spans="1:35" ht="15.75" thickBot="1" x14ac:dyDescent="0.3">
      <c r="A156" s="638"/>
      <c r="C156" s="370"/>
      <c r="D156" s="370"/>
      <c r="E156" s="630"/>
      <c r="F156" s="630"/>
      <c r="G156" s="264">
        <f t="shared" si="88"/>
        <v>0</v>
      </c>
      <c r="H156" s="442">
        <f t="shared" si="89"/>
        <v>0</v>
      </c>
      <c r="J156" s="371"/>
      <c r="K156" s="371"/>
      <c r="L156" s="371"/>
      <c r="M156" s="371"/>
      <c r="N156" s="358">
        <f>IF(C156&gt;0,((J156*Setup_and_Criteria!$F$13)+('M1_1-15th'!K156*Setup_and_Criteria!$F$14)+('M1_1-15th'!L156*Setup_and_Criteria!$F$15)+('M1_1-15th'!M156*Setup_and_Criteria!$F$16)+Setup_and_Criteria!$J$16),0)</f>
        <v>0</v>
      </c>
      <c r="O156" s="359">
        <f t="shared" si="94"/>
        <v>0</v>
      </c>
      <c r="P156" s="383">
        <f t="shared" si="90"/>
        <v>0</v>
      </c>
      <c r="Q156" s="360" t="e">
        <f t="shared" si="91"/>
        <v>#DIV/0!</v>
      </c>
      <c r="R156" s="511"/>
      <c r="S156" s="511"/>
      <c r="T156" s="511"/>
      <c r="U156" s="511"/>
      <c r="V156" s="511"/>
      <c r="W156" s="511"/>
      <c r="X156" s="511"/>
      <c r="Y156" s="511"/>
      <c r="Z156" s="511"/>
      <c r="AA156" s="511"/>
      <c r="AB156" s="1">
        <f t="shared" si="92"/>
        <v>0</v>
      </c>
      <c r="AC156" s="357" t="e">
        <f t="shared" si="93"/>
        <v>#DIV/0!</v>
      </c>
      <c r="AD156" s="864"/>
      <c r="AE156" s="865"/>
      <c r="AF156" s="865"/>
      <c r="AG156" s="866"/>
      <c r="AH156" s="866"/>
      <c r="AI156" s="867"/>
    </row>
    <row r="157" spans="1:35" ht="15.75" thickTop="1" x14ac:dyDescent="0.25">
      <c r="A157" s="58"/>
      <c r="H157" s="442">
        <f>SUM(H151:H156)</f>
        <v>0</v>
      </c>
      <c r="J157" s="1">
        <f>SUM(J151:J156)</f>
        <v>0</v>
      </c>
      <c r="K157" s="1">
        <f>SUM(K151:K156)</f>
        <v>0</v>
      </c>
      <c r="L157" s="1">
        <f>SUM(L151:L156)</f>
        <v>0</v>
      </c>
      <c r="M157" s="1">
        <f>SUM(M151:M156)</f>
        <v>0</v>
      </c>
      <c r="N157" s="1">
        <f>SUM(N151:N156)</f>
        <v>0</v>
      </c>
      <c r="O157" s="1">
        <f t="shared" si="94"/>
        <v>0</v>
      </c>
      <c r="P157" s="443">
        <f t="shared" si="90"/>
        <v>0</v>
      </c>
      <c r="Q157" s="357" t="e">
        <f t="shared" si="91"/>
        <v>#DIV/0!</v>
      </c>
      <c r="R157" s="1">
        <f t="shared" ref="R157:AA157" si="95">SUM(R151:R156)</f>
        <v>0</v>
      </c>
      <c r="S157" s="1">
        <f t="shared" si="95"/>
        <v>0</v>
      </c>
      <c r="T157" s="1">
        <f t="shared" si="95"/>
        <v>0</v>
      </c>
      <c r="U157" s="1">
        <f t="shared" si="95"/>
        <v>0</v>
      </c>
      <c r="V157" s="1">
        <f t="shared" si="95"/>
        <v>0</v>
      </c>
      <c r="W157" s="1">
        <f t="shared" si="95"/>
        <v>0</v>
      </c>
      <c r="X157" s="1">
        <f t="shared" si="95"/>
        <v>0</v>
      </c>
      <c r="Y157" s="1">
        <f t="shared" si="95"/>
        <v>0</v>
      </c>
      <c r="Z157" s="1">
        <f t="shared" si="95"/>
        <v>0</v>
      </c>
      <c r="AA157" s="1">
        <f t="shared" si="95"/>
        <v>0</v>
      </c>
      <c r="AB157" s="1">
        <f t="shared" si="92"/>
        <v>0</v>
      </c>
      <c r="AC157" s="357" t="e">
        <f t="shared" si="93"/>
        <v>#DIV/0!</v>
      </c>
      <c r="AD157" s="877"/>
      <c r="AE157" s="878"/>
      <c r="AF157" s="878"/>
      <c r="AG157" s="749"/>
      <c r="AH157" s="749"/>
      <c r="AI157" s="879"/>
    </row>
    <row r="158" spans="1:35" ht="21" customHeight="1" x14ac:dyDescent="0.35">
      <c r="A158" s="58"/>
      <c r="H158" s="442"/>
      <c r="N158" s="888" t="s">
        <v>145</v>
      </c>
      <c r="O158" s="888"/>
      <c r="P158" s="888"/>
      <c r="Q158" s="888"/>
      <c r="R158" s="431" t="s">
        <v>146</v>
      </c>
      <c r="S158" s="431"/>
      <c r="T158" s="431"/>
      <c r="U158" s="431"/>
      <c r="V158" s="431"/>
      <c r="W158" s="431"/>
      <c r="X158" s="431"/>
      <c r="Y158" s="431"/>
      <c r="Z158" s="431"/>
      <c r="AA158" s="431"/>
      <c r="AB158" s="431"/>
      <c r="AC158" s="431"/>
      <c r="AD158" s="880" t="s">
        <v>132</v>
      </c>
      <c r="AE158" s="881"/>
      <c r="AF158" s="881"/>
      <c r="AG158" s="881"/>
      <c r="AH158" s="881"/>
      <c r="AI158" s="882"/>
    </row>
    <row r="159" spans="1:35" ht="31.5" customHeight="1" x14ac:dyDescent="0.35">
      <c r="A159" s="617" t="s">
        <v>147</v>
      </c>
      <c r="C159" s="885" t="s">
        <v>128</v>
      </c>
      <c r="D159" s="885"/>
      <c r="E159" s="885"/>
      <c r="F159" s="885"/>
      <c r="H159" s="442"/>
      <c r="J159" s="444"/>
      <c r="K159" s="445" t="s">
        <v>35</v>
      </c>
      <c r="L159" s="445" t="s">
        <v>148</v>
      </c>
      <c r="N159" s="446" t="s">
        <v>149</v>
      </c>
      <c r="O159" s="447" t="s">
        <v>150</v>
      </c>
      <c r="P159" s="447" t="s">
        <v>138</v>
      </c>
      <c r="Q159" s="447" t="s">
        <v>151</v>
      </c>
      <c r="R159" s="749" t="s">
        <v>152</v>
      </c>
      <c r="S159" s="749"/>
      <c r="T159" s="883" t="s">
        <v>153</v>
      </c>
      <c r="U159" s="883"/>
      <c r="W159" s="425" t="s">
        <v>154</v>
      </c>
      <c r="X159" s="425"/>
      <c r="Y159" s="425"/>
      <c r="Z159" s="425"/>
      <c r="AA159" s="425"/>
      <c r="AB159" s="425"/>
      <c r="AC159" s="425"/>
      <c r="AD159" s="868" t="s">
        <v>160</v>
      </c>
      <c r="AE159" s="869"/>
      <c r="AF159" s="869"/>
      <c r="AG159" s="869"/>
      <c r="AH159" s="869"/>
      <c r="AI159" s="870"/>
    </row>
    <row r="160" spans="1:35" ht="18" customHeight="1" thickBot="1" x14ac:dyDescent="0.3">
      <c r="A160" s="639" t="s">
        <v>67</v>
      </c>
      <c r="B160" s="375"/>
      <c r="C160" s="372"/>
      <c r="D160" s="372"/>
      <c r="E160" s="372"/>
      <c r="F160" s="372"/>
      <c r="G160" s="366">
        <f>+(D160-C160)+(F160-E160)</f>
        <v>0</v>
      </c>
      <c r="H160" s="367">
        <f>+G160*1440</f>
        <v>0</v>
      </c>
      <c r="I160" s="859" t="s">
        <v>155</v>
      </c>
      <c r="J160" s="860"/>
      <c r="K160" s="373"/>
      <c r="L160" s="374"/>
      <c r="M160" s="423"/>
      <c r="N160" s="629">
        <f>+J157+L157+K157+K160+L160</f>
        <v>0</v>
      </c>
      <c r="O160" s="368">
        <f>+(Setup_and_Criteria!$K$31+(J157*Setup_and_Criteria!$F$20)+('M1_1-15th'!K157*Setup_and_Criteria!$F$21)+('M1_1-15th'!L157*Setup_and_Criteria!$F$20))+T160+(K160*Setup_and_Criteria!$F$21)+(Setup_and_Criteria!$F$22*'M1_1-15th'!L160)</f>
        <v>75</v>
      </c>
      <c r="P160" s="367">
        <f>+H160</f>
        <v>0</v>
      </c>
      <c r="Q160" s="367">
        <f>+O160-P160</f>
        <v>75</v>
      </c>
      <c r="R160" s="861"/>
      <c r="S160" s="861"/>
      <c r="T160" s="862"/>
      <c r="U160" s="863"/>
      <c r="V160" s="265" t="s">
        <v>156</v>
      </c>
      <c r="W160" s="854"/>
      <c r="X160" s="855"/>
      <c r="Y160" s="855"/>
      <c r="Z160" s="855"/>
      <c r="AA160" s="855"/>
      <c r="AB160" s="855"/>
      <c r="AC160" s="855"/>
      <c r="AD160" s="868"/>
      <c r="AE160" s="869"/>
      <c r="AF160" s="869"/>
      <c r="AG160" s="869"/>
      <c r="AH160" s="869"/>
      <c r="AI160" s="870"/>
    </row>
    <row r="161" spans="1:35" ht="15.75" thickBot="1" x14ac:dyDescent="0.3">
      <c r="A161" s="449" t="str">
        <f>+A148</f>
        <v>Password to enter data = "Enter Info"</v>
      </c>
      <c r="B161" s="450"/>
      <c r="C161" s="451"/>
      <c r="D161" s="451"/>
      <c r="E161" s="451"/>
      <c r="F161" s="451"/>
      <c r="G161" s="451"/>
      <c r="H161" s="451"/>
      <c r="I161" s="450"/>
      <c r="J161" s="451"/>
      <c r="K161" s="451"/>
      <c r="L161" s="451"/>
      <c r="M161" s="451"/>
      <c r="N161" s="451"/>
      <c r="O161" s="451"/>
      <c r="P161" s="451"/>
      <c r="Q161" s="450"/>
      <c r="R161" s="451"/>
      <c r="S161" s="451"/>
      <c r="T161" s="451"/>
      <c r="U161" s="451"/>
      <c r="V161" s="451"/>
      <c r="W161" s="451"/>
      <c r="X161" s="451"/>
      <c r="Y161" s="451"/>
      <c r="Z161" s="451"/>
      <c r="AA161" s="451"/>
      <c r="AB161" s="450"/>
      <c r="AC161" s="450"/>
      <c r="AD161" s="871"/>
      <c r="AE161" s="872"/>
      <c r="AF161" s="872"/>
      <c r="AG161" s="872"/>
      <c r="AH161" s="872"/>
      <c r="AI161" s="873"/>
    </row>
    <row r="162" spans="1:35" ht="35.25" customHeight="1" x14ac:dyDescent="0.4">
      <c r="A162" s="434" t="str">
        <f>+A149</f>
        <v>April</v>
      </c>
      <c r="B162" s="624">
        <f>+B149+1</f>
        <v>28</v>
      </c>
      <c r="C162" s="884" t="s">
        <v>128</v>
      </c>
      <c r="D162" s="884"/>
      <c r="E162" s="884"/>
      <c r="F162" s="884"/>
      <c r="G162" s="377"/>
      <c r="H162" s="377"/>
      <c r="I162" s="21"/>
      <c r="J162" s="874" t="s">
        <v>129</v>
      </c>
      <c r="K162" s="875"/>
      <c r="L162" s="875"/>
      <c r="M162" s="875"/>
      <c r="N162" s="876" t="s">
        <v>130</v>
      </c>
      <c r="O162" s="876"/>
      <c r="P162" s="876"/>
      <c r="Q162" s="876"/>
      <c r="R162" s="424" t="str">
        <f>+R149</f>
        <v xml:space="preserve"> Corrections Tracking - Check out rooms</v>
      </c>
      <c r="S162" s="424"/>
      <c r="T162" s="424"/>
      <c r="U162" s="424"/>
      <c r="V162" s="424"/>
      <c r="W162" s="424"/>
      <c r="X162" s="424"/>
      <c r="Y162" s="424"/>
      <c r="Z162" s="424"/>
      <c r="AA162" s="424"/>
      <c r="AB162" s="424"/>
      <c r="AC162" s="424"/>
      <c r="AD162" s="461" t="s">
        <v>132</v>
      </c>
      <c r="AE162" s="426"/>
      <c r="AF162" s="426"/>
      <c r="AG162" s="426"/>
      <c r="AH162" s="426"/>
      <c r="AI162" s="427"/>
    </row>
    <row r="163" spans="1:35" ht="59.25" customHeight="1" x14ac:dyDescent="0.25">
      <c r="A163" s="378" t="s">
        <v>133</v>
      </c>
      <c r="C163" s="435" t="s">
        <v>134</v>
      </c>
      <c r="D163" s="435" t="s">
        <v>135</v>
      </c>
      <c r="E163" s="435" t="s">
        <v>134</v>
      </c>
      <c r="F163" s="435" t="s">
        <v>135</v>
      </c>
      <c r="G163" s="1" t="s">
        <v>136</v>
      </c>
      <c r="H163" s="1" t="s">
        <v>108</v>
      </c>
      <c r="I163" s="436"/>
      <c r="J163" s="437" t="str">
        <f>+Setup_and_Criteria!$B$13</f>
        <v>Checkouts</v>
      </c>
      <c r="K163" s="437" t="str">
        <f>+Setup_and_Criteria!$B$14</f>
        <v>Pet Rooms</v>
      </c>
      <c r="L163" s="437" t="str">
        <f>+Setup_and_Criteria!$B$15</f>
        <v>2 Rm &amp; Jac Stes</v>
      </c>
      <c r="M163" s="438" t="str">
        <f>+Setup_and_Criteria!$B$16</f>
        <v>Stayovers</v>
      </c>
      <c r="N163" s="269" t="s">
        <v>137</v>
      </c>
      <c r="O163" s="269" t="s">
        <v>138</v>
      </c>
      <c r="P163" s="439" t="s">
        <v>139</v>
      </c>
      <c r="Q163" s="439" t="s">
        <v>140</v>
      </c>
      <c r="R163" s="440" t="str">
        <f>+Corrections!$C$8</f>
        <v>Vanity</v>
      </c>
      <c r="S163" s="440" t="str">
        <f>+Corrections!$I$8</f>
        <v>Toilet</v>
      </c>
      <c r="T163" s="440" t="str">
        <f>+Corrections!$O$8</f>
        <v>Bed/Pillows</v>
      </c>
      <c r="U163" s="440" t="str">
        <f>+Corrections!$U$8</f>
        <v>Floor</v>
      </c>
      <c r="V163" s="440" t="str">
        <f>+Corrections!$AA$8</f>
        <v>Dusting</v>
      </c>
      <c r="W163" s="440" t="str">
        <f>+Corrections!$AG$8</f>
        <v>Fridge/Micro</v>
      </c>
      <c r="X163" s="440" t="str">
        <f>+Corrections!$AM$8</f>
        <v>Tub</v>
      </c>
      <c r="Y163" s="441" t="str">
        <f>+Corrections!$AS$8</f>
        <v>Mirrors/Glass</v>
      </c>
      <c r="Z163" s="440" t="str">
        <f>+Corrections!$AY$8</f>
        <v>Stocking</v>
      </c>
      <c r="AA163" s="440" t="str">
        <f>+Corrections!$BE$8</f>
        <v>Other</v>
      </c>
      <c r="AB163" s="269" t="s">
        <v>141</v>
      </c>
      <c r="AC163" s="269" t="str">
        <f>+$AC$7</f>
        <v>Daily Corr / Inspected Checkout</v>
      </c>
      <c r="AD163" s="889" t="s">
        <v>143</v>
      </c>
      <c r="AE163" s="890"/>
      <c r="AF163" s="890"/>
      <c r="AG163" s="890"/>
      <c r="AH163" s="890"/>
      <c r="AI163" s="891"/>
    </row>
    <row r="164" spans="1:35" x14ac:dyDescent="0.25">
      <c r="A164" s="638"/>
      <c r="C164" s="369"/>
      <c r="D164" s="369"/>
      <c r="E164" s="369"/>
      <c r="F164" s="369"/>
      <c r="G164" s="264">
        <f t="shared" ref="G164:G169" si="96">+(D164-C164)+(F164-E164)</f>
        <v>0</v>
      </c>
      <c r="H164" s="442">
        <f t="shared" ref="H164:H169" si="97">+G164*1440</f>
        <v>0</v>
      </c>
      <c r="J164" s="630"/>
      <c r="K164" s="630"/>
      <c r="L164" s="630"/>
      <c r="M164" s="630"/>
      <c r="N164" s="1">
        <f>IF(C164&gt;0,((J164*Setup_and_Criteria!$F$13)+('M1_1-15th'!K164*Setup_and_Criteria!$F$14)+('M1_1-15th'!L164*Setup_and_Criteria!$F$15)+('M1_1-15th'!M164*Setup_and_Criteria!$F$16)+Setup_and_Criteria!$J$16),0)</f>
        <v>0</v>
      </c>
      <c r="O164" s="442">
        <f>+H164</f>
        <v>0</v>
      </c>
      <c r="P164" s="443">
        <f t="shared" ref="P164:P170" si="98">+N164-O164</f>
        <v>0</v>
      </c>
      <c r="Q164" s="357" t="e">
        <f t="shared" ref="Q164:Q170" si="99">O164/_xlfn.SINGLE(SUM(J164:M164))</f>
        <v>#DIV/0!</v>
      </c>
      <c r="R164" s="630"/>
      <c r="S164" s="630"/>
      <c r="T164" s="630"/>
      <c r="U164" s="630"/>
      <c r="V164" s="630"/>
      <c r="W164" s="630">
        <v>1</v>
      </c>
      <c r="X164" s="630"/>
      <c r="Y164" s="630"/>
      <c r="Z164" s="630"/>
      <c r="AA164" s="630"/>
      <c r="AB164" s="1">
        <f t="shared" ref="AB164:AB170" si="100">SUM(R164:AA164)</f>
        <v>1</v>
      </c>
      <c r="AC164" s="357" t="e">
        <f t="shared" ref="AC164:AC170" si="101">+AB164/(J164+K164+L164)</f>
        <v>#DIV/0!</v>
      </c>
      <c r="AD164" s="864" t="s">
        <v>144</v>
      </c>
      <c r="AE164" s="865"/>
      <c r="AF164" s="865"/>
      <c r="AG164" s="866"/>
      <c r="AH164" s="866"/>
      <c r="AI164" s="867"/>
    </row>
    <row r="165" spans="1:35" x14ac:dyDescent="0.25">
      <c r="A165" s="638"/>
      <c r="C165" s="630"/>
      <c r="D165" s="630"/>
      <c r="E165" s="630"/>
      <c r="F165" s="630"/>
      <c r="G165" s="264">
        <f t="shared" si="96"/>
        <v>0</v>
      </c>
      <c r="H165" s="442">
        <f t="shared" si="97"/>
        <v>0</v>
      </c>
      <c r="J165" s="630"/>
      <c r="K165" s="630"/>
      <c r="L165" s="630"/>
      <c r="M165" s="630"/>
      <c r="N165" s="1">
        <f>IF(C165&gt;0,((J165*Setup_and_Criteria!$F$13)+('M1_1-15th'!K165*Setup_and_Criteria!$F$14)+('M1_1-15th'!L165*Setup_and_Criteria!$F$15)+('M1_1-15th'!M165*Setup_and_Criteria!$F$16)+Setup_and_Criteria!$J$16),0)</f>
        <v>0</v>
      </c>
      <c r="O165" s="442">
        <f t="shared" ref="O165:O170" si="102">+H165</f>
        <v>0</v>
      </c>
      <c r="P165" s="443">
        <f t="shared" si="98"/>
        <v>0</v>
      </c>
      <c r="Q165" s="357" t="e">
        <f t="shared" si="99"/>
        <v>#DIV/0!</v>
      </c>
      <c r="R165" s="630"/>
      <c r="S165" s="630"/>
      <c r="T165" s="630"/>
      <c r="U165" s="630"/>
      <c r="V165" s="630"/>
      <c r="W165" s="630"/>
      <c r="X165" s="630"/>
      <c r="Y165" s="630"/>
      <c r="Z165" s="630"/>
      <c r="AA165" s="630"/>
      <c r="AB165" s="1">
        <f t="shared" si="100"/>
        <v>0</v>
      </c>
      <c r="AC165" s="357" t="e">
        <f t="shared" si="101"/>
        <v>#DIV/0!</v>
      </c>
      <c r="AD165" s="864"/>
      <c r="AE165" s="865"/>
      <c r="AF165" s="865"/>
      <c r="AG165" s="866"/>
      <c r="AH165" s="866"/>
      <c r="AI165" s="867"/>
    </row>
    <row r="166" spans="1:35" x14ac:dyDescent="0.25">
      <c r="A166" s="638"/>
      <c r="C166" s="630"/>
      <c r="D166" s="630"/>
      <c r="E166" s="630"/>
      <c r="F166" s="630"/>
      <c r="G166" s="264">
        <f t="shared" si="96"/>
        <v>0</v>
      </c>
      <c r="H166" s="442">
        <f t="shared" si="97"/>
        <v>0</v>
      </c>
      <c r="J166" s="630"/>
      <c r="K166" s="630"/>
      <c r="L166" s="630"/>
      <c r="M166" s="630"/>
      <c r="N166" s="1">
        <f>IF(C166&gt;0,((J166*Setup_and_Criteria!$F$13)+('M1_1-15th'!K166*Setup_and_Criteria!$F$14)+('M1_1-15th'!L166*Setup_and_Criteria!$F$15)+('M1_1-15th'!M166*Setup_and_Criteria!$F$16)+Setup_and_Criteria!$J$16),0)</f>
        <v>0</v>
      </c>
      <c r="O166" s="442">
        <f t="shared" si="102"/>
        <v>0</v>
      </c>
      <c r="P166" s="443">
        <f t="shared" si="98"/>
        <v>0</v>
      </c>
      <c r="Q166" s="357" t="e">
        <f t="shared" si="99"/>
        <v>#DIV/0!</v>
      </c>
      <c r="R166" s="630"/>
      <c r="S166" s="630"/>
      <c r="T166" s="630"/>
      <c r="U166" s="630"/>
      <c r="V166" s="630"/>
      <c r="W166" s="630"/>
      <c r="X166" s="630"/>
      <c r="Y166" s="630"/>
      <c r="Z166" s="630"/>
      <c r="AA166" s="630"/>
      <c r="AB166" s="1">
        <f t="shared" si="100"/>
        <v>0</v>
      </c>
      <c r="AC166" s="357" t="e">
        <f t="shared" si="101"/>
        <v>#DIV/0!</v>
      </c>
      <c r="AD166" s="864"/>
      <c r="AE166" s="865"/>
      <c r="AF166" s="865"/>
      <c r="AG166" s="866"/>
      <c r="AH166" s="866"/>
      <c r="AI166" s="867"/>
    </row>
    <row r="167" spans="1:35" x14ac:dyDescent="0.25">
      <c r="A167" s="638"/>
      <c r="C167" s="630"/>
      <c r="D167" s="630"/>
      <c r="E167" s="630"/>
      <c r="F167" s="630"/>
      <c r="G167" s="264">
        <f t="shared" si="96"/>
        <v>0</v>
      </c>
      <c r="H167" s="442">
        <f t="shared" si="97"/>
        <v>0</v>
      </c>
      <c r="J167" s="630"/>
      <c r="K167" s="630"/>
      <c r="L167" s="630"/>
      <c r="M167" s="630"/>
      <c r="N167" s="1">
        <f>IF(C167&gt;0,((J167*Setup_and_Criteria!$F$13)+('M1_1-15th'!K167*Setup_and_Criteria!$F$14)+('M1_1-15th'!L167*Setup_and_Criteria!$F$15)+('M1_1-15th'!M167*Setup_and_Criteria!$F$16)+Setup_and_Criteria!$J$16),0)</f>
        <v>0</v>
      </c>
      <c r="O167" s="442">
        <f t="shared" si="102"/>
        <v>0</v>
      </c>
      <c r="P167" s="443">
        <f t="shared" si="98"/>
        <v>0</v>
      </c>
      <c r="Q167" s="357" t="e">
        <f t="shared" si="99"/>
        <v>#DIV/0!</v>
      </c>
      <c r="R167" s="630"/>
      <c r="S167" s="630"/>
      <c r="T167" s="630"/>
      <c r="U167" s="630"/>
      <c r="V167" s="630"/>
      <c r="W167" s="630"/>
      <c r="X167" s="630"/>
      <c r="Y167" s="630"/>
      <c r="Z167" s="630"/>
      <c r="AA167" s="630"/>
      <c r="AB167" s="1">
        <f t="shared" si="100"/>
        <v>0</v>
      </c>
      <c r="AC167" s="357" t="e">
        <f t="shared" si="101"/>
        <v>#DIV/0!</v>
      </c>
      <c r="AD167" s="864"/>
      <c r="AE167" s="865"/>
      <c r="AF167" s="865"/>
      <c r="AG167" s="866"/>
      <c r="AH167" s="866"/>
      <c r="AI167" s="867"/>
    </row>
    <row r="168" spans="1:35" x14ac:dyDescent="0.25">
      <c r="A168" s="638"/>
      <c r="C168" s="630"/>
      <c r="D168" s="630"/>
      <c r="E168" s="630"/>
      <c r="F168" s="630"/>
      <c r="G168" s="264">
        <f t="shared" si="96"/>
        <v>0</v>
      </c>
      <c r="H168" s="442">
        <f t="shared" si="97"/>
        <v>0</v>
      </c>
      <c r="J168" s="630"/>
      <c r="K168" s="630"/>
      <c r="L168" s="630"/>
      <c r="M168" s="630"/>
      <c r="N168" s="1">
        <f>IF(C168&gt;0,((J168*Setup_and_Criteria!$F$13)+('M1_1-15th'!K168*Setup_and_Criteria!$F$14)+('M1_1-15th'!L168*Setup_and_Criteria!$F$15)+('M1_1-15th'!M168*Setup_and_Criteria!$F$16)+Setup_and_Criteria!$J$16),0)</f>
        <v>0</v>
      </c>
      <c r="O168" s="442">
        <f t="shared" si="102"/>
        <v>0</v>
      </c>
      <c r="P168" s="443">
        <f t="shared" si="98"/>
        <v>0</v>
      </c>
      <c r="Q168" s="357" t="e">
        <f t="shared" si="99"/>
        <v>#DIV/0!</v>
      </c>
      <c r="R168" s="630"/>
      <c r="S168" s="630"/>
      <c r="T168" s="630"/>
      <c r="U168" s="630"/>
      <c r="V168" s="630"/>
      <c r="W168" s="630"/>
      <c r="X168" s="630"/>
      <c r="Y168" s="630"/>
      <c r="Z168" s="630"/>
      <c r="AA168" s="630"/>
      <c r="AB168" s="1">
        <f t="shared" si="100"/>
        <v>0</v>
      </c>
      <c r="AC168" s="357" t="e">
        <f t="shared" si="101"/>
        <v>#DIV/0!</v>
      </c>
      <c r="AD168" s="864"/>
      <c r="AE168" s="865"/>
      <c r="AF168" s="865"/>
      <c r="AG168" s="866"/>
      <c r="AH168" s="866"/>
      <c r="AI168" s="867"/>
    </row>
    <row r="169" spans="1:35" ht="15.75" thickBot="1" x14ac:dyDescent="0.3">
      <c r="A169" s="638"/>
      <c r="C169" s="370"/>
      <c r="D169" s="370"/>
      <c r="E169" s="630"/>
      <c r="F169" s="630"/>
      <c r="G169" s="264">
        <f t="shared" si="96"/>
        <v>0</v>
      </c>
      <c r="H169" s="442">
        <f t="shared" si="97"/>
        <v>0</v>
      </c>
      <c r="J169" s="371"/>
      <c r="K169" s="371"/>
      <c r="L169" s="371"/>
      <c r="M169" s="371"/>
      <c r="N169" s="358">
        <f>IF(C169&gt;0,((J169*Setup_and_Criteria!$F$13)+('M1_1-15th'!K169*Setup_and_Criteria!$F$14)+('M1_1-15th'!L169*Setup_and_Criteria!$F$15)+('M1_1-15th'!M169*Setup_and_Criteria!$F$16)+Setup_and_Criteria!$J$16),0)</f>
        <v>0</v>
      </c>
      <c r="O169" s="359">
        <f t="shared" si="102"/>
        <v>0</v>
      </c>
      <c r="P169" s="383">
        <f t="shared" si="98"/>
        <v>0</v>
      </c>
      <c r="Q169" s="360" t="e">
        <f t="shared" si="99"/>
        <v>#DIV/0!</v>
      </c>
      <c r="R169" s="511"/>
      <c r="S169" s="511"/>
      <c r="T169" s="511"/>
      <c r="U169" s="511"/>
      <c r="V169" s="511"/>
      <c r="W169" s="511"/>
      <c r="X169" s="511"/>
      <c r="Y169" s="511"/>
      <c r="Z169" s="511"/>
      <c r="AA169" s="511"/>
      <c r="AB169" s="1">
        <f t="shared" si="100"/>
        <v>0</v>
      </c>
      <c r="AC169" s="357" t="e">
        <f t="shared" si="101"/>
        <v>#DIV/0!</v>
      </c>
      <c r="AD169" s="864"/>
      <c r="AE169" s="865"/>
      <c r="AF169" s="865"/>
      <c r="AG169" s="866"/>
      <c r="AH169" s="866"/>
      <c r="AI169" s="867"/>
    </row>
    <row r="170" spans="1:35" ht="15.75" thickTop="1" x14ac:dyDescent="0.25">
      <c r="A170" s="58"/>
      <c r="H170" s="442">
        <f>SUM(H164:H169)</f>
        <v>0</v>
      </c>
      <c r="J170" s="1">
        <f>SUM(J164:J169)</f>
        <v>0</v>
      </c>
      <c r="K170" s="1">
        <f>SUM(K164:K169)</f>
        <v>0</v>
      </c>
      <c r="L170" s="1">
        <f>SUM(L164:L169)</f>
        <v>0</v>
      </c>
      <c r="M170" s="1">
        <f>SUM(M164:M169)</f>
        <v>0</v>
      </c>
      <c r="N170" s="1">
        <f>SUM(N164:N169)</f>
        <v>0</v>
      </c>
      <c r="O170" s="1">
        <f t="shared" si="102"/>
        <v>0</v>
      </c>
      <c r="P170" s="443">
        <f t="shared" si="98"/>
        <v>0</v>
      </c>
      <c r="Q170" s="357" t="e">
        <f t="shared" si="99"/>
        <v>#DIV/0!</v>
      </c>
      <c r="R170" s="1">
        <f t="shared" ref="R170:AA170" si="103">SUM(R164:R169)</f>
        <v>0</v>
      </c>
      <c r="S170" s="1">
        <f t="shared" si="103"/>
        <v>0</v>
      </c>
      <c r="T170" s="1">
        <f t="shared" si="103"/>
        <v>0</v>
      </c>
      <c r="U170" s="1">
        <f t="shared" si="103"/>
        <v>0</v>
      </c>
      <c r="V170" s="1">
        <f t="shared" si="103"/>
        <v>0</v>
      </c>
      <c r="W170" s="1">
        <f t="shared" si="103"/>
        <v>1</v>
      </c>
      <c r="X170" s="1">
        <f t="shared" si="103"/>
        <v>0</v>
      </c>
      <c r="Y170" s="1">
        <f t="shared" si="103"/>
        <v>0</v>
      </c>
      <c r="Z170" s="1">
        <f t="shared" si="103"/>
        <v>0</v>
      </c>
      <c r="AA170" s="1">
        <f t="shared" si="103"/>
        <v>0</v>
      </c>
      <c r="AB170" s="1">
        <f t="shared" si="100"/>
        <v>1</v>
      </c>
      <c r="AC170" s="357" t="e">
        <f t="shared" si="101"/>
        <v>#DIV/0!</v>
      </c>
      <c r="AD170" s="877"/>
      <c r="AE170" s="878"/>
      <c r="AF170" s="878"/>
      <c r="AG170" s="749"/>
      <c r="AH170" s="749"/>
      <c r="AI170" s="879"/>
    </row>
    <row r="171" spans="1:35" ht="21" customHeight="1" x14ac:dyDescent="0.35">
      <c r="A171" s="58"/>
      <c r="H171" s="442"/>
      <c r="N171" s="888" t="s">
        <v>145</v>
      </c>
      <c r="O171" s="888"/>
      <c r="P171" s="888"/>
      <c r="Q171" s="888"/>
      <c r="R171" s="431" t="s">
        <v>146</v>
      </c>
      <c r="S171" s="431"/>
      <c r="T171" s="431"/>
      <c r="U171" s="431"/>
      <c r="V171" s="431"/>
      <c r="W171" s="431"/>
      <c r="X171" s="431"/>
      <c r="Y171" s="431"/>
      <c r="Z171" s="431"/>
      <c r="AA171" s="431"/>
      <c r="AB171" s="431"/>
      <c r="AC171" s="431"/>
      <c r="AD171" s="880" t="s">
        <v>132</v>
      </c>
      <c r="AE171" s="881"/>
      <c r="AF171" s="881"/>
      <c r="AG171" s="881"/>
      <c r="AH171" s="881"/>
      <c r="AI171" s="882"/>
    </row>
    <row r="172" spans="1:35" ht="31.5" customHeight="1" x14ac:dyDescent="0.35">
      <c r="A172" s="617" t="s">
        <v>147</v>
      </c>
      <c r="C172" s="885" t="s">
        <v>128</v>
      </c>
      <c r="D172" s="885"/>
      <c r="E172" s="885"/>
      <c r="F172" s="885"/>
      <c r="H172" s="442"/>
      <c r="J172" s="444"/>
      <c r="K172" s="445" t="s">
        <v>35</v>
      </c>
      <c r="L172" s="445" t="s">
        <v>148</v>
      </c>
      <c r="N172" s="446" t="s">
        <v>149</v>
      </c>
      <c r="O172" s="447" t="s">
        <v>150</v>
      </c>
      <c r="P172" s="447" t="s">
        <v>138</v>
      </c>
      <c r="Q172" s="447" t="s">
        <v>151</v>
      </c>
      <c r="R172" s="749" t="s">
        <v>152</v>
      </c>
      <c r="S172" s="749"/>
      <c r="T172" s="883" t="s">
        <v>153</v>
      </c>
      <c r="U172" s="883"/>
      <c r="W172" s="425" t="s">
        <v>154</v>
      </c>
      <c r="X172" s="425"/>
      <c r="Y172" s="425"/>
      <c r="Z172" s="425"/>
      <c r="AA172" s="425"/>
      <c r="AB172" s="425"/>
      <c r="AC172" s="425"/>
      <c r="AD172" s="868" t="s">
        <v>160</v>
      </c>
      <c r="AE172" s="869"/>
      <c r="AF172" s="869"/>
      <c r="AG172" s="869"/>
      <c r="AH172" s="869"/>
      <c r="AI172" s="870"/>
    </row>
    <row r="173" spans="1:35" ht="18" customHeight="1" thickBot="1" x14ac:dyDescent="0.3">
      <c r="A173" s="639"/>
      <c r="B173" s="375"/>
      <c r="C173" s="372"/>
      <c r="D173" s="372"/>
      <c r="E173" s="372"/>
      <c r="F173" s="372"/>
      <c r="G173" s="366">
        <f>+(D173-C173)+(F173-E173)</f>
        <v>0</v>
      </c>
      <c r="H173" s="367">
        <f>+G173*1440</f>
        <v>0</v>
      </c>
      <c r="I173" s="859" t="s">
        <v>155</v>
      </c>
      <c r="J173" s="860"/>
      <c r="K173" s="373"/>
      <c r="L173" s="374"/>
      <c r="M173" s="423"/>
      <c r="N173" s="629">
        <f>+J170+L170+K170+K173+L173</f>
        <v>0</v>
      </c>
      <c r="O173" s="368">
        <f>+(Setup_and_Criteria!$K$31+(J170*Setup_and_Criteria!$F$20)+('M1_1-15th'!K170*Setup_and_Criteria!$F$21)+('M1_1-15th'!L170*Setup_and_Criteria!$F$20))+T173+(K173*Setup_and_Criteria!$F$21)+(Setup_and_Criteria!$F$22*'M1_1-15th'!L173)</f>
        <v>75</v>
      </c>
      <c r="P173" s="367">
        <f>+H173</f>
        <v>0</v>
      </c>
      <c r="Q173" s="367">
        <f>+O173-P173</f>
        <v>75</v>
      </c>
      <c r="R173" s="861"/>
      <c r="S173" s="861"/>
      <c r="T173" s="862"/>
      <c r="U173" s="863"/>
      <c r="V173" s="265" t="s">
        <v>156</v>
      </c>
      <c r="W173" s="854"/>
      <c r="X173" s="855"/>
      <c r="Y173" s="855"/>
      <c r="Z173" s="855"/>
      <c r="AA173" s="855"/>
      <c r="AB173" s="855"/>
      <c r="AC173" s="855"/>
      <c r="AD173" s="868"/>
      <c r="AE173" s="869"/>
      <c r="AF173" s="869"/>
      <c r="AG173" s="869"/>
      <c r="AH173" s="869"/>
      <c r="AI173" s="870"/>
    </row>
    <row r="174" spans="1:35" ht="15.75" thickBot="1" x14ac:dyDescent="0.3">
      <c r="A174" s="449" t="str">
        <f>+A161</f>
        <v>Password to enter data = "Enter Info"</v>
      </c>
      <c r="B174" s="450"/>
      <c r="C174" s="451"/>
      <c r="D174" s="451"/>
      <c r="E174" s="451"/>
      <c r="F174" s="451"/>
      <c r="G174" s="451"/>
      <c r="H174" s="451"/>
      <c r="I174" s="450"/>
      <c r="J174" s="451"/>
      <c r="K174" s="451"/>
      <c r="L174" s="451"/>
      <c r="M174" s="451"/>
      <c r="N174" s="451"/>
      <c r="O174" s="451"/>
      <c r="P174" s="451"/>
      <c r="Q174" s="450"/>
      <c r="R174" s="451"/>
      <c r="S174" s="451"/>
      <c r="T174" s="451"/>
      <c r="U174" s="451"/>
      <c r="V174" s="451"/>
      <c r="W174" s="451"/>
      <c r="X174" s="451"/>
      <c r="Y174" s="451"/>
      <c r="Z174" s="451"/>
      <c r="AA174" s="451"/>
      <c r="AB174" s="450"/>
      <c r="AC174" s="450"/>
      <c r="AD174" s="871"/>
      <c r="AE174" s="872"/>
      <c r="AF174" s="872"/>
      <c r="AG174" s="872"/>
      <c r="AH174" s="872"/>
      <c r="AI174" s="873"/>
    </row>
    <row r="175" spans="1:35" ht="35.25" customHeight="1" x14ac:dyDescent="0.4">
      <c r="A175" s="434" t="str">
        <f>+A162</f>
        <v>April</v>
      </c>
      <c r="B175" s="624">
        <f>+B162+1</f>
        <v>29</v>
      </c>
      <c r="C175" s="884" t="s">
        <v>128</v>
      </c>
      <c r="D175" s="884"/>
      <c r="E175" s="884"/>
      <c r="F175" s="884"/>
      <c r="G175" s="377"/>
      <c r="H175" s="377"/>
      <c r="I175" s="21"/>
      <c r="J175" s="874" t="s">
        <v>129</v>
      </c>
      <c r="K175" s="875"/>
      <c r="L175" s="875"/>
      <c r="M175" s="875"/>
      <c r="N175" s="876" t="s">
        <v>130</v>
      </c>
      <c r="O175" s="876"/>
      <c r="P175" s="876"/>
      <c r="Q175" s="876"/>
      <c r="R175" s="424" t="str">
        <f>+R162</f>
        <v xml:space="preserve"> Corrections Tracking - Check out rooms</v>
      </c>
      <c r="S175" s="424"/>
      <c r="T175" s="424"/>
      <c r="U175" s="424"/>
      <c r="V175" s="424"/>
      <c r="W175" s="424"/>
      <c r="X175" s="424"/>
      <c r="Y175" s="424"/>
      <c r="Z175" s="424"/>
      <c r="AA175" s="424"/>
      <c r="AB175" s="424"/>
      <c r="AC175" s="424"/>
      <c r="AD175" s="461" t="s">
        <v>132</v>
      </c>
      <c r="AE175" s="426"/>
      <c r="AF175" s="426"/>
      <c r="AG175" s="426"/>
      <c r="AH175" s="426"/>
      <c r="AI175" s="427"/>
    </row>
    <row r="176" spans="1:35" ht="59.25" customHeight="1" x14ac:dyDescent="0.25">
      <c r="A176" s="378" t="s">
        <v>133</v>
      </c>
      <c r="C176" s="435" t="s">
        <v>134</v>
      </c>
      <c r="D176" s="435" t="s">
        <v>135</v>
      </c>
      <c r="E176" s="435" t="s">
        <v>134</v>
      </c>
      <c r="F176" s="435" t="s">
        <v>135</v>
      </c>
      <c r="G176" s="1" t="s">
        <v>136</v>
      </c>
      <c r="H176" s="1" t="s">
        <v>108</v>
      </c>
      <c r="I176" s="436"/>
      <c r="J176" s="437" t="str">
        <f>+Setup_and_Criteria!$B$13</f>
        <v>Checkouts</v>
      </c>
      <c r="K176" s="437" t="str">
        <f>+Setup_and_Criteria!$B$14</f>
        <v>Pet Rooms</v>
      </c>
      <c r="L176" s="437" t="str">
        <f>+Setup_and_Criteria!$B$15</f>
        <v>2 Rm &amp; Jac Stes</v>
      </c>
      <c r="M176" s="438" t="str">
        <f>+Setup_and_Criteria!$B$16</f>
        <v>Stayovers</v>
      </c>
      <c r="N176" s="269" t="s">
        <v>137</v>
      </c>
      <c r="O176" s="269" t="s">
        <v>138</v>
      </c>
      <c r="P176" s="439" t="s">
        <v>139</v>
      </c>
      <c r="Q176" s="439" t="s">
        <v>140</v>
      </c>
      <c r="R176" s="440" t="str">
        <f>+Corrections!$C$8</f>
        <v>Vanity</v>
      </c>
      <c r="S176" s="440" t="str">
        <f>+Corrections!$I$8</f>
        <v>Toilet</v>
      </c>
      <c r="T176" s="440" t="str">
        <f>+Corrections!$O$8</f>
        <v>Bed/Pillows</v>
      </c>
      <c r="U176" s="440" t="str">
        <f>+Corrections!$U$8</f>
        <v>Floor</v>
      </c>
      <c r="V176" s="440" t="str">
        <f>+Corrections!$AA$8</f>
        <v>Dusting</v>
      </c>
      <c r="W176" s="440" t="str">
        <f>+Corrections!$AG$8</f>
        <v>Fridge/Micro</v>
      </c>
      <c r="X176" s="440" t="str">
        <f>+Corrections!$AM$8</f>
        <v>Tub</v>
      </c>
      <c r="Y176" s="441" t="str">
        <f>+Corrections!$AS$8</f>
        <v>Mirrors/Glass</v>
      </c>
      <c r="Z176" s="440" t="str">
        <f>+Corrections!$AY$8</f>
        <v>Stocking</v>
      </c>
      <c r="AA176" s="440" t="str">
        <f>+Corrections!$BE$8</f>
        <v>Other</v>
      </c>
      <c r="AB176" s="269" t="s">
        <v>141</v>
      </c>
      <c r="AC176" s="269" t="str">
        <f>+$AC$7</f>
        <v>Daily Corr / Inspected Checkout</v>
      </c>
      <c r="AD176" s="889" t="s">
        <v>143</v>
      </c>
      <c r="AE176" s="890"/>
      <c r="AF176" s="890"/>
      <c r="AG176" s="890"/>
      <c r="AH176" s="890"/>
      <c r="AI176" s="891"/>
    </row>
    <row r="177" spans="1:35" x14ac:dyDescent="0.25">
      <c r="A177" s="638"/>
      <c r="C177" s="369"/>
      <c r="D177" s="369"/>
      <c r="E177" s="369"/>
      <c r="F177" s="369"/>
      <c r="G177" s="264">
        <f t="shared" ref="G177:G182" si="104">+(D177-C177)+(F177-E177)</f>
        <v>0</v>
      </c>
      <c r="H177" s="442">
        <f t="shared" ref="H177:H182" si="105">+G177*1440</f>
        <v>0</v>
      </c>
      <c r="J177" s="630"/>
      <c r="K177" s="630"/>
      <c r="L177" s="630"/>
      <c r="M177" s="630"/>
      <c r="N177" s="1">
        <f>IF(C177&gt;0,((J177*Setup_and_Criteria!$F$13)+('M1_1-15th'!K177*Setup_and_Criteria!$F$14)+('M1_1-15th'!L177*Setup_and_Criteria!$F$15)+('M1_1-15th'!M177*Setup_and_Criteria!$F$16)+Setup_and_Criteria!$J$16),0)</f>
        <v>0</v>
      </c>
      <c r="O177" s="442">
        <f>+H177</f>
        <v>0</v>
      </c>
      <c r="P177" s="443">
        <f t="shared" ref="P177:P183" si="106">+N177-O177</f>
        <v>0</v>
      </c>
      <c r="Q177" s="357" t="e">
        <f t="shared" ref="Q177:Q183" si="107">O177/_xlfn.SINGLE(SUM(J177:M177))</f>
        <v>#DIV/0!</v>
      </c>
      <c r="R177" s="630"/>
      <c r="S177" s="630"/>
      <c r="T177" s="630"/>
      <c r="U177" s="630"/>
      <c r="V177" s="630"/>
      <c r="W177" s="630"/>
      <c r="X177" s="630"/>
      <c r="Y177" s="630"/>
      <c r="Z177" s="630"/>
      <c r="AA177" s="630"/>
      <c r="AB177" s="1">
        <f t="shared" ref="AB177:AB183" si="108">SUM(R177:AA177)</f>
        <v>0</v>
      </c>
      <c r="AC177" s="357" t="e">
        <f t="shared" ref="AC177:AC183" si="109">+AB177/(J177+K177+L177)</f>
        <v>#DIV/0!</v>
      </c>
      <c r="AD177" s="864" t="s">
        <v>144</v>
      </c>
      <c r="AE177" s="865"/>
      <c r="AF177" s="865"/>
      <c r="AG177" s="866"/>
      <c r="AH177" s="866"/>
      <c r="AI177" s="867"/>
    </row>
    <row r="178" spans="1:35" x14ac:dyDescent="0.25">
      <c r="A178" s="638"/>
      <c r="C178" s="369"/>
      <c r="D178" s="369"/>
      <c r="E178" s="630"/>
      <c r="F178" s="630"/>
      <c r="G178" s="264">
        <f t="shared" si="104"/>
        <v>0</v>
      </c>
      <c r="H178" s="442">
        <f t="shared" si="105"/>
        <v>0</v>
      </c>
      <c r="J178" s="630"/>
      <c r="K178" s="630"/>
      <c r="L178" s="630"/>
      <c r="M178" s="630"/>
      <c r="N178" s="1">
        <f>IF(C178&gt;0,((J178*Setup_and_Criteria!$F$13)+('M1_1-15th'!K178*Setup_and_Criteria!$F$14)+('M1_1-15th'!L178*Setup_and_Criteria!$F$15)+('M1_1-15th'!M178*Setup_and_Criteria!$F$16)+Setup_and_Criteria!$J$16),0)</f>
        <v>0</v>
      </c>
      <c r="O178" s="442">
        <f t="shared" ref="O178:O183" si="110">+H178</f>
        <v>0</v>
      </c>
      <c r="P178" s="443">
        <f t="shared" si="106"/>
        <v>0</v>
      </c>
      <c r="Q178" s="357" t="e">
        <f t="shared" si="107"/>
        <v>#DIV/0!</v>
      </c>
      <c r="R178" s="630"/>
      <c r="S178" s="630"/>
      <c r="T178" s="630"/>
      <c r="U178" s="630"/>
      <c r="V178" s="630"/>
      <c r="W178" s="630"/>
      <c r="X178" s="630"/>
      <c r="Y178" s="630"/>
      <c r="Z178" s="630"/>
      <c r="AA178" s="630"/>
      <c r="AB178" s="1">
        <f t="shared" si="108"/>
        <v>0</v>
      </c>
      <c r="AC178" s="357" t="e">
        <f t="shared" si="109"/>
        <v>#DIV/0!</v>
      </c>
      <c r="AD178" s="864"/>
      <c r="AE178" s="865"/>
      <c r="AF178" s="865"/>
      <c r="AG178" s="866"/>
      <c r="AH178" s="866"/>
      <c r="AI178" s="867"/>
    </row>
    <row r="179" spans="1:35" x14ac:dyDescent="0.25">
      <c r="A179" s="638"/>
      <c r="C179" s="630"/>
      <c r="D179" s="630"/>
      <c r="E179" s="630"/>
      <c r="F179" s="630"/>
      <c r="G179" s="264">
        <f t="shared" si="104"/>
        <v>0</v>
      </c>
      <c r="H179" s="442">
        <f t="shared" si="105"/>
        <v>0</v>
      </c>
      <c r="J179" s="630"/>
      <c r="K179" s="630"/>
      <c r="L179" s="630"/>
      <c r="M179" s="630"/>
      <c r="N179" s="1">
        <f>IF(C179&gt;0,((J179*Setup_and_Criteria!$F$13)+('M1_1-15th'!K179*Setup_and_Criteria!$F$14)+('M1_1-15th'!L179*Setup_and_Criteria!$F$15)+('M1_1-15th'!M179*Setup_and_Criteria!$F$16)+Setup_and_Criteria!$J$16),0)</f>
        <v>0</v>
      </c>
      <c r="O179" s="442">
        <f t="shared" si="110"/>
        <v>0</v>
      </c>
      <c r="P179" s="443">
        <f t="shared" si="106"/>
        <v>0</v>
      </c>
      <c r="Q179" s="357" t="e">
        <f t="shared" si="107"/>
        <v>#DIV/0!</v>
      </c>
      <c r="R179" s="630"/>
      <c r="S179" s="630"/>
      <c r="T179" s="630"/>
      <c r="U179" s="630"/>
      <c r="V179" s="630"/>
      <c r="W179" s="630"/>
      <c r="X179" s="630"/>
      <c r="Y179" s="630"/>
      <c r="Z179" s="630"/>
      <c r="AA179" s="630"/>
      <c r="AB179" s="1">
        <f t="shared" si="108"/>
        <v>0</v>
      </c>
      <c r="AC179" s="357" t="e">
        <f t="shared" si="109"/>
        <v>#DIV/0!</v>
      </c>
      <c r="AD179" s="864"/>
      <c r="AE179" s="865"/>
      <c r="AF179" s="865"/>
      <c r="AG179" s="866"/>
      <c r="AH179" s="866"/>
      <c r="AI179" s="867"/>
    </row>
    <row r="180" spans="1:35" x14ac:dyDescent="0.25">
      <c r="A180" s="638"/>
      <c r="C180" s="630"/>
      <c r="D180" s="630"/>
      <c r="E180" s="630"/>
      <c r="F180" s="630"/>
      <c r="G180" s="264">
        <f t="shared" si="104"/>
        <v>0</v>
      </c>
      <c r="H180" s="442">
        <f t="shared" si="105"/>
        <v>0</v>
      </c>
      <c r="J180" s="630"/>
      <c r="K180" s="630"/>
      <c r="L180" s="630"/>
      <c r="M180" s="630"/>
      <c r="N180" s="1">
        <f>IF(C180&gt;0,((J180*Setup_and_Criteria!$F$13)+('M1_1-15th'!K180*Setup_and_Criteria!$F$14)+('M1_1-15th'!L180*Setup_and_Criteria!$F$15)+('M1_1-15th'!M180*Setup_and_Criteria!$F$16)+Setup_and_Criteria!$J$16),0)</f>
        <v>0</v>
      </c>
      <c r="O180" s="442">
        <f t="shared" si="110"/>
        <v>0</v>
      </c>
      <c r="P180" s="443">
        <f t="shared" si="106"/>
        <v>0</v>
      </c>
      <c r="Q180" s="357" t="e">
        <f t="shared" si="107"/>
        <v>#DIV/0!</v>
      </c>
      <c r="R180" s="630"/>
      <c r="S180" s="630"/>
      <c r="T180" s="630"/>
      <c r="U180" s="630"/>
      <c r="V180" s="630"/>
      <c r="W180" s="630"/>
      <c r="X180" s="630"/>
      <c r="Y180" s="630"/>
      <c r="Z180" s="630"/>
      <c r="AA180" s="630"/>
      <c r="AB180" s="1">
        <f t="shared" si="108"/>
        <v>0</v>
      </c>
      <c r="AC180" s="357" t="e">
        <f t="shared" si="109"/>
        <v>#DIV/0!</v>
      </c>
      <c r="AD180" s="864"/>
      <c r="AE180" s="865"/>
      <c r="AF180" s="865"/>
      <c r="AG180" s="866"/>
      <c r="AH180" s="866"/>
      <c r="AI180" s="867"/>
    </row>
    <row r="181" spans="1:35" x14ac:dyDescent="0.25">
      <c r="A181" s="638"/>
      <c r="C181" s="630"/>
      <c r="D181" s="630"/>
      <c r="E181" s="630"/>
      <c r="F181" s="630"/>
      <c r="G181" s="264">
        <f t="shared" si="104"/>
        <v>0</v>
      </c>
      <c r="H181" s="442">
        <f t="shared" si="105"/>
        <v>0</v>
      </c>
      <c r="J181" s="630"/>
      <c r="K181" s="630"/>
      <c r="L181" s="630"/>
      <c r="M181" s="630"/>
      <c r="N181" s="1">
        <f>IF(C181&gt;0,((J181*Setup_and_Criteria!$F$13)+('M1_1-15th'!K181*Setup_and_Criteria!$F$14)+('M1_1-15th'!L181*Setup_and_Criteria!$F$15)+('M1_1-15th'!M181*Setup_and_Criteria!$F$16)+Setup_and_Criteria!$J$16),0)</f>
        <v>0</v>
      </c>
      <c r="O181" s="442">
        <f t="shared" si="110"/>
        <v>0</v>
      </c>
      <c r="P181" s="443">
        <f t="shared" si="106"/>
        <v>0</v>
      </c>
      <c r="Q181" s="357" t="e">
        <f t="shared" si="107"/>
        <v>#DIV/0!</v>
      </c>
      <c r="R181" s="630"/>
      <c r="S181" s="630"/>
      <c r="T181" s="630"/>
      <c r="U181" s="630"/>
      <c r="V181" s="630"/>
      <c r="W181" s="630"/>
      <c r="X181" s="630"/>
      <c r="Y181" s="630"/>
      <c r="Z181" s="630"/>
      <c r="AA181" s="630"/>
      <c r="AB181" s="1">
        <f t="shared" si="108"/>
        <v>0</v>
      </c>
      <c r="AC181" s="357" t="e">
        <f t="shared" si="109"/>
        <v>#DIV/0!</v>
      </c>
      <c r="AD181" s="864"/>
      <c r="AE181" s="865"/>
      <c r="AF181" s="865"/>
      <c r="AG181" s="866"/>
      <c r="AH181" s="866"/>
      <c r="AI181" s="867"/>
    </row>
    <row r="182" spans="1:35" ht="15.75" thickBot="1" x14ac:dyDescent="0.3">
      <c r="A182" s="638"/>
      <c r="C182" s="370"/>
      <c r="D182" s="370"/>
      <c r="E182" s="630"/>
      <c r="F182" s="630"/>
      <c r="G182" s="264">
        <f t="shared" si="104"/>
        <v>0</v>
      </c>
      <c r="H182" s="442">
        <f t="shared" si="105"/>
        <v>0</v>
      </c>
      <c r="J182" s="371"/>
      <c r="K182" s="371"/>
      <c r="L182" s="371"/>
      <c r="M182" s="371"/>
      <c r="N182" s="358">
        <f>IF(C182&gt;0,((J182*Setup_and_Criteria!$F$13)+('M1_1-15th'!K182*Setup_and_Criteria!$F$14)+('M1_1-15th'!L182*Setup_and_Criteria!$F$15)+('M1_1-15th'!M182*Setup_and_Criteria!$F$16)+Setup_and_Criteria!$J$16),0)</f>
        <v>0</v>
      </c>
      <c r="O182" s="359">
        <f t="shared" si="110"/>
        <v>0</v>
      </c>
      <c r="P182" s="383">
        <f t="shared" si="106"/>
        <v>0</v>
      </c>
      <c r="Q182" s="360" t="e">
        <f t="shared" si="107"/>
        <v>#DIV/0!</v>
      </c>
      <c r="R182" s="511"/>
      <c r="S182" s="511"/>
      <c r="T182" s="511"/>
      <c r="U182" s="511"/>
      <c r="V182" s="511"/>
      <c r="W182" s="511"/>
      <c r="X182" s="511"/>
      <c r="Y182" s="511"/>
      <c r="Z182" s="511"/>
      <c r="AA182" s="511"/>
      <c r="AB182" s="1">
        <f t="shared" si="108"/>
        <v>0</v>
      </c>
      <c r="AC182" s="357" t="e">
        <f t="shared" si="109"/>
        <v>#DIV/0!</v>
      </c>
      <c r="AD182" s="864"/>
      <c r="AE182" s="865"/>
      <c r="AF182" s="865"/>
      <c r="AG182" s="866"/>
      <c r="AH182" s="866"/>
      <c r="AI182" s="867"/>
    </row>
    <row r="183" spans="1:35" ht="15.75" thickTop="1" x14ac:dyDescent="0.25">
      <c r="A183" s="58"/>
      <c r="H183" s="442">
        <f>SUM(H177:H182)</f>
        <v>0</v>
      </c>
      <c r="J183" s="1">
        <f>SUM(J177:J182)</f>
        <v>0</v>
      </c>
      <c r="K183" s="1">
        <f>SUM(K177:K182)</f>
        <v>0</v>
      </c>
      <c r="L183" s="1">
        <f>SUM(L177:L182)</f>
        <v>0</v>
      </c>
      <c r="M183" s="1">
        <f>SUM(M177:M182)</f>
        <v>0</v>
      </c>
      <c r="N183" s="1">
        <f>SUM(N177:N182)</f>
        <v>0</v>
      </c>
      <c r="O183" s="1">
        <f t="shared" si="110"/>
        <v>0</v>
      </c>
      <c r="P183" s="443">
        <f t="shared" si="106"/>
        <v>0</v>
      </c>
      <c r="Q183" s="357" t="e">
        <f t="shared" si="107"/>
        <v>#DIV/0!</v>
      </c>
      <c r="R183" s="1">
        <f t="shared" ref="R183:AA183" si="111">SUM(R177:R182)</f>
        <v>0</v>
      </c>
      <c r="S183" s="1">
        <f t="shared" si="111"/>
        <v>0</v>
      </c>
      <c r="T183" s="1">
        <f t="shared" si="111"/>
        <v>0</v>
      </c>
      <c r="U183" s="1">
        <f t="shared" si="111"/>
        <v>0</v>
      </c>
      <c r="V183" s="1">
        <f t="shared" si="111"/>
        <v>0</v>
      </c>
      <c r="W183" s="1">
        <f t="shared" si="111"/>
        <v>0</v>
      </c>
      <c r="X183" s="1">
        <f t="shared" si="111"/>
        <v>0</v>
      </c>
      <c r="Y183" s="1">
        <f t="shared" si="111"/>
        <v>0</v>
      </c>
      <c r="Z183" s="1">
        <f t="shared" si="111"/>
        <v>0</v>
      </c>
      <c r="AA183" s="1">
        <f t="shared" si="111"/>
        <v>0</v>
      </c>
      <c r="AB183" s="1">
        <f t="shared" si="108"/>
        <v>0</v>
      </c>
      <c r="AC183" s="357" t="e">
        <f t="shared" si="109"/>
        <v>#DIV/0!</v>
      </c>
      <c r="AD183" s="877"/>
      <c r="AE183" s="878"/>
      <c r="AF183" s="878"/>
      <c r="AG183" s="749"/>
      <c r="AH183" s="749"/>
      <c r="AI183" s="879"/>
    </row>
    <row r="184" spans="1:35" ht="21" customHeight="1" x14ac:dyDescent="0.35">
      <c r="A184" s="58"/>
      <c r="H184" s="442"/>
      <c r="N184" s="888" t="s">
        <v>145</v>
      </c>
      <c r="O184" s="888"/>
      <c r="P184" s="888"/>
      <c r="Q184" s="888"/>
      <c r="R184" s="431" t="s">
        <v>146</v>
      </c>
      <c r="S184" s="431"/>
      <c r="T184" s="431"/>
      <c r="U184" s="431"/>
      <c r="V184" s="431"/>
      <c r="W184" s="431"/>
      <c r="X184" s="431"/>
      <c r="Y184" s="431"/>
      <c r="Z184" s="431"/>
      <c r="AA184" s="431"/>
      <c r="AB184" s="431"/>
      <c r="AC184" s="431"/>
      <c r="AD184" s="880" t="s">
        <v>132</v>
      </c>
      <c r="AE184" s="881"/>
      <c r="AF184" s="881"/>
      <c r="AG184" s="881"/>
      <c r="AH184" s="881"/>
      <c r="AI184" s="882"/>
    </row>
    <row r="185" spans="1:35" ht="31.5" customHeight="1" x14ac:dyDescent="0.35">
      <c r="A185" s="617" t="s">
        <v>147</v>
      </c>
      <c r="C185" s="885" t="s">
        <v>128</v>
      </c>
      <c r="D185" s="885"/>
      <c r="E185" s="885"/>
      <c r="F185" s="885"/>
      <c r="H185" s="442"/>
      <c r="J185" s="444"/>
      <c r="K185" s="445" t="s">
        <v>35</v>
      </c>
      <c r="L185" s="445" t="s">
        <v>148</v>
      </c>
      <c r="N185" s="446" t="s">
        <v>149</v>
      </c>
      <c r="O185" s="447" t="s">
        <v>150</v>
      </c>
      <c r="P185" s="447" t="s">
        <v>138</v>
      </c>
      <c r="Q185" s="447" t="s">
        <v>151</v>
      </c>
      <c r="R185" s="749" t="s">
        <v>152</v>
      </c>
      <c r="S185" s="749"/>
      <c r="T185" s="883" t="s">
        <v>153</v>
      </c>
      <c r="U185" s="883"/>
      <c r="W185" s="425" t="s">
        <v>154</v>
      </c>
      <c r="X185" s="425"/>
      <c r="Y185" s="425"/>
      <c r="Z185" s="425"/>
      <c r="AA185" s="425"/>
      <c r="AB185" s="425"/>
      <c r="AC185" s="425"/>
      <c r="AD185" s="868" t="s">
        <v>160</v>
      </c>
      <c r="AE185" s="869"/>
      <c r="AF185" s="869"/>
      <c r="AG185" s="869"/>
      <c r="AH185" s="869"/>
      <c r="AI185" s="870"/>
    </row>
    <row r="186" spans="1:35" ht="18" customHeight="1" thickBot="1" x14ac:dyDescent="0.3">
      <c r="A186" s="639"/>
      <c r="B186" s="375"/>
      <c r="C186" s="372"/>
      <c r="D186" s="372"/>
      <c r="E186" s="372"/>
      <c r="F186" s="372"/>
      <c r="G186" s="366">
        <f>+(D186-C186)+(F186-E186)</f>
        <v>0</v>
      </c>
      <c r="H186" s="367">
        <f>+G186*1440</f>
        <v>0</v>
      </c>
      <c r="I186" s="859" t="s">
        <v>155</v>
      </c>
      <c r="J186" s="860"/>
      <c r="K186" s="373"/>
      <c r="L186" s="374"/>
      <c r="M186" s="423"/>
      <c r="N186" s="629">
        <f>+J183+L183+K183+K186+L186</f>
        <v>0</v>
      </c>
      <c r="O186" s="368">
        <f>+(Setup_and_Criteria!$K$31+(J183*Setup_and_Criteria!$F$20)+('M1_1-15th'!K183*Setup_and_Criteria!$F$21)+('M1_1-15th'!L183*Setup_and_Criteria!$F$20))+T186+(K186*Setup_and_Criteria!$F$21)+(Setup_and_Criteria!$F$22*'M1_1-15th'!L186)</f>
        <v>75</v>
      </c>
      <c r="P186" s="367">
        <f>+H186</f>
        <v>0</v>
      </c>
      <c r="Q186" s="367">
        <f>+O186-P186</f>
        <v>75</v>
      </c>
      <c r="R186" s="861"/>
      <c r="S186" s="861"/>
      <c r="T186" s="862"/>
      <c r="U186" s="863"/>
      <c r="V186" s="265" t="s">
        <v>156</v>
      </c>
      <c r="W186" s="854"/>
      <c r="X186" s="855"/>
      <c r="Y186" s="855"/>
      <c r="Z186" s="855"/>
      <c r="AA186" s="855"/>
      <c r="AB186" s="855"/>
      <c r="AC186" s="855"/>
      <c r="AD186" s="868"/>
      <c r="AE186" s="869"/>
      <c r="AF186" s="869"/>
      <c r="AG186" s="869"/>
      <c r="AH186" s="869"/>
      <c r="AI186" s="870"/>
    </row>
    <row r="187" spans="1:35" ht="15.75" thickBot="1" x14ac:dyDescent="0.3">
      <c r="A187" s="449" t="str">
        <f>+A174</f>
        <v>Password to enter data = "Enter Info"</v>
      </c>
      <c r="B187" s="450"/>
      <c r="C187" s="451"/>
      <c r="D187" s="451"/>
      <c r="E187" s="451"/>
      <c r="F187" s="451"/>
      <c r="G187" s="451"/>
      <c r="H187" s="451"/>
      <c r="I187" s="450"/>
      <c r="J187" s="451"/>
      <c r="K187" s="451"/>
      <c r="L187" s="451"/>
      <c r="M187" s="451"/>
      <c r="N187" s="451"/>
      <c r="O187" s="451"/>
      <c r="P187" s="451"/>
      <c r="Q187" s="450"/>
      <c r="R187" s="451"/>
      <c r="S187" s="451"/>
      <c r="T187" s="451"/>
      <c r="U187" s="451"/>
      <c r="V187" s="451"/>
      <c r="W187" s="451"/>
      <c r="X187" s="451"/>
      <c r="Y187" s="451"/>
      <c r="Z187" s="451"/>
      <c r="AA187" s="451"/>
      <c r="AB187" s="450"/>
      <c r="AC187" s="450"/>
      <c r="AD187" s="871"/>
      <c r="AE187" s="872"/>
      <c r="AF187" s="872"/>
      <c r="AG187" s="872"/>
      <c r="AH187" s="872"/>
      <c r="AI187" s="873"/>
    </row>
    <row r="188" spans="1:35" ht="35.25" customHeight="1" x14ac:dyDescent="0.4">
      <c r="A188" s="434" t="str">
        <f>+A175</f>
        <v>April</v>
      </c>
      <c r="B188" s="624">
        <f>+B175+1</f>
        <v>30</v>
      </c>
      <c r="C188" s="884" t="s">
        <v>128</v>
      </c>
      <c r="D188" s="884"/>
      <c r="E188" s="884"/>
      <c r="F188" s="884"/>
      <c r="G188" s="377"/>
      <c r="H188" s="377"/>
      <c r="I188" s="21"/>
      <c r="J188" s="874" t="s">
        <v>129</v>
      </c>
      <c r="K188" s="875"/>
      <c r="L188" s="875"/>
      <c r="M188" s="875"/>
      <c r="N188" s="876" t="s">
        <v>130</v>
      </c>
      <c r="O188" s="876"/>
      <c r="P188" s="876"/>
      <c r="Q188" s="876"/>
      <c r="R188" s="424" t="str">
        <f>+R175</f>
        <v xml:space="preserve"> Corrections Tracking - Check out rooms</v>
      </c>
      <c r="S188" s="424"/>
      <c r="T188" s="424"/>
      <c r="U188" s="424"/>
      <c r="V188" s="424"/>
      <c r="W188" s="424"/>
      <c r="X188" s="424"/>
      <c r="Y188" s="424"/>
      <c r="Z188" s="424"/>
      <c r="AA188" s="424"/>
      <c r="AB188" s="424"/>
      <c r="AC188" s="424"/>
      <c r="AD188" s="461" t="s">
        <v>132</v>
      </c>
      <c r="AE188" s="426"/>
      <c r="AF188" s="426"/>
      <c r="AG188" s="426"/>
      <c r="AH188" s="426"/>
      <c r="AI188" s="427"/>
    </row>
    <row r="189" spans="1:35" ht="59.25" customHeight="1" x14ac:dyDescent="0.25">
      <c r="A189" s="378" t="s">
        <v>133</v>
      </c>
      <c r="C189" s="435" t="s">
        <v>134</v>
      </c>
      <c r="D189" s="435" t="s">
        <v>135</v>
      </c>
      <c r="E189" s="435" t="s">
        <v>134</v>
      </c>
      <c r="F189" s="435" t="s">
        <v>135</v>
      </c>
      <c r="G189" s="1" t="s">
        <v>136</v>
      </c>
      <c r="H189" s="1" t="s">
        <v>108</v>
      </c>
      <c r="I189" s="436"/>
      <c r="J189" s="437" t="str">
        <f>+Setup_and_Criteria!$B$13</f>
        <v>Checkouts</v>
      </c>
      <c r="K189" s="437" t="str">
        <f>+Setup_and_Criteria!$B$14</f>
        <v>Pet Rooms</v>
      </c>
      <c r="L189" s="437" t="str">
        <f>+Setup_and_Criteria!$B$15</f>
        <v>2 Rm &amp; Jac Stes</v>
      </c>
      <c r="M189" s="438" t="str">
        <f>+Setup_and_Criteria!$B$16</f>
        <v>Stayovers</v>
      </c>
      <c r="N189" s="269" t="s">
        <v>137</v>
      </c>
      <c r="O189" s="269" t="s">
        <v>138</v>
      </c>
      <c r="P189" s="439" t="s">
        <v>139</v>
      </c>
      <c r="Q189" s="439" t="s">
        <v>140</v>
      </c>
      <c r="R189" s="440" t="str">
        <f>+Corrections!$C$8</f>
        <v>Vanity</v>
      </c>
      <c r="S189" s="440" t="str">
        <f>+Corrections!$I$8</f>
        <v>Toilet</v>
      </c>
      <c r="T189" s="440" t="str">
        <f>+Corrections!$O$8</f>
        <v>Bed/Pillows</v>
      </c>
      <c r="U189" s="440" t="str">
        <f>+Corrections!$U$8</f>
        <v>Floor</v>
      </c>
      <c r="V189" s="440" t="str">
        <f>+Corrections!$AA$8</f>
        <v>Dusting</v>
      </c>
      <c r="W189" s="440" t="str">
        <f>+Corrections!$AG$8</f>
        <v>Fridge/Micro</v>
      </c>
      <c r="X189" s="440" t="str">
        <f>+Corrections!$AM$8</f>
        <v>Tub</v>
      </c>
      <c r="Y189" s="441" t="str">
        <f>+Corrections!$AS$8</f>
        <v>Mirrors/Glass</v>
      </c>
      <c r="Z189" s="440" t="str">
        <f>+Corrections!$AY$8</f>
        <v>Stocking</v>
      </c>
      <c r="AA189" s="440" t="str">
        <f>+Corrections!$BE$8</f>
        <v>Other</v>
      </c>
      <c r="AB189" s="269" t="s">
        <v>141</v>
      </c>
      <c r="AC189" s="269" t="str">
        <f>+$AC$7</f>
        <v>Daily Corr / Inspected Checkout</v>
      </c>
      <c r="AD189" s="889" t="s">
        <v>143</v>
      </c>
      <c r="AE189" s="890"/>
      <c r="AF189" s="890"/>
      <c r="AG189" s="890"/>
      <c r="AH189" s="890"/>
      <c r="AI189" s="891"/>
    </row>
    <row r="190" spans="1:35" x14ac:dyDescent="0.25">
      <c r="A190" s="638"/>
      <c r="C190" s="369"/>
      <c r="D190" s="369"/>
      <c r="E190" s="369"/>
      <c r="F190" s="369"/>
      <c r="G190" s="264">
        <f t="shared" ref="G190:G195" si="112">+(D190-C190)+(F190-E190)</f>
        <v>0</v>
      </c>
      <c r="H190" s="442">
        <f t="shared" ref="H190:H195" si="113">+G190*1440</f>
        <v>0</v>
      </c>
      <c r="J190" s="630"/>
      <c r="K190" s="630"/>
      <c r="L190" s="630"/>
      <c r="M190" s="630"/>
      <c r="N190" s="1">
        <f>IF(C190&gt;0,((J190*Setup_and_Criteria!$F$13)+('M1_1-15th'!K190*Setup_and_Criteria!$F$14)+('M1_1-15th'!L190*Setup_and_Criteria!$F$15)+('M1_1-15th'!M190*Setup_and_Criteria!$F$16)+Setup_and_Criteria!$J$16),0)</f>
        <v>0</v>
      </c>
      <c r="O190" s="442">
        <f>+H190</f>
        <v>0</v>
      </c>
      <c r="P190" s="443">
        <f t="shared" ref="P190:P196" si="114">+N190-O190</f>
        <v>0</v>
      </c>
      <c r="Q190" s="357" t="e">
        <f t="shared" ref="Q190:Q196" si="115">O190/_xlfn.SINGLE(SUM(J190:M190))</f>
        <v>#DIV/0!</v>
      </c>
      <c r="R190" s="630"/>
      <c r="S190" s="630"/>
      <c r="T190" s="630"/>
      <c r="U190" s="630"/>
      <c r="V190" s="630"/>
      <c r="W190" s="630"/>
      <c r="X190" s="630"/>
      <c r="Y190" s="630"/>
      <c r="Z190" s="630"/>
      <c r="AA190" s="630"/>
      <c r="AB190" s="1">
        <f t="shared" ref="AB190:AB196" si="116">SUM(R190:AA190)</f>
        <v>0</v>
      </c>
      <c r="AC190" s="357" t="e">
        <f t="shared" ref="AC190:AC196" si="117">+AB190/(J190+K190+L190)</f>
        <v>#DIV/0!</v>
      </c>
      <c r="AD190" s="864" t="s">
        <v>144</v>
      </c>
      <c r="AE190" s="865"/>
      <c r="AF190" s="865"/>
      <c r="AG190" s="866"/>
      <c r="AH190" s="866"/>
      <c r="AI190" s="867"/>
    </row>
    <row r="191" spans="1:35" x14ac:dyDescent="0.25">
      <c r="A191" s="638"/>
      <c r="C191" s="369"/>
      <c r="D191" s="369"/>
      <c r="E191" s="630"/>
      <c r="F191" s="630"/>
      <c r="G191" s="264">
        <f t="shared" si="112"/>
        <v>0</v>
      </c>
      <c r="H191" s="442">
        <f t="shared" si="113"/>
        <v>0</v>
      </c>
      <c r="J191" s="630"/>
      <c r="K191" s="630"/>
      <c r="L191" s="630"/>
      <c r="M191" s="630"/>
      <c r="N191" s="1">
        <f>IF(C191&gt;0,((J191*Setup_and_Criteria!$F$13)+('M1_1-15th'!K191*Setup_and_Criteria!$F$14)+('M1_1-15th'!L191*Setup_and_Criteria!$F$15)+('M1_1-15th'!M191*Setup_and_Criteria!$F$16)+Setup_and_Criteria!$J$16),0)</f>
        <v>0</v>
      </c>
      <c r="O191" s="442">
        <f t="shared" ref="O191:O196" si="118">+H191</f>
        <v>0</v>
      </c>
      <c r="P191" s="443">
        <f t="shared" si="114"/>
        <v>0</v>
      </c>
      <c r="Q191" s="357" t="e">
        <f t="shared" si="115"/>
        <v>#DIV/0!</v>
      </c>
      <c r="R191" s="630"/>
      <c r="S191" s="630"/>
      <c r="T191" s="630"/>
      <c r="U191" s="630"/>
      <c r="V191" s="630"/>
      <c r="W191" s="630"/>
      <c r="X191" s="630"/>
      <c r="Y191" s="630"/>
      <c r="Z191" s="630"/>
      <c r="AA191" s="630"/>
      <c r="AB191" s="1">
        <f t="shared" si="116"/>
        <v>0</v>
      </c>
      <c r="AC191" s="357" t="e">
        <f t="shared" si="117"/>
        <v>#DIV/0!</v>
      </c>
      <c r="AD191" s="864"/>
      <c r="AE191" s="865"/>
      <c r="AF191" s="865"/>
      <c r="AG191" s="866"/>
      <c r="AH191" s="866"/>
      <c r="AI191" s="867"/>
    </row>
    <row r="192" spans="1:35" x14ac:dyDescent="0.25">
      <c r="A192" s="638"/>
      <c r="C192" s="630"/>
      <c r="D192" s="630"/>
      <c r="E192" s="630"/>
      <c r="F192" s="630"/>
      <c r="G192" s="264">
        <f t="shared" si="112"/>
        <v>0</v>
      </c>
      <c r="H192" s="442">
        <f t="shared" si="113"/>
        <v>0</v>
      </c>
      <c r="J192" s="630"/>
      <c r="K192" s="630"/>
      <c r="L192" s="630"/>
      <c r="M192" s="630"/>
      <c r="N192" s="1">
        <f>IF(C192&gt;0,((J192*Setup_and_Criteria!$F$13)+('M1_1-15th'!K192*Setup_and_Criteria!$F$14)+('M1_1-15th'!L192*Setup_and_Criteria!$F$15)+('M1_1-15th'!M192*Setup_and_Criteria!$F$16)+Setup_and_Criteria!$J$16),0)</f>
        <v>0</v>
      </c>
      <c r="O192" s="442">
        <f t="shared" si="118"/>
        <v>0</v>
      </c>
      <c r="P192" s="443">
        <f t="shared" si="114"/>
        <v>0</v>
      </c>
      <c r="Q192" s="357" t="e">
        <f t="shared" si="115"/>
        <v>#DIV/0!</v>
      </c>
      <c r="R192" s="630"/>
      <c r="S192" s="630"/>
      <c r="T192" s="630"/>
      <c r="U192" s="630"/>
      <c r="V192" s="630"/>
      <c r="W192" s="630"/>
      <c r="X192" s="630"/>
      <c r="Y192" s="630"/>
      <c r="Z192" s="630"/>
      <c r="AA192" s="630"/>
      <c r="AB192" s="1">
        <f t="shared" si="116"/>
        <v>0</v>
      </c>
      <c r="AC192" s="357" t="e">
        <f t="shared" si="117"/>
        <v>#DIV/0!</v>
      </c>
      <c r="AD192" s="864"/>
      <c r="AE192" s="865"/>
      <c r="AF192" s="865"/>
      <c r="AG192" s="866"/>
      <c r="AH192" s="866"/>
      <c r="AI192" s="867"/>
    </row>
    <row r="193" spans="1:35" x14ac:dyDescent="0.25">
      <c r="A193" s="638"/>
      <c r="C193" s="630"/>
      <c r="D193" s="630"/>
      <c r="E193" s="630"/>
      <c r="F193" s="630"/>
      <c r="G193" s="264">
        <f t="shared" si="112"/>
        <v>0</v>
      </c>
      <c r="H193" s="442">
        <f t="shared" si="113"/>
        <v>0</v>
      </c>
      <c r="J193" s="630"/>
      <c r="K193" s="630"/>
      <c r="L193" s="630"/>
      <c r="M193" s="630"/>
      <c r="N193" s="1">
        <f>IF(C193&gt;0,((J193*Setup_and_Criteria!$F$13)+('M1_1-15th'!K193*Setup_and_Criteria!$F$14)+('M1_1-15th'!L193*Setup_and_Criteria!$F$15)+('M1_1-15th'!M193*Setup_and_Criteria!$F$16)+Setup_and_Criteria!$J$16),0)</f>
        <v>0</v>
      </c>
      <c r="O193" s="442">
        <f t="shared" si="118"/>
        <v>0</v>
      </c>
      <c r="P193" s="443">
        <f t="shared" si="114"/>
        <v>0</v>
      </c>
      <c r="Q193" s="357" t="e">
        <f t="shared" si="115"/>
        <v>#DIV/0!</v>
      </c>
      <c r="R193" s="630"/>
      <c r="S193" s="630"/>
      <c r="T193" s="630"/>
      <c r="U193" s="630"/>
      <c r="V193" s="630"/>
      <c r="W193" s="630"/>
      <c r="X193" s="630"/>
      <c r="Y193" s="630"/>
      <c r="Z193" s="630"/>
      <c r="AA193" s="630"/>
      <c r="AB193" s="1">
        <f t="shared" si="116"/>
        <v>0</v>
      </c>
      <c r="AC193" s="357" t="e">
        <f t="shared" si="117"/>
        <v>#DIV/0!</v>
      </c>
      <c r="AD193" s="864"/>
      <c r="AE193" s="865"/>
      <c r="AF193" s="865"/>
      <c r="AG193" s="866"/>
      <c r="AH193" s="866"/>
      <c r="AI193" s="867"/>
    </row>
    <row r="194" spans="1:35" x14ac:dyDescent="0.25">
      <c r="A194" s="638"/>
      <c r="C194" s="630"/>
      <c r="D194" s="630"/>
      <c r="E194" s="630"/>
      <c r="F194" s="630"/>
      <c r="G194" s="264">
        <f t="shared" si="112"/>
        <v>0</v>
      </c>
      <c r="H194" s="442">
        <f t="shared" si="113"/>
        <v>0</v>
      </c>
      <c r="J194" s="630"/>
      <c r="K194" s="630"/>
      <c r="L194" s="630"/>
      <c r="M194" s="630"/>
      <c r="N194" s="1">
        <f>IF(C194&gt;0,((J194*Setup_and_Criteria!$F$13)+('M1_1-15th'!K194*Setup_and_Criteria!$F$14)+('M1_1-15th'!L194*Setup_and_Criteria!$F$15)+('M1_1-15th'!M194*Setup_and_Criteria!$F$16)+Setup_and_Criteria!$J$16),0)</f>
        <v>0</v>
      </c>
      <c r="O194" s="442">
        <f t="shared" si="118"/>
        <v>0</v>
      </c>
      <c r="P194" s="443">
        <f t="shared" si="114"/>
        <v>0</v>
      </c>
      <c r="Q194" s="357" t="e">
        <f t="shared" si="115"/>
        <v>#DIV/0!</v>
      </c>
      <c r="R194" s="630"/>
      <c r="S194" s="630"/>
      <c r="T194" s="630"/>
      <c r="U194" s="630"/>
      <c r="V194" s="630"/>
      <c r="W194" s="630"/>
      <c r="X194" s="630"/>
      <c r="Y194" s="630"/>
      <c r="Z194" s="630"/>
      <c r="AA194" s="630"/>
      <c r="AB194" s="1">
        <f t="shared" si="116"/>
        <v>0</v>
      </c>
      <c r="AC194" s="357" t="e">
        <f t="shared" si="117"/>
        <v>#DIV/0!</v>
      </c>
      <c r="AD194" s="864"/>
      <c r="AE194" s="865"/>
      <c r="AF194" s="865"/>
      <c r="AG194" s="866"/>
      <c r="AH194" s="866"/>
      <c r="AI194" s="867"/>
    </row>
    <row r="195" spans="1:35" ht="15.75" thickBot="1" x14ac:dyDescent="0.3">
      <c r="A195" s="638"/>
      <c r="C195" s="370"/>
      <c r="D195" s="370"/>
      <c r="E195" s="630"/>
      <c r="F195" s="630"/>
      <c r="G195" s="264">
        <f t="shared" si="112"/>
        <v>0</v>
      </c>
      <c r="H195" s="442">
        <f t="shared" si="113"/>
        <v>0</v>
      </c>
      <c r="J195" s="371"/>
      <c r="K195" s="371"/>
      <c r="L195" s="371"/>
      <c r="M195" s="371"/>
      <c r="N195" s="358">
        <f>IF(C195&gt;0,((J195*Setup_and_Criteria!$F$13)+('M1_1-15th'!K195*Setup_and_Criteria!$F$14)+('M1_1-15th'!L195*Setup_and_Criteria!$F$15)+('M1_1-15th'!M195*Setup_and_Criteria!$F$16)+Setup_and_Criteria!$J$16),0)</f>
        <v>0</v>
      </c>
      <c r="O195" s="359">
        <f t="shared" si="118"/>
        <v>0</v>
      </c>
      <c r="P195" s="383">
        <f t="shared" si="114"/>
        <v>0</v>
      </c>
      <c r="Q195" s="360" t="e">
        <f t="shared" si="115"/>
        <v>#DIV/0!</v>
      </c>
      <c r="R195" s="511"/>
      <c r="S195" s="511"/>
      <c r="T195" s="511"/>
      <c r="U195" s="511"/>
      <c r="V195" s="511"/>
      <c r="W195" s="511"/>
      <c r="X195" s="511"/>
      <c r="Y195" s="511"/>
      <c r="Z195" s="511"/>
      <c r="AA195" s="511"/>
      <c r="AB195" s="358">
        <f t="shared" si="116"/>
        <v>0</v>
      </c>
      <c r="AC195" s="357" t="e">
        <f t="shared" si="117"/>
        <v>#DIV/0!</v>
      </c>
      <c r="AD195" s="864"/>
      <c r="AE195" s="865"/>
      <c r="AF195" s="865"/>
      <c r="AG195" s="866"/>
      <c r="AH195" s="866"/>
      <c r="AI195" s="867"/>
    </row>
    <row r="196" spans="1:35" ht="15.75" thickTop="1" x14ac:dyDescent="0.25">
      <c r="A196" s="58"/>
      <c r="H196" s="442">
        <f>SUM(H190:H195)</f>
        <v>0</v>
      </c>
      <c r="J196" s="1">
        <f>SUM(J190:J195)</f>
        <v>0</v>
      </c>
      <c r="K196" s="1">
        <f>SUM(K190:K195)</f>
        <v>0</v>
      </c>
      <c r="L196" s="1">
        <f>SUM(L190:L195)</f>
        <v>0</v>
      </c>
      <c r="M196" s="1">
        <f>SUM(M190:M195)</f>
        <v>0</v>
      </c>
      <c r="N196" s="1">
        <f>SUM(N190:N195)</f>
        <v>0</v>
      </c>
      <c r="O196" s="1">
        <f t="shared" si="118"/>
        <v>0</v>
      </c>
      <c r="P196" s="443">
        <f t="shared" si="114"/>
        <v>0</v>
      </c>
      <c r="Q196" s="357" t="e">
        <f t="shared" si="115"/>
        <v>#DIV/0!</v>
      </c>
      <c r="R196" s="1">
        <f t="shared" ref="R196:AA196" si="119">SUM(R190:R195)</f>
        <v>0</v>
      </c>
      <c r="S196" s="1">
        <f t="shared" si="119"/>
        <v>0</v>
      </c>
      <c r="T196" s="1">
        <f t="shared" si="119"/>
        <v>0</v>
      </c>
      <c r="U196" s="1">
        <f t="shared" si="119"/>
        <v>0</v>
      </c>
      <c r="V196" s="1">
        <f t="shared" si="119"/>
        <v>0</v>
      </c>
      <c r="W196" s="1">
        <f t="shared" si="119"/>
        <v>0</v>
      </c>
      <c r="X196" s="1">
        <f t="shared" si="119"/>
        <v>0</v>
      </c>
      <c r="Y196" s="1">
        <f t="shared" si="119"/>
        <v>0</v>
      </c>
      <c r="Z196" s="1">
        <f t="shared" si="119"/>
        <v>0</v>
      </c>
      <c r="AA196" s="1">
        <f t="shared" si="119"/>
        <v>0</v>
      </c>
      <c r="AB196" s="1">
        <f t="shared" si="116"/>
        <v>0</v>
      </c>
      <c r="AC196" s="357" t="e">
        <f t="shared" si="117"/>
        <v>#DIV/0!</v>
      </c>
      <c r="AD196" s="877"/>
      <c r="AE196" s="878"/>
      <c r="AF196" s="878"/>
      <c r="AG196" s="749"/>
      <c r="AH196" s="749"/>
      <c r="AI196" s="879"/>
    </row>
    <row r="197" spans="1:35" ht="21" customHeight="1" x14ac:dyDescent="0.35">
      <c r="A197" s="58"/>
      <c r="H197" s="442"/>
      <c r="N197" s="888" t="s">
        <v>145</v>
      </c>
      <c r="O197" s="888"/>
      <c r="P197" s="888"/>
      <c r="Q197" s="888"/>
      <c r="R197" s="431" t="s">
        <v>146</v>
      </c>
      <c r="S197" s="431"/>
      <c r="T197" s="431"/>
      <c r="U197" s="431"/>
      <c r="V197" s="431"/>
      <c r="W197" s="431"/>
      <c r="X197" s="431"/>
      <c r="Y197" s="431"/>
      <c r="Z197" s="431"/>
      <c r="AA197" s="431"/>
      <c r="AB197" s="431"/>
      <c r="AC197" s="431"/>
      <c r="AD197" s="880" t="s">
        <v>132</v>
      </c>
      <c r="AE197" s="881"/>
      <c r="AF197" s="881"/>
      <c r="AG197" s="881"/>
      <c r="AH197" s="881"/>
      <c r="AI197" s="882"/>
    </row>
    <row r="198" spans="1:35" ht="31.5" customHeight="1" x14ac:dyDescent="0.35">
      <c r="A198" s="617" t="s">
        <v>147</v>
      </c>
      <c r="C198" s="885" t="s">
        <v>128</v>
      </c>
      <c r="D198" s="885"/>
      <c r="E198" s="885"/>
      <c r="F198" s="885"/>
      <c r="H198" s="442"/>
      <c r="J198" s="444"/>
      <c r="K198" s="445" t="s">
        <v>35</v>
      </c>
      <c r="L198" s="445" t="s">
        <v>148</v>
      </c>
      <c r="N198" s="446" t="s">
        <v>149</v>
      </c>
      <c r="O198" s="447" t="s">
        <v>150</v>
      </c>
      <c r="P198" s="447" t="s">
        <v>138</v>
      </c>
      <c r="Q198" s="447" t="s">
        <v>151</v>
      </c>
      <c r="R198" s="749" t="s">
        <v>152</v>
      </c>
      <c r="S198" s="749"/>
      <c r="T198" s="897" t="s">
        <v>153</v>
      </c>
      <c r="U198" s="897"/>
      <c r="W198" s="425" t="s">
        <v>154</v>
      </c>
      <c r="X198" s="425"/>
      <c r="Y198" s="425"/>
      <c r="Z198" s="425"/>
      <c r="AA198" s="425"/>
      <c r="AB198" s="425"/>
      <c r="AC198" s="425"/>
      <c r="AD198" s="868" t="s">
        <v>160</v>
      </c>
      <c r="AE198" s="869"/>
      <c r="AF198" s="869"/>
      <c r="AG198" s="869"/>
      <c r="AH198" s="869"/>
      <c r="AI198" s="870"/>
    </row>
    <row r="199" spans="1:35" ht="18" customHeight="1" thickBot="1" x14ac:dyDescent="0.3">
      <c r="A199" s="639"/>
      <c r="B199" s="375"/>
      <c r="C199" s="372"/>
      <c r="D199" s="372"/>
      <c r="E199" s="372"/>
      <c r="F199" s="372"/>
      <c r="G199" s="366">
        <f>+(D199-C199)+(F199-E199)</f>
        <v>0</v>
      </c>
      <c r="H199" s="367">
        <f>+G199*1440</f>
        <v>0</v>
      </c>
      <c r="I199" s="859" t="s">
        <v>155</v>
      </c>
      <c r="J199" s="860"/>
      <c r="K199" s="373"/>
      <c r="L199" s="374"/>
      <c r="M199" s="423"/>
      <c r="N199" s="629">
        <f>+J196+L196+K196+K199+L199</f>
        <v>0</v>
      </c>
      <c r="O199" s="368">
        <f>+(Setup_and_Criteria!$K$31+(J196*Setup_and_Criteria!$F$20)+('M1_1-15th'!K196*Setup_and_Criteria!$F$21)+('M1_1-15th'!L196*Setup_and_Criteria!$F$20))+T199+(K199*Setup_and_Criteria!$F$21)+(Setup_and_Criteria!$F$22*'M1_1-15th'!L199)</f>
        <v>75</v>
      </c>
      <c r="P199" s="367">
        <f>+H199</f>
        <v>0</v>
      </c>
      <c r="Q199" s="367">
        <f>+O199-P199</f>
        <v>75</v>
      </c>
      <c r="R199" s="861"/>
      <c r="S199" s="861"/>
      <c r="T199" s="862"/>
      <c r="U199" s="863"/>
      <c r="V199" s="265" t="s">
        <v>156</v>
      </c>
      <c r="W199" s="854"/>
      <c r="X199" s="855"/>
      <c r="Y199" s="855"/>
      <c r="Z199" s="855"/>
      <c r="AA199" s="855"/>
      <c r="AB199" s="855"/>
      <c r="AC199" s="855"/>
      <c r="AD199" s="868"/>
      <c r="AE199" s="869"/>
      <c r="AF199" s="869"/>
      <c r="AG199" s="869"/>
      <c r="AH199" s="869"/>
      <c r="AI199" s="870"/>
    </row>
    <row r="200" spans="1:35" ht="15.75" thickBot="1" x14ac:dyDescent="0.3">
      <c r="A200" s="449" t="str">
        <f>+A187</f>
        <v>Password to enter data = "Enter Info"</v>
      </c>
      <c r="B200" s="450"/>
      <c r="C200" s="451"/>
      <c r="D200" s="451"/>
      <c r="E200" s="451"/>
      <c r="F200" s="451"/>
      <c r="G200" s="451"/>
      <c r="H200" s="451"/>
      <c r="I200" s="450"/>
      <c r="J200" s="451"/>
      <c r="K200" s="451"/>
      <c r="L200" s="451"/>
      <c r="M200" s="451"/>
      <c r="N200" s="451"/>
      <c r="O200" s="451"/>
      <c r="P200" s="451"/>
      <c r="Q200" s="450"/>
      <c r="R200" s="451"/>
      <c r="S200" s="451"/>
      <c r="T200" s="451"/>
      <c r="U200" s="451"/>
      <c r="V200" s="451"/>
      <c r="W200" s="451"/>
      <c r="X200" s="451"/>
      <c r="Y200" s="451"/>
      <c r="Z200" s="451"/>
      <c r="AA200" s="451"/>
      <c r="AB200" s="450"/>
      <c r="AC200" s="450"/>
      <c r="AD200" s="871"/>
      <c r="AE200" s="872"/>
      <c r="AF200" s="872"/>
      <c r="AG200" s="872"/>
      <c r="AH200" s="872"/>
      <c r="AI200" s="873"/>
    </row>
    <row r="201" spans="1:35" ht="26.25" x14ac:dyDescent="0.4">
      <c r="A201" s="476" t="str">
        <f>+A188</f>
        <v>April</v>
      </c>
      <c r="B201" s="624">
        <f>+B188+1</f>
        <v>31</v>
      </c>
      <c r="C201" s="884" t="s">
        <v>128</v>
      </c>
      <c r="D201" s="884"/>
      <c r="E201" s="884"/>
      <c r="F201" s="884"/>
      <c r="G201" s="377"/>
      <c r="H201" s="377"/>
      <c r="I201" s="21"/>
      <c r="J201" s="874" t="s">
        <v>129</v>
      </c>
      <c r="K201" s="875"/>
      <c r="L201" s="875"/>
      <c r="M201" s="875"/>
      <c r="N201" s="876" t="s">
        <v>130</v>
      </c>
      <c r="O201" s="876"/>
      <c r="P201" s="876"/>
      <c r="Q201" s="876"/>
      <c r="R201" s="424" t="str">
        <f>+R188</f>
        <v xml:space="preserve"> Corrections Tracking - Check out rooms</v>
      </c>
      <c r="S201" s="424"/>
      <c r="T201" s="424"/>
      <c r="U201" s="424"/>
      <c r="V201" s="424"/>
      <c r="W201" s="424"/>
      <c r="X201" s="424"/>
      <c r="Y201" s="424"/>
      <c r="Z201" s="424"/>
      <c r="AA201" s="424"/>
      <c r="AB201" s="424"/>
      <c r="AC201" s="424"/>
      <c r="AD201" s="461" t="s">
        <v>132</v>
      </c>
      <c r="AE201" s="426"/>
      <c r="AF201" s="426"/>
      <c r="AG201" s="426"/>
      <c r="AH201" s="426"/>
      <c r="AI201" s="427"/>
    </row>
    <row r="202" spans="1:35" ht="63" x14ac:dyDescent="0.25">
      <c r="A202" s="378" t="s">
        <v>133</v>
      </c>
      <c r="C202" s="435" t="s">
        <v>134</v>
      </c>
      <c r="D202" s="435" t="s">
        <v>135</v>
      </c>
      <c r="E202" s="435" t="s">
        <v>134</v>
      </c>
      <c r="F202" s="435" t="s">
        <v>135</v>
      </c>
      <c r="G202" s="1" t="s">
        <v>136</v>
      </c>
      <c r="H202" s="1" t="s">
        <v>108</v>
      </c>
      <c r="I202" s="436"/>
      <c r="J202" s="437" t="str">
        <f>+Setup_and_Criteria!$B$13</f>
        <v>Checkouts</v>
      </c>
      <c r="K202" s="437" t="str">
        <f>+Setup_and_Criteria!$B$14</f>
        <v>Pet Rooms</v>
      </c>
      <c r="L202" s="437" t="str">
        <f>+Setup_and_Criteria!$B$15</f>
        <v>2 Rm &amp; Jac Stes</v>
      </c>
      <c r="M202" s="438" t="str">
        <f>+Setup_and_Criteria!$B$16</f>
        <v>Stayovers</v>
      </c>
      <c r="N202" s="269" t="s">
        <v>137</v>
      </c>
      <c r="O202" s="269" t="s">
        <v>138</v>
      </c>
      <c r="P202" s="439" t="s">
        <v>139</v>
      </c>
      <c r="Q202" s="439" t="s">
        <v>140</v>
      </c>
      <c r="R202" s="440" t="str">
        <f>+Corrections!$C$8</f>
        <v>Vanity</v>
      </c>
      <c r="S202" s="440" t="str">
        <f>+Corrections!$I$8</f>
        <v>Toilet</v>
      </c>
      <c r="T202" s="440" t="str">
        <f>+Corrections!$O$8</f>
        <v>Bed/Pillows</v>
      </c>
      <c r="U202" s="440" t="str">
        <f>+Corrections!$U$8</f>
        <v>Floor</v>
      </c>
      <c r="V202" s="440" t="str">
        <f>+Corrections!$AA$8</f>
        <v>Dusting</v>
      </c>
      <c r="W202" s="440" t="str">
        <f>+Corrections!$AG$8</f>
        <v>Fridge/Micro</v>
      </c>
      <c r="X202" s="440" t="str">
        <f>+Corrections!$AM$8</f>
        <v>Tub</v>
      </c>
      <c r="Y202" s="441" t="str">
        <f>+Corrections!$AS$8</f>
        <v>Mirrors/Glass</v>
      </c>
      <c r="Z202" s="440" t="str">
        <f>+Corrections!$AY$8</f>
        <v>Stocking</v>
      </c>
      <c r="AA202" s="440" t="str">
        <f>+Corrections!$BE$8</f>
        <v>Other</v>
      </c>
      <c r="AB202" s="269" t="s">
        <v>141</v>
      </c>
      <c r="AC202" s="269" t="str">
        <f>+$AC$7</f>
        <v>Daily Corr / Inspected Checkout</v>
      </c>
      <c r="AD202" s="889" t="s">
        <v>143</v>
      </c>
      <c r="AE202" s="890"/>
      <c r="AF202" s="890"/>
      <c r="AG202" s="890"/>
      <c r="AH202" s="890"/>
      <c r="AI202" s="891"/>
    </row>
    <row r="203" spans="1:35" x14ac:dyDescent="0.25">
      <c r="A203" s="638"/>
      <c r="C203" s="369"/>
      <c r="D203" s="369"/>
      <c r="E203" s="369"/>
      <c r="F203" s="369"/>
      <c r="G203" s="264">
        <f t="shared" ref="G203:G208" si="120">+(D203-C203)+(F203-E203)</f>
        <v>0</v>
      </c>
      <c r="H203" s="442">
        <f t="shared" ref="H203:H208" si="121">+G203*1440</f>
        <v>0</v>
      </c>
      <c r="J203" s="630"/>
      <c r="K203" s="630"/>
      <c r="L203" s="630"/>
      <c r="M203" s="630"/>
      <c r="N203" s="1">
        <f>IF(C203&gt;0,((J203*Setup_and_Criteria!$F$13)+('M1_1-15th'!K203*Setup_and_Criteria!$F$14)+('M1_1-15th'!L203*Setup_and_Criteria!$F$15)+('M1_1-15th'!M203*Setup_and_Criteria!$F$16)+Setup_and_Criteria!$J$16),0)</f>
        <v>0</v>
      </c>
      <c r="O203" s="442">
        <f>+H203</f>
        <v>0</v>
      </c>
      <c r="P203" s="443">
        <f t="shared" ref="P203:P209" si="122">+N203-O203</f>
        <v>0</v>
      </c>
      <c r="Q203" s="357" t="e">
        <f t="shared" ref="Q203:Q209" si="123">O203/_xlfn.SINGLE(SUM(J203:M203))</f>
        <v>#DIV/0!</v>
      </c>
      <c r="R203" s="630"/>
      <c r="S203" s="630"/>
      <c r="T203" s="630"/>
      <c r="U203" s="630"/>
      <c r="V203" s="630"/>
      <c r="W203" s="630"/>
      <c r="X203" s="630"/>
      <c r="Y203" s="630"/>
      <c r="Z203" s="630"/>
      <c r="AA203" s="630"/>
      <c r="AB203" s="1">
        <f t="shared" ref="AB203:AB209" si="124">SUM(R203:AA203)</f>
        <v>0</v>
      </c>
      <c r="AC203" s="357" t="e">
        <f t="shared" ref="AC203:AC209" si="125">+AB203/(J203+K203+L203)</f>
        <v>#DIV/0!</v>
      </c>
      <c r="AD203" s="864"/>
      <c r="AE203" s="865"/>
      <c r="AF203" s="865"/>
      <c r="AG203" s="866"/>
      <c r="AH203" s="866"/>
      <c r="AI203" s="867"/>
    </row>
    <row r="204" spans="1:35" x14ac:dyDescent="0.25">
      <c r="A204" s="638"/>
      <c r="C204" s="369"/>
      <c r="D204" s="369"/>
      <c r="E204" s="630"/>
      <c r="F204" s="630"/>
      <c r="G204" s="264">
        <f t="shared" si="120"/>
        <v>0</v>
      </c>
      <c r="H204" s="442">
        <f t="shared" si="121"/>
        <v>0</v>
      </c>
      <c r="J204" s="630"/>
      <c r="K204" s="630"/>
      <c r="L204" s="630"/>
      <c r="M204" s="630"/>
      <c r="N204" s="1">
        <f>IF(C204&gt;0,((J204*Setup_and_Criteria!$F$13)+('M1_1-15th'!K204*Setup_and_Criteria!$F$14)+('M1_1-15th'!L204*Setup_and_Criteria!$F$15)+('M1_1-15th'!M204*Setup_and_Criteria!$F$16)+Setup_and_Criteria!$J$16),0)</f>
        <v>0</v>
      </c>
      <c r="O204" s="442">
        <f t="shared" ref="O204:O209" si="126">+H204</f>
        <v>0</v>
      </c>
      <c r="P204" s="443">
        <f t="shared" si="122"/>
        <v>0</v>
      </c>
      <c r="Q204" s="357" t="e">
        <f t="shared" si="123"/>
        <v>#DIV/0!</v>
      </c>
      <c r="R204" s="630"/>
      <c r="S204" s="630"/>
      <c r="T204" s="630"/>
      <c r="U204" s="630"/>
      <c r="V204" s="630"/>
      <c r="W204" s="630"/>
      <c r="X204" s="630"/>
      <c r="Y204" s="630"/>
      <c r="Z204" s="630"/>
      <c r="AA204" s="630"/>
      <c r="AB204" s="1">
        <f t="shared" si="124"/>
        <v>0</v>
      </c>
      <c r="AC204" s="357" t="e">
        <f t="shared" si="125"/>
        <v>#DIV/0!</v>
      </c>
      <c r="AD204" s="864"/>
      <c r="AE204" s="865"/>
      <c r="AF204" s="865"/>
      <c r="AG204" s="866"/>
      <c r="AH204" s="866"/>
      <c r="AI204" s="867"/>
    </row>
    <row r="205" spans="1:35" x14ac:dyDescent="0.25">
      <c r="A205" s="638"/>
      <c r="C205" s="369"/>
      <c r="D205" s="369"/>
      <c r="E205" s="630"/>
      <c r="F205" s="630"/>
      <c r="G205" s="264">
        <f t="shared" si="120"/>
        <v>0</v>
      </c>
      <c r="H205" s="442">
        <f t="shared" si="121"/>
        <v>0</v>
      </c>
      <c r="J205" s="630"/>
      <c r="K205" s="630"/>
      <c r="L205" s="630"/>
      <c r="M205" s="630"/>
      <c r="N205" s="1">
        <f>IF(C205&gt;0,((J205*Setup_and_Criteria!$F$13)+('M1_1-15th'!K205*Setup_and_Criteria!$F$14)+('M1_1-15th'!L205*Setup_and_Criteria!$F$15)+('M1_1-15th'!M205*Setup_and_Criteria!$F$16)+Setup_and_Criteria!$J$16),0)</f>
        <v>0</v>
      </c>
      <c r="O205" s="442">
        <f t="shared" si="126"/>
        <v>0</v>
      </c>
      <c r="P205" s="443">
        <f t="shared" si="122"/>
        <v>0</v>
      </c>
      <c r="Q205" s="357" t="e">
        <f t="shared" si="123"/>
        <v>#DIV/0!</v>
      </c>
      <c r="R205" s="630"/>
      <c r="S205" s="630"/>
      <c r="T205" s="630"/>
      <c r="U205" s="630"/>
      <c r="V205" s="630"/>
      <c r="W205" s="630"/>
      <c r="X205" s="630"/>
      <c r="Y205" s="630"/>
      <c r="Z205" s="630"/>
      <c r="AA205" s="630"/>
      <c r="AB205" s="1">
        <f t="shared" si="124"/>
        <v>0</v>
      </c>
      <c r="AC205" s="357" t="e">
        <f t="shared" si="125"/>
        <v>#DIV/0!</v>
      </c>
      <c r="AD205" s="864"/>
      <c r="AE205" s="865"/>
      <c r="AF205" s="865"/>
      <c r="AG205" s="866"/>
      <c r="AH205" s="866"/>
      <c r="AI205" s="867"/>
    </row>
    <row r="206" spans="1:35" x14ac:dyDescent="0.25">
      <c r="A206" s="638"/>
      <c r="C206" s="630"/>
      <c r="D206" s="630"/>
      <c r="E206" s="630"/>
      <c r="F206" s="630"/>
      <c r="G206" s="264">
        <f t="shared" si="120"/>
        <v>0</v>
      </c>
      <c r="H206" s="442">
        <f t="shared" si="121"/>
        <v>0</v>
      </c>
      <c r="J206" s="630"/>
      <c r="K206" s="630"/>
      <c r="L206" s="630"/>
      <c r="M206" s="630"/>
      <c r="N206" s="1">
        <f>IF(C206&gt;0,((J206*Setup_and_Criteria!$F$13)+('M1_1-15th'!K206*Setup_and_Criteria!$F$14)+('M1_1-15th'!L206*Setup_and_Criteria!$F$15)+('M1_1-15th'!M206*Setup_and_Criteria!$F$16)+Setup_and_Criteria!$J$16),0)</f>
        <v>0</v>
      </c>
      <c r="O206" s="442">
        <f t="shared" si="126"/>
        <v>0</v>
      </c>
      <c r="P206" s="443">
        <f t="shared" si="122"/>
        <v>0</v>
      </c>
      <c r="Q206" s="357" t="e">
        <f t="shared" si="123"/>
        <v>#DIV/0!</v>
      </c>
      <c r="R206" s="630"/>
      <c r="S206" s="630"/>
      <c r="T206" s="630"/>
      <c r="U206" s="630"/>
      <c r="V206" s="630"/>
      <c r="W206" s="630"/>
      <c r="X206" s="630"/>
      <c r="Y206" s="630"/>
      <c r="Z206" s="630"/>
      <c r="AA206" s="630"/>
      <c r="AB206" s="1">
        <f t="shared" si="124"/>
        <v>0</v>
      </c>
      <c r="AC206" s="357" t="e">
        <f t="shared" si="125"/>
        <v>#DIV/0!</v>
      </c>
      <c r="AD206" s="864"/>
      <c r="AE206" s="865"/>
      <c r="AF206" s="865"/>
      <c r="AG206" s="866"/>
      <c r="AH206" s="866"/>
      <c r="AI206" s="867"/>
    </row>
    <row r="207" spans="1:35" x14ac:dyDescent="0.25">
      <c r="A207" s="638"/>
      <c r="C207" s="630"/>
      <c r="D207" s="630"/>
      <c r="E207" s="630"/>
      <c r="F207" s="630"/>
      <c r="G207" s="264">
        <f t="shared" si="120"/>
        <v>0</v>
      </c>
      <c r="H207" s="442">
        <f t="shared" si="121"/>
        <v>0</v>
      </c>
      <c r="J207" s="630"/>
      <c r="K207" s="630"/>
      <c r="L207" s="630"/>
      <c r="M207" s="630"/>
      <c r="N207" s="1">
        <f>IF(C207&gt;0,((J207*Setup_and_Criteria!$F$13)+('M1_1-15th'!K207*Setup_and_Criteria!$F$14)+('M1_1-15th'!L207*Setup_and_Criteria!$F$15)+('M1_1-15th'!M207*Setup_and_Criteria!$F$16)+Setup_and_Criteria!$J$16),0)</f>
        <v>0</v>
      </c>
      <c r="O207" s="442">
        <f t="shared" si="126"/>
        <v>0</v>
      </c>
      <c r="P207" s="443">
        <f t="shared" si="122"/>
        <v>0</v>
      </c>
      <c r="Q207" s="357" t="e">
        <f t="shared" si="123"/>
        <v>#DIV/0!</v>
      </c>
      <c r="R207" s="630"/>
      <c r="S207" s="630"/>
      <c r="T207" s="630"/>
      <c r="U207" s="630"/>
      <c r="V207" s="630"/>
      <c r="W207" s="630"/>
      <c r="X207" s="630"/>
      <c r="Y207" s="630"/>
      <c r="Z207" s="630"/>
      <c r="AA207" s="630"/>
      <c r="AB207" s="1">
        <f t="shared" si="124"/>
        <v>0</v>
      </c>
      <c r="AC207" s="357" t="e">
        <f t="shared" si="125"/>
        <v>#DIV/0!</v>
      </c>
      <c r="AD207" s="864"/>
      <c r="AE207" s="865"/>
      <c r="AF207" s="865"/>
      <c r="AG207" s="866"/>
      <c r="AH207" s="866"/>
      <c r="AI207" s="867"/>
    </row>
    <row r="208" spans="1:35" ht="15.75" thickBot="1" x14ac:dyDescent="0.3">
      <c r="A208" s="638"/>
      <c r="C208" s="370"/>
      <c r="D208" s="370"/>
      <c r="E208" s="630"/>
      <c r="F208" s="630"/>
      <c r="G208" s="264">
        <f t="shared" si="120"/>
        <v>0</v>
      </c>
      <c r="H208" s="442">
        <f t="shared" si="121"/>
        <v>0</v>
      </c>
      <c r="J208" s="371"/>
      <c r="K208" s="371"/>
      <c r="L208" s="371"/>
      <c r="M208" s="371"/>
      <c r="N208" s="358">
        <f>IF(C208&gt;0,((J208*Setup_and_Criteria!$F$13)+('M1_1-15th'!K208*Setup_and_Criteria!$F$14)+('M1_1-15th'!L208*Setup_and_Criteria!$F$15)+('M1_1-15th'!M208*Setup_and_Criteria!$F$16)+Setup_and_Criteria!$J$16),0)</f>
        <v>0</v>
      </c>
      <c r="O208" s="359">
        <f t="shared" si="126"/>
        <v>0</v>
      </c>
      <c r="P208" s="383">
        <f t="shared" si="122"/>
        <v>0</v>
      </c>
      <c r="Q208" s="360" t="e">
        <f t="shared" si="123"/>
        <v>#DIV/0!</v>
      </c>
      <c r="R208" s="511"/>
      <c r="S208" s="511"/>
      <c r="T208" s="511"/>
      <c r="U208" s="511"/>
      <c r="V208" s="511"/>
      <c r="W208" s="511"/>
      <c r="X208" s="511"/>
      <c r="Y208" s="511"/>
      <c r="Z208" s="511"/>
      <c r="AA208" s="511"/>
      <c r="AB208" s="358">
        <f t="shared" si="124"/>
        <v>0</v>
      </c>
      <c r="AC208" s="357" t="e">
        <f t="shared" si="125"/>
        <v>#DIV/0!</v>
      </c>
      <c r="AD208" s="864"/>
      <c r="AE208" s="865"/>
      <c r="AF208" s="865"/>
      <c r="AG208" s="866"/>
      <c r="AH208" s="866"/>
      <c r="AI208" s="867"/>
    </row>
    <row r="209" spans="1:35" ht="15.75" thickTop="1" x14ac:dyDescent="0.25">
      <c r="A209" s="58"/>
      <c r="H209" s="442">
        <f>SUM(H203:H208)</f>
        <v>0</v>
      </c>
      <c r="J209" s="1">
        <f>SUM(J203:J208)</f>
        <v>0</v>
      </c>
      <c r="K209" s="1">
        <f>SUM(K203:K208)</f>
        <v>0</v>
      </c>
      <c r="L209" s="1">
        <f>SUM(L203:L208)</f>
        <v>0</v>
      </c>
      <c r="M209" s="1">
        <f>SUM(M203:M208)</f>
        <v>0</v>
      </c>
      <c r="N209" s="1">
        <f>SUM(N203:N208)</f>
        <v>0</v>
      </c>
      <c r="O209" s="1">
        <f t="shared" si="126"/>
        <v>0</v>
      </c>
      <c r="P209" s="443">
        <f t="shared" si="122"/>
        <v>0</v>
      </c>
      <c r="Q209" s="357" t="e">
        <f t="shared" si="123"/>
        <v>#DIV/0!</v>
      </c>
      <c r="R209" s="1">
        <f t="shared" ref="R209:AA209" si="127">SUM(R203:R208)</f>
        <v>0</v>
      </c>
      <c r="S209" s="1">
        <f t="shared" si="127"/>
        <v>0</v>
      </c>
      <c r="T209" s="1">
        <f t="shared" si="127"/>
        <v>0</v>
      </c>
      <c r="U209" s="1">
        <f t="shared" si="127"/>
        <v>0</v>
      </c>
      <c r="V209" s="1">
        <f t="shared" si="127"/>
        <v>0</v>
      </c>
      <c r="W209" s="1">
        <f t="shared" si="127"/>
        <v>0</v>
      </c>
      <c r="X209" s="1">
        <f t="shared" si="127"/>
        <v>0</v>
      </c>
      <c r="Y209" s="1">
        <f t="shared" si="127"/>
        <v>0</v>
      </c>
      <c r="Z209" s="1">
        <f t="shared" si="127"/>
        <v>0</v>
      </c>
      <c r="AA209" s="1">
        <f t="shared" si="127"/>
        <v>0</v>
      </c>
      <c r="AB209" s="1">
        <f t="shared" si="124"/>
        <v>0</v>
      </c>
      <c r="AC209" s="357" t="e">
        <f t="shared" si="125"/>
        <v>#DIV/0!</v>
      </c>
      <c r="AD209" s="877"/>
      <c r="AE209" s="878"/>
      <c r="AF209" s="878"/>
      <c r="AG209" s="749"/>
      <c r="AH209" s="749"/>
      <c r="AI209" s="879"/>
    </row>
    <row r="210" spans="1:35" ht="21" x14ac:dyDescent="0.35">
      <c r="A210" s="58"/>
      <c r="H210" s="442"/>
      <c r="N210" s="888" t="s">
        <v>145</v>
      </c>
      <c r="O210" s="888"/>
      <c r="P210" s="888"/>
      <c r="Q210" s="888"/>
      <c r="R210" s="431" t="s">
        <v>146</v>
      </c>
      <c r="S210" s="431"/>
      <c r="T210" s="431"/>
      <c r="U210" s="431"/>
      <c r="V210" s="431"/>
      <c r="W210" s="431"/>
      <c r="X210" s="431"/>
      <c r="Y210" s="431"/>
      <c r="Z210" s="431"/>
      <c r="AA210" s="431"/>
      <c r="AB210" s="431"/>
      <c r="AC210" s="431"/>
      <c r="AD210" s="880" t="s">
        <v>132</v>
      </c>
      <c r="AE210" s="881"/>
      <c r="AF210" s="881"/>
      <c r="AG210" s="881"/>
      <c r="AH210" s="881"/>
      <c r="AI210" s="882"/>
    </row>
    <row r="211" spans="1:35" ht="26.25" x14ac:dyDescent="0.35">
      <c r="A211" s="617" t="s">
        <v>147</v>
      </c>
      <c r="C211" s="885" t="s">
        <v>128</v>
      </c>
      <c r="D211" s="885"/>
      <c r="E211" s="885"/>
      <c r="F211" s="885"/>
      <c r="H211" s="442"/>
      <c r="J211" s="444"/>
      <c r="K211" s="445" t="s">
        <v>35</v>
      </c>
      <c r="L211" s="445" t="s">
        <v>148</v>
      </c>
      <c r="N211" s="446" t="s">
        <v>149</v>
      </c>
      <c r="O211" s="447" t="s">
        <v>150</v>
      </c>
      <c r="P211" s="447" t="s">
        <v>138</v>
      </c>
      <c r="Q211" s="447" t="s">
        <v>151</v>
      </c>
      <c r="R211" s="749" t="s">
        <v>152</v>
      </c>
      <c r="S211" s="749"/>
      <c r="T211" s="897" t="s">
        <v>153</v>
      </c>
      <c r="U211" s="897"/>
      <c r="W211" s="425" t="s">
        <v>154</v>
      </c>
      <c r="X211" s="425"/>
      <c r="Y211" s="425"/>
      <c r="Z211" s="425"/>
      <c r="AA211" s="425"/>
      <c r="AB211" s="425"/>
      <c r="AC211" s="425"/>
      <c r="AD211" s="868" t="s">
        <v>160</v>
      </c>
      <c r="AE211" s="869"/>
      <c r="AF211" s="869"/>
      <c r="AG211" s="869"/>
      <c r="AH211" s="869"/>
      <c r="AI211" s="870"/>
    </row>
    <row r="212" spans="1:35" ht="16.5" thickBot="1" x14ac:dyDescent="0.3">
      <c r="A212" s="639"/>
      <c r="B212" s="375"/>
      <c r="C212" s="372"/>
      <c r="D212" s="372"/>
      <c r="E212" s="372"/>
      <c r="F212" s="372"/>
      <c r="G212" s="366">
        <f>+(D212-C212)+(F212-E212)</f>
        <v>0</v>
      </c>
      <c r="H212" s="367">
        <f>+G212*1440</f>
        <v>0</v>
      </c>
      <c r="I212" s="859" t="s">
        <v>155</v>
      </c>
      <c r="J212" s="860"/>
      <c r="K212" s="373"/>
      <c r="L212" s="374"/>
      <c r="M212" s="423"/>
      <c r="N212" s="629">
        <f>+J209+L209+K209+K212+L212</f>
        <v>0</v>
      </c>
      <c r="O212" s="368">
        <f>+(Setup_and_Criteria!$K$31+(J209*Setup_and_Criteria!$F$20)+('M1_1-15th'!K209*Setup_and_Criteria!$F$21)+('M1_1-15th'!L209*Setup_and_Criteria!$F$20))+T212+(K212*Setup_and_Criteria!$F$21)+(Setup_and_Criteria!$F$22*'M1_1-15th'!L212)</f>
        <v>75</v>
      </c>
      <c r="P212" s="367">
        <f>+H212</f>
        <v>0</v>
      </c>
      <c r="Q212" s="367">
        <f>+O212-P212</f>
        <v>75</v>
      </c>
      <c r="R212" s="861"/>
      <c r="S212" s="861"/>
      <c r="T212" s="862"/>
      <c r="U212" s="863"/>
      <c r="V212" s="265" t="s">
        <v>156</v>
      </c>
      <c r="W212" s="854"/>
      <c r="X212" s="855"/>
      <c r="Y212" s="855"/>
      <c r="Z212" s="855"/>
      <c r="AA212" s="855"/>
      <c r="AB212" s="855"/>
      <c r="AC212" s="855"/>
      <c r="AD212" s="868"/>
      <c r="AE212" s="869"/>
      <c r="AF212" s="869"/>
      <c r="AG212" s="869"/>
      <c r="AH212" s="869"/>
      <c r="AI212" s="870"/>
    </row>
    <row r="213" spans="1:35" ht="15.75" thickBot="1" x14ac:dyDescent="0.3">
      <c r="A213" s="449" t="str">
        <f>+A200</f>
        <v>Password to enter data = "Enter Info"</v>
      </c>
      <c r="B213" s="450"/>
      <c r="C213" s="451"/>
      <c r="D213" s="451"/>
      <c r="E213" s="451"/>
      <c r="F213" s="451"/>
      <c r="G213" s="451"/>
      <c r="H213" s="451"/>
      <c r="I213" s="450"/>
      <c r="J213" s="451"/>
      <c r="K213" s="451"/>
      <c r="L213" s="451"/>
      <c r="M213" s="451"/>
      <c r="N213" s="451"/>
      <c r="O213" s="451"/>
      <c r="P213" s="451"/>
      <c r="Q213" s="450"/>
      <c r="R213" s="451"/>
      <c r="S213" s="451"/>
      <c r="T213" s="451"/>
      <c r="U213" s="451"/>
      <c r="V213" s="451"/>
      <c r="W213" s="451"/>
      <c r="X213" s="451"/>
      <c r="Y213" s="451"/>
      <c r="Z213" s="451"/>
      <c r="AA213" s="451"/>
      <c r="AB213" s="450"/>
      <c r="AC213" s="450"/>
      <c r="AD213" s="871"/>
      <c r="AE213" s="872"/>
      <c r="AF213" s="872"/>
      <c r="AG213" s="872"/>
      <c r="AH213" s="872"/>
      <c r="AI213" s="873"/>
    </row>
    <row r="215" spans="1:35" x14ac:dyDescent="0.25">
      <c r="B215" s="748"/>
      <c r="C215" s="748"/>
      <c r="D215" s="406"/>
      <c r="I215" s="1"/>
      <c r="K215"/>
    </row>
  </sheetData>
  <protectedRanges>
    <protectedRange algorithmName="SHA-512" hashValue="WQPgLECVMT/YYaDiuHjHJ9r21v98HLbqUr4mcfvrA3td6K80nic/KE+h3Np/4EWmHtGXWtPJ4mPAOdNnAseWlg==" saltValue="LXMb0SypwaKszKargkUYCw==" spinCount="100000" sqref="A8:A212" name="Names"/>
    <protectedRange algorithmName="SHA-512" hashValue="oRYh3bqazZl0ifIbEGeusFeaJ1jVvzub5wbEXUX8n7JGjjGyPR7sQAIVip279H9FGLsm5+EqC58eWrgzwkrBMA==" saltValue="BURQC5XW9ayCKHbGGG5JAw==" spinCount="100000" sqref="R8:AA16 R201:AA211 T212:AA212 T199:AA199 R187:AA198 T186:AA186 R174:AA185 T173:AA173 R161:AA172 T160:AA160 R148:AA159 T147:AA147 R135:AA146 T134:AA134 R122:AA133 T121:AA121 R109:AA120 T108:AA108 R96:AA107 T95:AA95 R83:AA94 T82:AA82 R70:AA81 T69:AA69 R57:AA68 T56:AA56 R44:AA55 T43:AA43 R31:AA42 T30:AA30 R18:AA29 T17:AA17" name="Corrections Tracking"/>
    <protectedRange algorithmName="SHA-512" hashValue="YWBRJAZI5q2Xrq+KyT3zVr15OX7uuRhfqBuj3B4Ey25Nx6lDVXf1yN1vQRpqL2Zb4U+ikOAI3N1kgYfpP/ETew==" saltValue="L+uE65ZdTMv6z8KX8mra4g==" spinCount="100000" sqref="I7:M199 I201:M212" name="Rooms Cleaned and Inspected"/>
    <protectedRange algorithmName="SHA-512" hashValue="HtLnHPcTxLat91gpx1RElzjAjyD8EelDKfcdJIzPzixUDC1bPqmHjcxA+Jf6905m/Q9mMHh30+0wh5BstdaTSg==" saltValue="TXG3+wylnBVSaSzjn+S+ow==" spinCount="100000" sqref="C8:F199 C201:F212" name="TimeClock"/>
    <protectedRange algorithmName="SHA-512" hashValue="9o5rmy+N3oLZkzVQ5nTS9aoa4tFWlXOirkshpCJSkqqBB2SCaDWSlY6k7YumLGAjuktGKWGtGOAoCXARLdbeUA==" saltValue="e7vCUb3fFCUrMQqNUPCqDQ==" spinCount="100000" sqref="AD6:AI213" name="Daily Notes"/>
    <protectedRange algorithmName="SHA-512" hashValue="oRYh3bqazZl0ifIbEGeusFeaJ1jVvzub5wbEXUX8n7JGjjGyPR7sQAIVip279H9FGLsm5+EqC58eWrgzwkrBMA==" saltValue="BURQC5XW9ayCKHbGGG5JAw==" spinCount="100000" sqref="R212:S212" name="Corrections Tracking_1"/>
    <protectedRange algorithmName="SHA-512" hashValue="oRYh3bqazZl0ifIbEGeusFeaJ1jVvzub5wbEXUX8n7JGjjGyPR7sQAIVip279H9FGLsm5+EqC58eWrgzwkrBMA==" saltValue="BURQC5XW9ayCKHbGGG5JAw==" spinCount="100000" sqref="R199:S199" name="Corrections Tracking_2"/>
    <protectedRange algorithmName="SHA-512" hashValue="oRYh3bqazZl0ifIbEGeusFeaJ1jVvzub5wbEXUX8n7JGjjGyPR7sQAIVip279H9FGLsm5+EqC58eWrgzwkrBMA==" saltValue="BURQC5XW9ayCKHbGGG5JAw==" spinCount="100000" sqref="R186:S186" name="Corrections Tracking_3"/>
    <protectedRange algorithmName="SHA-512" hashValue="oRYh3bqazZl0ifIbEGeusFeaJ1jVvzub5wbEXUX8n7JGjjGyPR7sQAIVip279H9FGLsm5+EqC58eWrgzwkrBMA==" saltValue="BURQC5XW9ayCKHbGGG5JAw==" spinCount="100000" sqref="R173:S173" name="Corrections Tracking_4"/>
    <protectedRange algorithmName="SHA-512" hashValue="oRYh3bqazZl0ifIbEGeusFeaJ1jVvzub5wbEXUX8n7JGjjGyPR7sQAIVip279H9FGLsm5+EqC58eWrgzwkrBMA==" saltValue="BURQC5XW9ayCKHbGGG5JAw==" spinCount="100000" sqref="R160:S160 R147:S147 R134:S134 R121:S121 R108:S108 R95:S95 R82:S82 R69:S69 R56:S56 R43:S43 R30:S30 R17:S17" name="Corrections Tracking_6"/>
  </protectedRanges>
  <mergeCells count="340">
    <mergeCell ref="AD202:AI202"/>
    <mergeCell ref="AD203:AI203"/>
    <mergeCell ref="AD204:AI204"/>
    <mergeCell ref="AD205:AI205"/>
    <mergeCell ref="AD206:AI206"/>
    <mergeCell ref="AD207:AI207"/>
    <mergeCell ref="B215:C215"/>
    <mergeCell ref="C201:F201"/>
    <mergeCell ref="J201:M201"/>
    <mergeCell ref="N201:Q201"/>
    <mergeCell ref="T212:U212"/>
    <mergeCell ref="W212:AC212"/>
    <mergeCell ref="AD208:AI208"/>
    <mergeCell ref="AD209:AI209"/>
    <mergeCell ref="N210:Q210"/>
    <mergeCell ref="AD210:AI210"/>
    <mergeCell ref="C211:F211"/>
    <mergeCell ref="R211:S211"/>
    <mergeCell ref="T211:U211"/>
    <mergeCell ref="AD211:AI213"/>
    <mergeCell ref="I212:J212"/>
    <mergeCell ref="R212:S212"/>
    <mergeCell ref="C198:F198"/>
    <mergeCell ref="R198:S198"/>
    <mergeCell ref="T198:U198"/>
    <mergeCell ref="AD198:AI200"/>
    <mergeCell ref="I199:J199"/>
    <mergeCell ref="R199:S199"/>
    <mergeCell ref="T199:U199"/>
    <mergeCell ref="W199:AC199"/>
    <mergeCell ref="AD192:AI192"/>
    <mergeCell ref="AD193:AI193"/>
    <mergeCell ref="AD194:AI194"/>
    <mergeCell ref="AD195:AI195"/>
    <mergeCell ref="AD196:AI196"/>
    <mergeCell ref="N197:Q197"/>
    <mergeCell ref="AD197:AI197"/>
    <mergeCell ref="C188:F188"/>
    <mergeCell ref="J188:M188"/>
    <mergeCell ref="N188:Q188"/>
    <mergeCell ref="AD189:AI189"/>
    <mergeCell ref="AD190:AI190"/>
    <mergeCell ref="AD191:AI191"/>
    <mergeCell ref="C185:F185"/>
    <mergeCell ref="R185:S185"/>
    <mergeCell ref="T185:U185"/>
    <mergeCell ref="AD185:AI187"/>
    <mergeCell ref="I186:J186"/>
    <mergeCell ref="R186:S186"/>
    <mergeCell ref="T186:U186"/>
    <mergeCell ref="W186:AC186"/>
    <mergeCell ref="AD179:AI179"/>
    <mergeCell ref="AD180:AI180"/>
    <mergeCell ref="AD181:AI181"/>
    <mergeCell ref="AD182:AI182"/>
    <mergeCell ref="AD183:AI183"/>
    <mergeCell ref="N184:Q184"/>
    <mergeCell ref="AD184:AI184"/>
    <mergeCell ref="C175:F175"/>
    <mergeCell ref="J175:M175"/>
    <mergeCell ref="N175:Q175"/>
    <mergeCell ref="AD176:AI176"/>
    <mergeCell ref="AD177:AI177"/>
    <mergeCell ref="AD178:AI178"/>
    <mergeCell ref="C172:F172"/>
    <mergeCell ref="R172:S172"/>
    <mergeCell ref="T172:U172"/>
    <mergeCell ref="AD172:AI174"/>
    <mergeCell ref="I173:J173"/>
    <mergeCell ref="R173:S173"/>
    <mergeCell ref="T173:U173"/>
    <mergeCell ref="W173:AC173"/>
    <mergeCell ref="AD166:AI166"/>
    <mergeCell ref="AD167:AI167"/>
    <mergeCell ref="AD168:AI168"/>
    <mergeCell ref="AD169:AI169"/>
    <mergeCell ref="AD170:AI170"/>
    <mergeCell ref="N171:Q171"/>
    <mergeCell ref="AD171:AI171"/>
    <mergeCell ref="C162:F162"/>
    <mergeCell ref="J162:M162"/>
    <mergeCell ref="N162:Q162"/>
    <mergeCell ref="AD163:AI163"/>
    <mergeCell ref="AD164:AI164"/>
    <mergeCell ref="AD165:AI165"/>
    <mergeCell ref="C159:F159"/>
    <mergeCell ref="R159:S159"/>
    <mergeCell ref="T159:U159"/>
    <mergeCell ref="AD159:AI161"/>
    <mergeCell ref="I160:J160"/>
    <mergeCell ref="R160:S160"/>
    <mergeCell ref="T160:U160"/>
    <mergeCell ref="W160:AC160"/>
    <mergeCell ref="AD153:AI153"/>
    <mergeCell ref="AD154:AI154"/>
    <mergeCell ref="AD155:AI155"/>
    <mergeCell ref="AD156:AI156"/>
    <mergeCell ref="AD157:AI157"/>
    <mergeCell ref="N158:Q158"/>
    <mergeCell ref="AD158:AI158"/>
    <mergeCell ref="C149:F149"/>
    <mergeCell ref="J149:M149"/>
    <mergeCell ref="N149:Q149"/>
    <mergeCell ref="AD150:AI150"/>
    <mergeCell ref="AD151:AI151"/>
    <mergeCell ref="AD152:AI152"/>
    <mergeCell ref="C146:F146"/>
    <mergeCell ref="R146:S146"/>
    <mergeCell ref="T146:U146"/>
    <mergeCell ref="AD146:AI148"/>
    <mergeCell ref="I147:J147"/>
    <mergeCell ref="R147:S147"/>
    <mergeCell ref="T147:U147"/>
    <mergeCell ref="W147:AC147"/>
    <mergeCell ref="AD140:AI140"/>
    <mergeCell ref="AD141:AI141"/>
    <mergeCell ref="AD142:AI142"/>
    <mergeCell ref="AD143:AI143"/>
    <mergeCell ref="AD144:AI144"/>
    <mergeCell ref="N145:Q145"/>
    <mergeCell ref="AD145:AI145"/>
    <mergeCell ref="C136:F136"/>
    <mergeCell ref="J136:M136"/>
    <mergeCell ref="N136:Q136"/>
    <mergeCell ref="AD137:AI137"/>
    <mergeCell ref="AD138:AI138"/>
    <mergeCell ref="AD139:AI139"/>
    <mergeCell ref="C133:F133"/>
    <mergeCell ref="R133:S133"/>
    <mergeCell ref="T133:U133"/>
    <mergeCell ref="AD133:AI135"/>
    <mergeCell ref="I134:J134"/>
    <mergeCell ref="R134:S134"/>
    <mergeCell ref="T134:U134"/>
    <mergeCell ref="W134:AC134"/>
    <mergeCell ref="AD127:AI127"/>
    <mergeCell ref="AD128:AI128"/>
    <mergeCell ref="AD129:AI129"/>
    <mergeCell ref="AD130:AI130"/>
    <mergeCell ref="AD131:AI131"/>
    <mergeCell ref="N132:Q132"/>
    <mergeCell ref="AD132:AI132"/>
    <mergeCell ref="C123:F123"/>
    <mergeCell ref="J123:M123"/>
    <mergeCell ref="N123:Q123"/>
    <mergeCell ref="AD124:AI124"/>
    <mergeCell ref="AD125:AI125"/>
    <mergeCell ref="AD126:AI126"/>
    <mergeCell ref="C120:F120"/>
    <mergeCell ref="R120:S120"/>
    <mergeCell ref="T120:U120"/>
    <mergeCell ref="AD120:AI122"/>
    <mergeCell ref="I121:J121"/>
    <mergeCell ref="R121:S121"/>
    <mergeCell ref="T121:U121"/>
    <mergeCell ref="W121:AC121"/>
    <mergeCell ref="AD114:AI114"/>
    <mergeCell ref="AD115:AI115"/>
    <mergeCell ref="AD116:AI116"/>
    <mergeCell ref="AD117:AI117"/>
    <mergeCell ref="AD118:AI118"/>
    <mergeCell ref="N119:Q119"/>
    <mergeCell ref="AD119:AI119"/>
    <mergeCell ref="C110:F110"/>
    <mergeCell ref="J110:M110"/>
    <mergeCell ref="N110:Q110"/>
    <mergeCell ref="AD111:AI111"/>
    <mergeCell ref="AD112:AI112"/>
    <mergeCell ref="AD113:AI113"/>
    <mergeCell ref="C107:F107"/>
    <mergeCell ref="R107:S107"/>
    <mergeCell ref="T107:U107"/>
    <mergeCell ref="AD107:AI109"/>
    <mergeCell ref="I108:J108"/>
    <mergeCell ref="R108:S108"/>
    <mergeCell ref="T108:U108"/>
    <mergeCell ref="W108:AC108"/>
    <mergeCell ref="AD101:AI101"/>
    <mergeCell ref="AD102:AI102"/>
    <mergeCell ref="AD103:AI103"/>
    <mergeCell ref="AD104:AI104"/>
    <mergeCell ref="AD105:AI105"/>
    <mergeCell ref="N106:Q106"/>
    <mergeCell ref="AD106:AI106"/>
    <mergeCell ref="C97:F97"/>
    <mergeCell ref="J97:M97"/>
    <mergeCell ref="N97:Q97"/>
    <mergeCell ref="AD98:AI98"/>
    <mergeCell ref="AD99:AI99"/>
    <mergeCell ref="AD100:AI100"/>
    <mergeCell ref="C94:F94"/>
    <mergeCell ref="R94:S94"/>
    <mergeCell ref="T94:U94"/>
    <mergeCell ref="AD94:AI96"/>
    <mergeCell ref="I95:J95"/>
    <mergeCell ref="R95:S95"/>
    <mergeCell ref="T95:U95"/>
    <mergeCell ref="W95:AC95"/>
    <mergeCell ref="AD88:AI88"/>
    <mergeCell ref="AD89:AI89"/>
    <mergeCell ref="AD90:AI90"/>
    <mergeCell ref="AD91:AI91"/>
    <mergeCell ref="AD92:AI92"/>
    <mergeCell ref="N93:Q93"/>
    <mergeCell ref="AD93:AI93"/>
    <mergeCell ref="C84:F84"/>
    <mergeCell ref="J84:M84"/>
    <mergeCell ref="N84:Q84"/>
    <mergeCell ref="AD85:AI85"/>
    <mergeCell ref="AD86:AI86"/>
    <mergeCell ref="AD87:AI87"/>
    <mergeCell ref="C81:F81"/>
    <mergeCell ref="R81:S81"/>
    <mergeCell ref="T81:U81"/>
    <mergeCell ref="AD81:AI83"/>
    <mergeCell ref="I82:J82"/>
    <mergeCell ref="R82:S82"/>
    <mergeCell ref="T82:U82"/>
    <mergeCell ref="W82:AC82"/>
    <mergeCell ref="AD75:AI75"/>
    <mergeCell ref="AD76:AI76"/>
    <mergeCell ref="AD77:AI77"/>
    <mergeCell ref="AD78:AI78"/>
    <mergeCell ref="AD79:AI79"/>
    <mergeCell ref="N80:Q80"/>
    <mergeCell ref="AD80:AI80"/>
    <mergeCell ref="C71:F71"/>
    <mergeCell ref="J71:M71"/>
    <mergeCell ref="N71:Q71"/>
    <mergeCell ref="AD72:AI72"/>
    <mergeCell ref="AD73:AI73"/>
    <mergeCell ref="AD74:AI74"/>
    <mergeCell ref="C68:F68"/>
    <mergeCell ref="R68:S68"/>
    <mergeCell ref="T68:U68"/>
    <mergeCell ref="AD68:AI70"/>
    <mergeCell ref="I69:J69"/>
    <mergeCell ref="R69:S69"/>
    <mergeCell ref="T69:U69"/>
    <mergeCell ref="W69:AC69"/>
    <mergeCell ref="AD62:AI62"/>
    <mergeCell ref="AD63:AI63"/>
    <mergeCell ref="AD64:AI64"/>
    <mergeCell ref="AD65:AI65"/>
    <mergeCell ref="AD66:AI66"/>
    <mergeCell ref="N67:Q67"/>
    <mergeCell ref="AD67:AI67"/>
    <mergeCell ref="C58:F58"/>
    <mergeCell ref="J58:M58"/>
    <mergeCell ref="N58:Q58"/>
    <mergeCell ref="AD59:AI59"/>
    <mergeCell ref="AD60:AI60"/>
    <mergeCell ref="AD61:AI61"/>
    <mergeCell ref="C55:F55"/>
    <mergeCell ref="R55:S55"/>
    <mergeCell ref="T55:U55"/>
    <mergeCell ref="AD55:AI57"/>
    <mergeCell ref="I56:J56"/>
    <mergeCell ref="R56:S56"/>
    <mergeCell ref="T56:U56"/>
    <mergeCell ref="W56:AC56"/>
    <mergeCell ref="AD49:AI49"/>
    <mergeCell ref="AD50:AI50"/>
    <mergeCell ref="AD51:AI51"/>
    <mergeCell ref="AD52:AI52"/>
    <mergeCell ref="AD53:AI53"/>
    <mergeCell ref="N54:Q54"/>
    <mergeCell ref="AD54:AI54"/>
    <mergeCell ref="C45:F45"/>
    <mergeCell ref="J45:M45"/>
    <mergeCell ref="N45:Q45"/>
    <mergeCell ref="AD46:AI46"/>
    <mergeCell ref="AD47:AI47"/>
    <mergeCell ref="AD48:AI48"/>
    <mergeCell ref="N41:Q41"/>
    <mergeCell ref="AD41:AI41"/>
    <mergeCell ref="C42:F42"/>
    <mergeCell ref="R42:S42"/>
    <mergeCell ref="T42:U42"/>
    <mergeCell ref="AD42:AI44"/>
    <mergeCell ref="I43:J43"/>
    <mergeCell ref="R43:S43"/>
    <mergeCell ref="T43:U43"/>
    <mergeCell ref="W43:AC43"/>
    <mergeCell ref="AD35:AI35"/>
    <mergeCell ref="AD36:AI36"/>
    <mergeCell ref="AD37:AI37"/>
    <mergeCell ref="AD38:AI38"/>
    <mergeCell ref="AD39:AI39"/>
    <mergeCell ref="AD40:AI40"/>
    <mergeCell ref="W30:AC30"/>
    <mergeCell ref="C32:F32"/>
    <mergeCell ref="J32:M32"/>
    <mergeCell ref="N32:Q32"/>
    <mergeCell ref="AD33:AI33"/>
    <mergeCell ref="AD34:AI34"/>
    <mergeCell ref="AD27:AI27"/>
    <mergeCell ref="N28:Q28"/>
    <mergeCell ref="AD28:AI28"/>
    <mergeCell ref="C29:F29"/>
    <mergeCell ref="R29:S29"/>
    <mergeCell ref="T29:U29"/>
    <mergeCell ref="AD29:AI31"/>
    <mergeCell ref="I30:J30"/>
    <mergeCell ref="R30:S30"/>
    <mergeCell ref="T30:U30"/>
    <mergeCell ref="AD21:AI21"/>
    <mergeCell ref="AD22:AI22"/>
    <mergeCell ref="AD23:AI23"/>
    <mergeCell ref="AD24:AI24"/>
    <mergeCell ref="AD25:AI25"/>
    <mergeCell ref="AD26:AI26"/>
    <mergeCell ref="T17:U17"/>
    <mergeCell ref="W17:AC17"/>
    <mergeCell ref="C19:F19"/>
    <mergeCell ref="J19:M19"/>
    <mergeCell ref="N19:Q19"/>
    <mergeCell ref="AD20:AI20"/>
    <mergeCell ref="AD13:AI13"/>
    <mergeCell ref="AD14:AI14"/>
    <mergeCell ref="N15:Q15"/>
    <mergeCell ref="AD15:AI15"/>
    <mergeCell ref="C16:F16"/>
    <mergeCell ref="R16:S16"/>
    <mergeCell ref="T16:U16"/>
    <mergeCell ref="AD16:AI18"/>
    <mergeCell ref="I17:J17"/>
    <mergeCell ref="R17:S17"/>
    <mergeCell ref="AD7:AI7"/>
    <mergeCell ref="AD8:AI8"/>
    <mergeCell ref="AD9:AI9"/>
    <mergeCell ref="AD10:AI10"/>
    <mergeCell ref="AD11:AI11"/>
    <mergeCell ref="AD12:AI12"/>
    <mergeCell ref="E2:H3"/>
    <mergeCell ref="I2:J3"/>
    <mergeCell ref="M2:W4"/>
    <mergeCell ref="C6:F6"/>
    <mergeCell ref="J6:M6"/>
    <mergeCell ref="N6:Q6"/>
  </mergeCells>
  <conditionalFormatting sqref="A175:AI176 A177:M182 O177:AI182 A183:AI185 A186:M186 P186:Q186 A187:AI187 T186:AI186">
    <cfRule type="expression" dxfId="132" priority="2">
      <formula>$A$175="February"</formula>
    </cfRule>
  </conditionalFormatting>
  <conditionalFormatting sqref="A188:AI189 A190:M195 O191:AI195 A196:AI198 A199:M199 P199:Q199 A200:AI200 T199:AI199 O190:AC190">
    <cfRule type="expression" dxfId="131" priority="3">
      <formula>$A$188="February"</formula>
    </cfRule>
  </conditionalFormatting>
  <conditionalFormatting sqref="A201:AI202 A203:M208 O203:AI208 A209:AI211 A212:M212 P212:Q212 A213:AI213 T212:AI212">
    <cfRule type="expression" dxfId="130" priority="4">
      <formula>$A$201="November"</formula>
    </cfRule>
    <cfRule type="expression" dxfId="129" priority="6">
      <formula>$A$201="September"</formula>
    </cfRule>
    <cfRule type="expression" dxfId="128" priority="7">
      <formula>$A$201="June"</formula>
    </cfRule>
    <cfRule type="expression" dxfId="127" priority="8">
      <formula>$A$201="February"</formula>
    </cfRule>
    <cfRule type="expression" dxfId="126" priority="9">
      <formula>$A$201="April"</formula>
    </cfRule>
    <cfRule type="containsText" dxfId="125" priority="11" operator="containsText" text="April, February, June, September, November">
      <formula>NOT(ISERROR(SEARCH("April, February, June, September, November",A201)))</formula>
    </cfRule>
  </conditionalFormatting>
  <conditionalFormatting sqref="AD190:AI190">
    <cfRule type="expression" dxfId="124" priority="1">
      <formula>$A$175="February"</formula>
    </cfRule>
  </conditionalFormatting>
  <dataValidations count="1">
    <dataValidation allowBlank="1" showInputMessage="1" showErrorMessage="1" sqref="A16 A29 A42 A55 A68 A81 A94 A107 A120 A133 A146 A159 A172 A185 A198 A211" xr:uid="{4FBF36FB-E689-4BD0-BFBF-10EECD1956D9}"/>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17EEE0D1-BE0C-45D1-9767-252997D55821}">
          <x14:formula1>
            <xm:f>Setup_and_Criteria!$N$27:$N$31</xm:f>
          </x14:formula1>
          <xm:sqref>A17:B17 A121 A186:B186 A173:B173 A160:B160 A147:B147 A134:B134 A199:B199 A108:B108 A95:B95 A82:B82 A69:B69 A56:B56 A43:B43 A30:B30 A212:B212</xm:sqref>
        </x14:dataValidation>
        <x14:dataValidation type="list" allowBlank="1" showInputMessage="1" showErrorMessage="1" xr:uid="{2B9E72B2-FF20-4CFA-BE6C-AF284477D548}">
          <x14:formula1>
            <xm:f>Setup_and_Criteria!$N$12:$N$23</xm:f>
          </x14:formula1>
          <xm:sqref>A190:A195 A177:A182 A164:A169 A151:A156 A138:A143 A125:A130 A112:A117 A99:A104 A86:A91 A73:A78 A60:A65 A47:A52 A34:A39 A21:A26 A8:A13 A203:A208</xm:sqref>
        </x14:dataValidation>
        <x14:dataValidation type="list" allowBlank="1" showInputMessage="1" showErrorMessage="1" xr:uid="{27D25895-1322-4123-83F1-001C87BAE913}">
          <x14:formula1>
            <xm:f>Setup_and_Criteria!$BF$5:$BF$12</xm:f>
          </x14:formula1>
          <xm:sqref>R212:S212 R199:S199 R186:S186 R173:S173 R160:S160 R147:S147 R134:S134 R121:S121 R108:S108 R95:S95 R82:S82 R69:S69 R56:S56 R43:S43 R30:S30 R17:S17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FEC150-B753-4E81-BCCE-76CD40097B8D}">
  <sheetPr codeName="Sheet9">
    <tabColor theme="9" tint="0.59999389629810485"/>
  </sheetPr>
  <dimension ref="A2:AI203"/>
  <sheetViews>
    <sheetView topLeftCell="A98" workbookViewId="0">
      <selection activeCell="O112" sqref="O112"/>
    </sheetView>
  </sheetViews>
  <sheetFormatPr defaultRowHeight="15" x14ac:dyDescent="0.25"/>
  <cols>
    <col min="1" max="1" width="18.5703125" customWidth="1"/>
    <col min="2" max="2" width="4.85546875" bestFit="1" customWidth="1"/>
    <col min="3" max="3" width="8.7109375" style="1" customWidth="1"/>
    <col min="4" max="4" width="8.140625" style="1" customWidth="1"/>
    <col min="5" max="6" width="7.7109375" style="1" customWidth="1"/>
    <col min="7" max="7" width="7.42578125" style="1" hidden="1" customWidth="1"/>
    <col min="8" max="8" width="0" style="1" hidden="1" customWidth="1"/>
    <col min="9" max="9" width="8.42578125" customWidth="1"/>
    <col min="10" max="10" width="8.42578125" style="1" customWidth="1"/>
    <col min="11" max="11" width="8.5703125" style="1" customWidth="1"/>
    <col min="12" max="12" width="9.140625" style="1"/>
    <col min="13" max="13" width="10.140625" style="1" customWidth="1"/>
    <col min="14" max="14" width="11" style="1" customWidth="1"/>
    <col min="15" max="15" width="9.42578125" style="1" customWidth="1"/>
    <col min="16" max="16" width="10.42578125" style="1" customWidth="1"/>
    <col min="17" max="17" width="9.42578125" customWidth="1"/>
    <col min="18" max="18" width="8.28515625" style="1" customWidth="1"/>
    <col min="19" max="19" width="7.140625" style="1" customWidth="1"/>
    <col min="20" max="27" width="7.7109375" style="1" customWidth="1"/>
    <col min="28" max="28" width="7.7109375" customWidth="1"/>
    <col min="29" max="29" width="11.28515625" customWidth="1"/>
  </cols>
  <sheetData>
    <row r="2" spans="1:35" ht="15" customHeight="1" x14ac:dyDescent="0.25">
      <c r="E2" s="886" t="str">
        <f>+Setup_and_Criteria!J6</f>
        <v>Q2</v>
      </c>
      <c r="F2" s="886"/>
      <c r="G2" s="886"/>
      <c r="H2" s="886"/>
      <c r="I2" s="887">
        <v>2026</v>
      </c>
      <c r="J2" s="887"/>
      <c r="M2" s="856" t="s">
        <v>127</v>
      </c>
      <c r="N2" s="856"/>
      <c r="O2" s="856"/>
      <c r="P2" s="856"/>
      <c r="Q2" s="856"/>
      <c r="R2" s="856"/>
      <c r="S2" s="856"/>
      <c r="T2" s="856"/>
      <c r="U2" s="856"/>
      <c r="V2" s="856"/>
      <c r="W2" s="856"/>
    </row>
    <row r="3" spans="1:35" ht="15" customHeight="1" x14ac:dyDescent="0.25">
      <c r="E3" s="886"/>
      <c r="F3" s="886"/>
      <c r="G3" s="886"/>
      <c r="H3" s="886"/>
      <c r="I3" s="887"/>
      <c r="J3" s="887"/>
      <c r="M3" s="856"/>
      <c r="N3" s="856"/>
      <c r="O3" s="856"/>
      <c r="P3" s="856"/>
      <c r="Q3" s="856"/>
      <c r="R3" s="856"/>
      <c r="S3" s="856"/>
      <c r="T3" s="856"/>
      <c r="U3" s="856"/>
      <c r="V3" s="856"/>
      <c r="W3" s="856"/>
    </row>
    <row r="4" spans="1:35" x14ac:dyDescent="0.25">
      <c r="G4"/>
      <c r="H4"/>
      <c r="L4" s="1" t="s">
        <v>42</v>
      </c>
      <c r="M4" s="856"/>
      <c r="N4" s="856"/>
      <c r="O4" s="856"/>
      <c r="P4" s="856"/>
      <c r="Q4" s="856"/>
      <c r="R4" s="856"/>
      <c r="S4" s="856"/>
      <c r="T4" s="856"/>
      <c r="U4" s="856"/>
      <c r="V4" s="856"/>
      <c r="W4" s="856"/>
    </row>
    <row r="5" spans="1:35" ht="15.75" thickBot="1" x14ac:dyDescent="0.3">
      <c r="W5" s="1" t="s">
        <v>42</v>
      </c>
    </row>
    <row r="6" spans="1:35" ht="35.25" customHeight="1" x14ac:dyDescent="0.4">
      <c r="A6" s="421" t="str" cm="1">
        <f t="array" ref="A6">+_xlfn.IFS(E2="Q1","February",E2="Q2","May",E2="Q3","August",+E2="Q4","November")</f>
        <v>May</v>
      </c>
      <c r="B6" s="624">
        <v>1</v>
      </c>
      <c r="C6" s="884" t="s">
        <v>128</v>
      </c>
      <c r="D6" s="884"/>
      <c r="E6" s="884"/>
      <c r="F6" s="884"/>
      <c r="G6" s="377"/>
      <c r="H6" s="377"/>
      <c r="I6" s="21"/>
      <c r="J6" s="874" t="s">
        <v>129</v>
      </c>
      <c r="K6" s="875"/>
      <c r="L6" s="875"/>
      <c r="M6" s="875"/>
      <c r="N6" s="876" t="s">
        <v>130</v>
      </c>
      <c r="O6" s="876"/>
      <c r="P6" s="876"/>
      <c r="Q6" s="876"/>
      <c r="R6" s="424" t="s">
        <v>131</v>
      </c>
      <c r="S6" s="424"/>
      <c r="T6" s="424"/>
      <c r="U6" s="424"/>
      <c r="V6" s="424"/>
      <c r="W6" s="424"/>
      <c r="X6" s="424"/>
      <c r="Y6" s="424"/>
      <c r="Z6" s="424"/>
      <c r="AA6" s="424"/>
      <c r="AB6" s="424"/>
      <c r="AC6" s="424"/>
      <c r="AD6" s="461" t="s">
        <v>132</v>
      </c>
      <c r="AE6" s="426"/>
      <c r="AF6" s="426"/>
      <c r="AG6" s="426"/>
      <c r="AH6" s="426"/>
      <c r="AI6" s="427"/>
    </row>
    <row r="7" spans="1:35" ht="59.25" customHeight="1" x14ac:dyDescent="0.25">
      <c r="A7" s="378" t="s">
        <v>133</v>
      </c>
      <c r="C7" s="435" t="s">
        <v>134</v>
      </c>
      <c r="D7" s="435" t="s">
        <v>135</v>
      </c>
      <c r="E7" s="435" t="s">
        <v>134</v>
      </c>
      <c r="F7" s="435" t="s">
        <v>135</v>
      </c>
      <c r="G7" s="1" t="s">
        <v>136</v>
      </c>
      <c r="H7" s="1" t="s">
        <v>108</v>
      </c>
      <c r="I7" s="436"/>
      <c r="J7" s="437" t="str">
        <f>+Setup_and_Criteria!$B$13</f>
        <v>Checkouts</v>
      </c>
      <c r="K7" s="437" t="str">
        <f>+Setup_and_Criteria!$B$14</f>
        <v>Pet Rooms</v>
      </c>
      <c r="L7" s="437" t="str">
        <f>+Setup_and_Criteria!$B$15</f>
        <v>2 Rm &amp; Jac Stes</v>
      </c>
      <c r="M7" s="438" t="str">
        <f>+Setup_and_Criteria!$B$16</f>
        <v>Stayovers</v>
      </c>
      <c r="N7" s="269" t="s">
        <v>137</v>
      </c>
      <c r="O7" s="269" t="s">
        <v>138</v>
      </c>
      <c r="P7" s="439" t="s">
        <v>139</v>
      </c>
      <c r="Q7" s="439" t="s">
        <v>140</v>
      </c>
      <c r="R7" s="440" t="str">
        <f>+Corrections!$C$8</f>
        <v>Vanity</v>
      </c>
      <c r="S7" s="440" t="str">
        <f>+Corrections!$I$8</f>
        <v>Toilet</v>
      </c>
      <c r="T7" s="440" t="str">
        <f>+Corrections!$O$8</f>
        <v>Bed/Pillows</v>
      </c>
      <c r="U7" s="440" t="str">
        <f>+Corrections!$U$8</f>
        <v>Floor</v>
      </c>
      <c r="V7" s="440" t="str">
        <f>+Corrections!$AA$8</f>
        <v>Dusting</v>
      </c>
      <c r="W7" s="440" t="str">
        <f>+Corrections!$AG$8</f>
        <v>Fridge/Micro</v>
      </c>
      <c r="X7" s="440" t="str">
        <f>+Corrections!$AM$8</f>
        <v>Tub</v>
      </c>
      <c r="Y7" s="441" t="str">
        <f>+Corrections!$AS$8</f>
        <v>Mirrors/Glass</v>
      </c>
      <c r="Z7" s="440" t="str">
        <f>+Corrections!$AY$8</f>
        <v>Stocking</v>
      </c>
      <c r="AA7" s="440" t="str">
        <f>+Corrections!$BE$8</f>
        <v>Other</v>
      </c>
      <c r="AB7" s="269" t="s">
        <v>141</v>
      </c>
      <c r="AC7" s="269" t="s">
        <v>142</v>
      </c>
      <c r="AD7" s="889" t="s">
        <v>143</v>
      </c>
      <c r="AE7" s="890"/>
      <c r="AF7" s="890"/>
      <c r="AG7" s="890"/>
      <c r="AH7" s="890"/>
      <c r="AI7" s="891"/>
    </row>
    <row r="8" spans="1:35" x14ac:dyDescent="0.25">
      <c r="A8" s="638"/>
      <c r="C8" s="369"/>
      <c r="D8" s="369"/>
      <c r="E8" s="369"/>
      <c r="F8" s="369"/>
      <c r="G8" s="264">
        <f t="shared" ref="G8:G13" si="0">+(D8-C8)+(F8-E8)</f>
        <v>0</v>
      </c>
      <c r="H8" s="442">
        <f t="shared" ref="H8:H13" si="1">+G8*1440</f>
        <v>0</v>
      </c>
      <c r="J8" s="630"/>
      <c r="K8" s="630"/>
      <c r="L8" s="630"/>
      <c r="M8" s="630"/>
      <c r="N8" s="1">
        <f>IF(C8&gt;0,((J8*Setup_and_Criteria!$F$13)+('M1_1-15th'!K8*Setup_and_Criteria!$F$14)+('M1_1-15th'!L8*Setup_and_Criteria!$F$15)+('M1_1-15th'!M8*Setup_and_Criteria!$F$16)+Setup_and_Criteria!$J$16),0)</f>
        <v>0</v>
      </c>
      <c r="O8" s="442">
        <f t="shared" ref="O8:O14" si="2">+H8</f>
        <v>0</v>
      </c>
      <c r="P8" s="443">
        <f t="shared" ref="P8:P14" si="3">+N8-O8</f>
        <v>0</v>
      </c>
      <c r="Q8" s="357" t="e">
        <f t="shared" ref="Q8:Q14" si="4">O8/_xlfn.SINGLE(SUM(J8:M8))</f>
        <v>#DIV/0!</v>
      </c>
      <c r="R8" s="630"/>
      <c r="S8" s="630"/>
      <c r="T8" s="630"/>
      <c r="U8" s="630"/>
      <c r="V8" s="630"/>
      <c r="W8" s="630"/>
      <c r="X8" s="630"/>
      <c r="Y8" s="630"/>
      <c r="Z8" s="630"/>
      <c r="AA8" s="630"/>
      <c r="AB8" s="1">
        <f t="shared" ref="AB8:AB14" si="5">SUM(R8:AA8)</f>
        <v>0</v>
      </c>
      <c r="AC8" s="357" t="e">
        <f t="shared" ref="AC8:AC14" si="6">+AB8/(J8+K8+L8)</f>
        <v>#DIV/0!</v>
      </c>
      <c r="AD8" s="864" t="s">
        <v>144</v>
      </c>
      <c r="AE8" s="865"/>
      <c r="AF8" s="865"/>
      <c r="AG8" s="866"/>
      <c r="AH8" s="866"/>
      <c r="AI8" s="867"/>
    </row>
    <row r="9" spans="1:35" x14ac:dyDescent="0.25">
      <c r="A9" s="638"/>
      <c r="C9" s="369"/>
      <c r="D9" s="369"/>
      <c r="E9" s="630"/>
      <c r="F9" s="630"/>
      <c r="G9" s="264">
        <f t="shared" si="0"/>
        <v>0</v>
      </c>
      <c r="H9" s="442">
        <f t="shared" si="1"/>
        <v>0</v>
      </c>
      <c r="J9" s="630"/>
      <c r="K9" s="630"/>
      <c r="L9" s="630"/>
      <c r="M9" s="630"/>
      <c r="N9" s="1">
        <f>IF(C9&gt;0,((J9*Setup_and_Criteria!$F$13)+('M1_1-15th'!K9*Setup_and_Criteria!$F$14)+('M1_1-15th'!L9*Setup_and_Criteria!$F$15)+('M1_1-15th'!M9*Setup_and_Criteria!$F$16)+Setup_and_Criteria!$J$16),0)</f>
        <v>0</v>
      </c>
      <c r="O9" s="442">
        <f t="shared" si="2"/>
        <v>0</v>
      </c>
      <c r="P9" s="443">
        <f t="shared" si="3"/>
        <v>0</v>
      </c>
      <c r="Q9" s="357" t="e">
        <f t="shared" si="4"/>
        <v>#DIV/0!</v>
      </c>
      <c r="R9" s="630"/>
      <c r="S9" s="630"/>
      <c r="T9" s="630"/>
      <c r="U9" s="630"/>
      <c r="V9" s="630"/>
      <c r="W9" s="630"/>
      <c r="X9" s="630"/>
      <c r="Y9" s="630"/>
      <c r="Z9" s="630"/>
      <c r="AA9" s="630"/>
      <c r="AB9" s="1">
        <f t="shared" si="5"/>
        <v>0</v>
      </c>
      <c r="AC9" s="357" t="e">
        <f t="shared" si="6"/>
        <v>#DIV/0!</v>
      </c>
      <c r="AD9" s="864"/>
      <c r="AE9" s="865"/>
      <c r="AF9" s="865"/>
      <c r="AG9" s="866"/>
      <c r="AH9" s="866"/>
      <c r="AI9" s="867"/>
    </row>
    <row r="10" spans="1:35" x14ac:dyDescent="0.25">
      <c r="A10" s="638"/>
      <c r="C10" s="369"/>
      <c r="D10" s="369"/>
      <c r="E10" s="630"/>
      <c r="F10" s="630"/>
      <c r="G10" s="264">
        <f t="shared" si="0"/>
        <v>0</v>
      </c>
      <c r="H10" s="442">
        <f t="shared" si="1"/>
        <v>0</v>
      </c>
      <c r="J10" s="630"/>
      <c r="K10" s="630"/>
      <c r="L10" s="630"/>
      <c r="M10" s="630"/>
      <c r="N10" s="1">
        <f>IF(C10&gt;0,((J10*Setup_and_Criteria!$F$13)+('M1_1-15th'!K10*Setup_and_Criteria!$F$14)+('M1_1-15th'!L10*Setup_and_Criteria!$F$15)+('M1_1-15th'!M10*Setup_and_Criteria!$F$16)+Setup_and_Criteria!$J$16),0)</f>
        <v>0</v>
      </c>
      <c r="O10" s="442">
        <f t="shared" si="2"/>
        <v>0</v>
      </c>
      <c r="P10" s="443">
        <f t="shared" si="3"/>
        <v>0</v>
      </c>
      <c r="Q10" s="357" t="e">
        <f t="shared" si="4"/>
        <v>#DIV/0!</v>
      </c>
      <c r="R10" s="630"/>
      <c r="S10" s="630"/>
      <c r="T10" s="630"/>
      <c r="U10" s="630"/>
      <c r="V10" s="630"/>
      <c r="W10" s="630"/>
      <c r="X10" s="630"/>
      <c r="Y10" s="630"/>
      <c r="Z10" s="630"/>
      <c r="AA10" s="630"/>
      <c r="AB10" s="1">
        <f t="shared" si="5"/>
        <v>0</v>
      </c>
      <c r="AC10" s="357" t="e">
        <f t="shared" si="6"/>
        <v>#DIV/0!</v>
      </c>
      <c r="AD10" s="864"/>
      <c r="AE10" s="865"/>
      <c r="AF10" s="865"/>
      <c r="AG10" s="866"/>
      <c r="AH10" s="866"/>
      <c r="AI10" s="867"/>
    </row>
    <row r="11" spans="1:35" x14ac:dyDescent="0.25">
      <c r="A11" s="638"/>
      <c r="C11" s="630"/>
      <c r="D11" s="630"/>
      <c r="E11" s="630"/>
      <c r="F11" s="630"/>
      <c r="G11" s="264">
        <f t="shared" si="0"/>
        <v>0</v>
      </c>
      <c r="H11" s="442">
        <f t="shared" si="1"/>
        <v>0</v>
      </c>
      <c r="J11" s="630"/>
      <c r="K11" s="630"/>
      <c r="L11" s="630"/>
      <c r="M11" s="630"/>
      <c r="N11" s="1">
        <f>IF(C11&gt;0,((J11*Setup_and_Criteria!$F$13)+('M1_1-15th'!K11*Setup_and_Criteria!$F$14)+('M1_1-15th'!L11*Setup_and_Criteria!$F$15)+('M1_1-15th'!M11*Setup_and_Criteria!$F$16)+Setup_and_Criteria!$J$16),0)</f>
        <v>0</v>
      </c>
      <c r="O11" s="442">
        <f t="shared" si="2"/>
        <v>0</v>
      </c>
      <c r="P11" s="443">
        <f t="shared" si="3"/>
        <v>0</v>
      </c>
      <c r="Q11" s="357" t="e">
        <f t="shared" si="4"/>
        <v>#DIV/0!</v>
      </c>
      <c r="R11" s="630"/>
      <c r="S11" s="630"/>
      <c r="T11" s="630"/>
      <c r="U11" s="630"/>
      <c r="V11" s="630"/>
      <c r="W11" s="630"/>
      <c r="X11" s="630"/>
      <c r="Y11" s="630"/>
      <c r="Z11" s="630"/>
      <c r="AA11" s="630"/>
      <c r="AB11" s="1">
        <f t="shared" si="5"/>
        <v>0</v>
      </c>
      <c r="AC11" s="357" t="e">
        <f t="shared" si="6"/>
        <v>#DIV/0!</v>
      </c>
      <c r="AD11" s="864"/>
      <c r="AE11" s="865"/>
      <c r="AF11" s="865"/>
      <c r="AG11" s="866"/>
      <c r="AH11" s="866"/>
      <c r="AI11" s="867"/>
    </row>
    <row r="12" spans="1:35" x14ac:dyDescent="0.25">
      <c r="A12" s="638"/>
      <c r="C12" s="630"/>
      <c r="D12" s="630"/>
      <c r="E12" s="630"/>
      <c r="F12" s="630"/>
      <c r="G12" s="264">
        <f t="shared" si="0"/>
        <v>0</v>
      </c>
      <c r="H12" s="442">
        <f t="shared" si="1"/>
        <v>0</v>
      </c>
      <c r="J12" s="630"/>
      <c r="K12" s="630"/>
      <c r="L12" s="630"/>
      <c r="M12" s="630"/>
      <c r="N12" s="1">
        <f>IF(C12&gt;0,((J12*Setup_and_Criteria!$F$13)+('M1_1-15th'!K12*Setup_and_Criteria!$F$14)+('M1_1-15th'!L12*Setup_and_Criteria!$F$15)+('M1_1-15th'!M12*Setup_and_Criteria!$F$16)+Setup_and_Criteria!$J$16),0)</f>
        <v>0</v>
      </c>
      <c r="O12" s="442">
        <f t="shared" si="2"/>
        <v>0</v>
      </c>
      <c r="P12" s="443">
        <f t="shared" si="3"/>
        <v>0</v>
      </c>
      <c r="Q12" s="357" t="e">
        <f t="shared" si="4"/>
        <v>#DIV/0!</v>
      </c>
      <c r="R12" s="630"/>
      <c r="S12" s="630"/>
      <c r="T12" s="630"/>
      <c r="U12" s="630"/>
      <c r="V12" s="630"/>
      <c r="W12" s="630"/>
      <c r="X12" s="630"/>
      <c r="Y12" s="630"/>
      <c r="Z12" s="630"/>
      <c r="AA12" s="630"/>
      <c r="AB12" s="1">
        <f t="shared" si="5"/>
        <v>0</v>
      </c>
      <c r="AC12" s="357" t="e">
        <f t="shared" si="6"/>
        <v>#DIV/0!</v>
      </c>
      <c r="AD12" s="864"/>
      <c r="AE12" s="865"/>
      <c r="AF12" s="865"/>
      <c r="AG12" s="866"/>
      <c r="AH12" s="866"/>
      <c r="AI12" s="867"/>
    </row>
    <row r="13" spans="1:35" ht="15.75" thickBot="1" x14ac:dyDescent="0.3">
      <c r="A13" s="638"/>
      <c r="C13" s="370"/>
      <c r="D13" s="370"/>
      <c r="E13" s="630"/>
      <c r="F13" s="630"/>
      <c r="G13" s="264">
        <f t="shared" si="0"/>
        <v>0</v>
      </c>
      <c r="H13" s="442">
        <f t="shared" si="1"/>
        <v>0</v>
      </c>
      <c r="J13" s="371"/>
      <c r="K13" s="371"/>
      <c r="L13" s="371"/>
      <c r="M13" s="371"/>
      <c r="N13" s="358">
        <f>IF(C13&gt;0,((J13*Setup_and_Criteria!$F$13)+('M1_1-15th'!K13*Setup_and_Criteria!$F$14)+('M1_1-15th'!L13*Setup_and_Criteria!$F$15)+('M1_1-15th'!M13*Setup_and_Criteria!$F$16)+Setup_and_Criteria!$J$16),0)</f>
        <v>0</v>
      </c>
      <c r="O13" s="359">
        <f t="shared" si="2"/>
        <v>0</v>
      </c>
      <c r="P13" s="383">
        <f t="shared" si="3"/>
        <v>0</v>
      </c>
      <c r="Q13" s="360" t="e">
        <f t="shared" si="4"/>
        <v>#DIV/0!</v>
      </c>
      <c r="R13" s="511"/>
      <c r="S13" s="511"/>
      <c r="T13" s="511"/>
      <c r="U13" s="511"/>
      <c r="V13" s="511"/>
      <c r="W13" s="511"/>
      <c r="X13" s="511"/>
      <c r="Y13" s="511"/>
      <c r="Z13" s="511"/>
      <c r="AA13" s="511"/>
      <c r="AB13" s="1">
        <f t="shared" si="5"/>
        <v>0</v>
      </c>
      <c r="AC13" s="357" t="e">
        <f t="shared" si="6"/>
        <v>#DIV/0!</v>
      </c>
      <c r="AD13" s="864"/>
      <c r="AE13" s="865"/>
      <c r="AF13" s="865"/>
      <c r="AG13" s="866"/>
      <c r="AH13" s="866"/>
      <c r="AI13" s="867"/>
    </row>
    <row r="14" spans="1:35" ht="15.75" thickTop="1" x14ac:dyDescent="0.25">
      <c r="A14" s="58"/>
      <c r="H14" s="442">
        <f>SUM(H8:H13)</f>
        <v>0</v>
      </c>
      <c r="J14" s="1">
        <f>SUM(J8:J13)</f>
        <v>0</v>
      </c>
      <c r="K14" s="1">
        <f>SUM(K8:K13)</f>
        <v>0</v>
      </c>
      <c r="L14" s="1">
        <f>SUM(L8:L13)</f>
        <v>0</v>
      </c>
      <c r="M14" s="1">
        <f>SUM(M8:M13)</f>
        <v>0</v>
      </c>
      <c r="N14" s="1">
        <f>SUM(N8:N13)</f>
        <v>0</v>
      </c>
      <c r="O14" s="1">
        <f t="shared" si="2"/>
        <v>0</v>
      </c>
      <c r="P14" s="443">
        <f t="shared" si="3"/>
        <v>0</v>
      </c>
      <c r="Q14" s="357" t="e">
        <f t="shared" si="4"/>
        <v>#DIV/0!</v>
      </c>
      <c r="R14" s="1">
        <f t="shared" ref="R14:AA14" si="7">SUM(R8:R13)</f>
        <v>0</v>
      </c>
      <c r="S14" s="1">
        <f t="shared" si="7"/>
        <v>0</v>
      </c>
      <c r="T14" s="1">
        <f t="shared" si="7"/>
        <v>0</v>
      </c>
      <c r="U14" s="1">
        <f t="shared" si="7"/>
        <v>0</v>
      </c>
      <c r="V14" s="1">
        <f t="shared" si="7"/>
        <v>0</v>
      </c>
      <c r="W14" s="1">
        <f t="shared" si="7"/>
        <v>0</v>
      </c>
      <c r="X14" s="1">
        <f t="shared" si="7"/>
        <v>0</v>
      </c>
      <c r="Y14" s="1">
        <f t="shared" si="7"/>
        <v>0</v>
      </c>
      <c r="Z14" s="1">
        <f t="shared" si="7"/>
        <v>0</v>
      </c>
      <c r="AA14" s="1">
        <f t="shared" si="7"/>
        <v>0</v>
      </c>
      <c r="AB14" s="1">
        <f t="shared" si="5"/>
        <v>0</v>
      </c>
      <c r="AC14" s="357" t="e">
        <f t="shared" si="6"/>
        <v>#DIV/0!</v>
      </c>
      <c r="AD14" s="877"/>
      <c r="AE14" s="878"/>
      <c r="AF14" s="878"/>
      <c r="AG14" s="749"/>
      <c r="AH14" s="749"/>
      <c r="AI14" s="879"/>
    </row>
    <row r="15" spans="1:35" ht="21" customHeight="1" x14ac:dyDescent="0.35">
      <c r="A15" s="58"/>
      <c r="H15" s="442"/>
      <c r="N15" s="888" t="s">
        <v>145</v>
      </c>
      <c r="O15" s="888"/>
      <c r="P15" s="888"/>
      <c r="Q15" s="888"/>
      <c r="R15" s="431" t="s">
        <v>146</v>
      </c>
      <c r="S15" s="431"/>
      <c r="T15" s="431"/>
      <c r="U15" s="431"/>
      <c r="V15" s="431"/>
      <c r="W15" s="431"/>
      <c r="X15" s="431"/>
      <c r="Y15" s="431"/>
      <c r="Z15" s="431"/>
      <c r="AA15" s="431"/>
      <c r="AB15" s="431"/>
      <c r="AC15" s="431"/>
      <c r="AD15" s="880" t="s">
        <v>132</v>
      </c>
      <c r="AE15" s="881"/>
      <c r="AF15" s="881"/>
      <c r="AG15" s="881"/>
      <c r="AH15" s="881"/>
      <c r="AI15" s="882"/>
    </row>
    <row r="16" spans="1:35" ht="31.5" customHeight="1" x14ac:dyDescent="0.35">
      <c r="A16" s="378" t="s">
        <v>147</v>
      </c>
      <c r="C16" s="885" t="s">
        <v>128</v>
      </c>
      <c r="D16" s="885"/>
      <c r="E16" s="885"/>
      <c r="F16" s="885"/>
      <c r="H16" s="442"/>
      <c r="J16" s="444"/>
      <c r="K16" s="445" t="s">
        <v>35</v>
      </c>
      <c r="L16" s="445" t="s">
        <v>148</v>
      </c>
      <c r="N16" s="446" t="s">
        <v>149</v>
      </c>
      <c r="O16" s="447" t="s">
        <v>150</v>
      </c>
      <c r="P16" s="447" t="s">
        <v>138</v>
      </c>
      <c r="Q16" s="447" t="s">
        <v>151</v>
      </c>
      <c r="R16" s="749" t="s">
        <v>152</v>
      </c>
      <c r="S16" s="749"/>
      <c r="T16" s="883" t="s">
        <v>153</v>
      </c>
      <c r="U16" s="883"/>
      <c r="W16" s="425" t="s">
        <v>154</v>
      </c>
      <c r="X16" s="425"/>
      <c r="Y16" s="425"/>
      <c r="Z16" s="425"/>
      <c r="AA16" s="425"/>
      <c r="AB16" s="425"/>
      <c r="AC16" s="425"/>
      <c r="AD16" s="868" t="s">
        <v>160</v>
      </c>
      <c r="AE16" s="869"/>
      <c r="AF16" s="869"/>
      <c r="AG16" s="869"/>
      <c r="AH16" s="869"/>
      <c r="AI16" s="870"/>
    </row>
    <row r="17" spans="1:35" ht="18" customHeight="1" thickBot="1" x14ac:dyDescent="0.3">
      <c r="A17" s="640"/>
      <c r="B17" s="2"/>
      <c r="C17" s="379"/>
      <c r="D17" s="379"/>
      <c r="E17" s="379"/>
      <c r="F17" s="379"/>
      <c r="G17" s="380">
        <f>+(D17-C17)+(F17-E17)</f>
        <v>0</v>
      </c>
      <c r="H17" s="381">
        <f>+G17*1440</f>
        <v>0</v>
      </c>
      <c r="I17" s="859" t="s">
        <v>155</v>
      </c>
      <c r="J17" s="860"/>
      <c r="K17" s="373"/>
      <c r="L17" s="374"/>
      <c r="M17" s="423"/>
      <c r="N17" s="629">
        <f>+J14+L14+K14+K17+L17</f>
        <v>0</v>
      </c>
      <c r="O17" s="368">
        <f>+(Setup_and_Criteria!$K$31+(J14*Setup_and_Criteria!$F$20)+('M1_1-15th'!K14*Setup_and_Criteria!$F$21)+('M1_1-15th'!L14*Setup_and_Criteria!$F$20))+T17+(K17*Setup_and_Criteria!$F$21)+(Setup_and_Criteria!$F$22*'M1_1-15th'!L17)</f>
        <v>75</v>
      </c>
      <c r="P17" s="367">
        <f>+H17</f>
        <v>0</v>
      </c>
      <c r="Q17" s="367">
        <f>+O17-P17</f>
        <v>75</v>
      </c>
      <c r="R17" s="861" t="s">
        <v>252</v>
      </c>
      <c r="S17" s="861"/>
      <c r="T17" s="862">
        <v>0</v>
      </c>
      <c r="U17" s="863"/>
      <c r="V17" s="265" t="s">
        <v>156</v>
      </c>
      <c r="W17" s="854"/>
      <c r="X17" s="855"/>
      <c r="Y17" s="855"/>
      <c r="Z17" s="855"/>
      <c r="AA17" s="855"/>
      <c r="AB17" s="855"/>
      <c r="AC17" s="855"/>
      <c r="AD17" s="868"/>
      <c r="AE17" s="869"/>
      <c r="AF17" s="869"/>
      <c r="AG17" s="869"/>
      <c r="AH17" s="869"/>
      <c r="AI17" s="870"/>
    </row>
    <row r="18" spans="1:35" ht="15.75" thickBot="1" x14ac:dyDescent="0.3">
      <c r="A18" s="452" t="s">
        <v>157</v>
      </c>
      <c r="B18" s="450"/>
      <c r="C18" s="451"/>
      <c r="D18" s="451"/>
      <c r="E18" s="451"/>
      <c r="F18" s="451"/>
      <c r="G18" s="451"/>
      <c r="H18" s="451"/>
      <c r="I18" s="450"/>
      <c r="J18" s="451"/>
      <c r="K18" s="451"/>
      <c r="L18" s="451"/>
      <c r="M18" s="451"/>
      <c r="N18" s="451"/>
      <c r="O18" s="451"/>
      <c r="P18" s="451"/>
      <c r="Q18" s="450"/>
      <c r="R18" s="451"/>
      <c r="S18" s="451"/>
      <c r="T18" s="451"/>
      <c r="U18" s="451"/>
      <c r="V18" s="451"/>
      <c r="W18" s="451"/>
      <c r="X18" s="451"/>
      <c r="Y18" s="451"/>
      <c r="Z18" s="451"/>
      <c r="AA18" s="451"/>
      <c r="AB18" s="450"/>
      <c r="AC18" s="450"/>
      <c r="AD18" s="871"/>
      <c r="AE18" s="872"/>
      <c r="AF18" s="872"/>
      <c r="AG18" s="872"/>
      <c r="AH18" s="872"/>
      <c r="AI18" s="873"/>
    </row>
    <row r="19" spans="1:35" ht="35.25" customHeight="1" x14ac:dyDescent="0.4">
      <c r="A19" s="434" t="str">
        <f>+A6</f>
        <v>May</v>
      </c>
      <c r="B19" s="624">
        <f>+B6+1</f>
        <v>2</v>
      </c>
      <c r="C19" s="884" t="s">
        <v>128</v>
      </c>
      <c r="D19" s="884"/>
      <c r="E19" s="884"/>
      <c r="F19" s="884"/>
      <c r="G19" s="377"/>
      <c r="H19" s="377"/>
      <c r="I19" s="21"/>
      <c r="J19" s="874" t="s">
        <v>129</v>
      </c>
      <c r="K19" s="875"/>
      <c r="L19" s="875"/>
      <c r="M19" s="875"/>
      <c r="N19" s="876" t="s">
        <v>130</v>
      </c>
      <c r="O19" s="876"/>
      <c r="P19" s="876"/>
      <c r="Q19" s="876"/>
      <c r="R19" s="424" t="str">
        <f>+R6</f>
        <v xml:space="preserve"> Corrections Tracking - Check out rooms</v>
      </c>
      <c r="S19" s="424"/>
      <c r="T19" s="424"/>
      <c r="U19" s="424"/>
      <c r="V19" s="424"/>
      <c r="W19" s="424"/>
      <c r="X19" s="424"/>
      <c r="Y19" s="424"/>
      <c r="Z19" s="424"/>
      <c r="AA19" s="424"/>
      <c r="AB19" s="424"/>
      <c r="AC19" s="424"/>
      <c r="AD19" s="461" t="s">
        <v>132</v>
      </c>
      <c r="AE19" s="426"/>
      <c r="AF19" s="426"/>
      <c r="AG19" s="426"/>
      <c r="AH19" s="426"/>
      <c r="AI19" s="427"/>
    </row>
    <row r="20" spans="1:35" ht="59.25" customHeight="1" x14ac:dyDescent="0.25">
      <c r="A20" s="378" t="s">
        <v>133</v>
      </c>
      <c r="C20" s="435" t="s">
        <v>134</v>
      </c>
      <c r="D20" s="435" t="s">
        <v>135</v>
      </c>
      <c r="E20" s="435" t="s">
        <v>134</v>
      </c>
      <c r="F20" s="435" t="s">
        <v>135</v>
      </c>
      <c r="G20" s="1" t="s">
        <v>136</v>
      </c>
      <c r="H20" s="1" t="s">
        <v>108</v>
      </c>
      <c r="I20" s="436"/>
      <c r="J20" s="437" t="str">
        <f>+Setup_and_Criteria!$B$13</f>
        <v>Checkouts</v>
      </c>
      <c r="K20" s="437" t="str">
        <f>+Setup_and_Criteria!$B$14</f>
        <v>Pet Rooms</v>
      </c>
      <c r="L20" s="437" t="str">
        <f>+Setup_and_Criteria!$B$15</f>
        <v>2 Rm &amp; Jac Stes</v>
      </c>
      <c r="M20" s="438" t="str">
        <f>+Setup_and_Criteria!$B$16</f>
        <v>Stayovers</v>
      </c>
      <c r="N20" s="269" t="s">
        <v>137</v>
      </c>
      <c r="O20" s="269" t="s">
        <v>138</v>
      </c>
      <c r="P20" s="439" t="s">
        <v>139</v>
      </c>
      <c r="Q20" s="439" t="s">
        <v>140</v>
      </c>
      <c r="R20" s="440" t="str">
        <f>+Corrections!$C$8</f>
        <v>Vanity</v>
      </c>
      <c r="S20" s="440" t="str">
        <f>+Corrections!$I$8</f>
        <v>Toilet</v>
      </c>
      <c r="T20" s="440" t="str">
        <f>+Corrections!$O$8</f>
        <v>Bed/Pillows</v>
      </c>
      <c r="U20" s="440" t="str">
        <f>+Corrections!$U$8</f>
        <v>Floor</v>
      </c>
      <c r="V20" s="440" t="str">
        <f>+Corrections!$AA$8</f>
        <v>Dusting</v>
      </c>
      <c r="W20" s="440" t="str">
        <f>+Corrections!$AG$8</f>
        <v>Fridge/Micro</v>
      </c>
      <c r="X20" s="440" t="str">
        <f>+Corrections!$AM$8</f>
        <v>Tub</v>
      </c>
      <c r="Y20" s="441" t="str">
        <f>+Corrections!$AS$8</f>
        <v>Mirrors/Glass</v>
      </c>
      <c r="Z20" s="440" t="str">
        <f>+Corrections!$AY$8</f>
        <v>Stocking</v>
      </c>
      <c r="AA20" s="440" t="str">
        <f>+Corrections!$BE$8</f>
        <v>Other</v>
      </c>
      <c r="AB20" s="269" t="s">
        <v>141</v>
      </c>
      <c r="AC20" s="269" t="str">
        <f>+$AC$7</f>
        <v>Daily Corr / Inspected Checkout</v>
      </c>
      <c r="AD20" s="889" t="s">
        <v>143</v>
      </c>
      <c r="AE20" s="890"/>
      <c r="AF20" s="890"/>
      <c r="AG20" s="890"/>
      <c r="AH20" s="890"/>
      <c r="AI20" s="891"/>
    </row>
    <row r="21" spans="1:35" x14ac:dyDescent="0.25">
      <c r="A21" s="638"/>
      <c r="C21" s="369"/>
      <c r="D21" s="369"/>
      <c r="E21" s="369"/>
      <c r="F21" s="369"/>
      <c r="G21" s="264">
        <f t="shared" ref="G21:G26" si="8">+(D21-C21)+(F21-E21)</f>
        <v>0</v>
      </c>
      <c r="H21" s="442">
        <f t="shared" ref="H21:H26" si="9">+G21*1440</f>
        <v>0</v>
      </c>
      <c r="J21" s="630"/>
      <c r="K21" s="630"/>
      <c r="L21" s="630"/>
      <c r="M21" s="630"/>
      <c r="N21" s="1">
        <f>IF(C21&gt;0,((J21*Setup_and_Criteria!$F$13)+('M1_1-15th'!K21*Setup_and_Criteria!$F$14)+('M1_1-15th'!L21*Setup_and_Criteria!$F$15)+('M1_1-15th'!M21*Setup_and_Criteria!$F$16)+Setup_and_Criteria!$J$16),0)</f>
        <v>0</v>
      </c>
      <c r="O21" s="442">
        <f>+H21</f>
        <v>0</v>
      </c>
      <c r="P21" s="443">
        <f t="shared" ref="P21:P27" si="10">+N21-O21</f>
        <v>0</v>
      </c>
      <c r="Q21" s="357" t="e">
        <f t="shared" ref="Q21:Q27" si="11">O21/_xlfn.SINGLE(SUM(J21:M21))</f>
        <v>#DIV/0!</v>
      </c>
      <c r="R21" s="630"/>
      <c r="S21" s="630"/>
      <c r="T21" s="630"/>
      <c r="U21" s="630"/>
      <c r="V21" s="630"/>
      <c r="W21" s="630"/>
      <c r="X21" s="630"/>
      <c r="Y21" s="630"/>
      <c r="Z21" s="630"/>
      <c r="AA21" s="630"/>
      <c r="AB21" s="1">
        <f t="shared" ref="AB21:AB27" si="12">SUM(R21:AA21)</f>
        <v>0</v>
      </c>
      <c r="AC21" s="357" t="e">
        <f t="shared" ref="AC21:AC27" si="13">+AB21/(J21+K21+L21)</f>
        <v>#DIV/0!</v>
      </c>
      <c r="AD21" s="864" t="s">
        <v>144</v>
      </c>
      <c r="AE21" s="865"/>
      <c r="AF21" s="865"/>
      <c r="AG21" s="866"/>
      <c r="AH21" s="866"/>
      <c r="AI21" s="867"/>
    </row>
    <row r="22" spans="1:35" x14ac:dyDescent="0.25">
      <c r="A22" s="638"/>
      <c r="C22" s="630"/>
      <c r="D22" s="630"/>
      <c r="E22" s="630"/>
      <c r="F22" s="630"/>
      <c r="G22" s="264">
        <f t="shared" si="8"/>
        <v>0</v>
      </c>
      <c r="H22" s="442">
        <f t="shared" si="9"/>
        <v>0</v>
      </c>
      <c r="J22" s="630"/>
      <c r="K22" s="630"/>
      <c r="L22" s="630"/>
      <c r="M22" s="630"/>
      <c r="N22" s="1">
        <f>IF(C22&gt;0,((J22*Setup_and_Criteria!$F$13)+('M1_1-15th'!K22*Setup_and_Criteria!$F$14)+('M1_1-15th'!L22*Setup_and_Criteria!$F$15)+('M1_1-15th'!M22*Setup_and_Criteria!$F$16)+Setup_and_Criteria!$J$16),0)</f>
        <v>0</v>
      </c>
      <c r="O22" s="442">
        <f t="shared" ref="O22:O27" si="14">+H22</f>
        <v>0</v>
      </c>
      <c r="P22" s="443">
        <f t="shared" si="10"/>
        <v>0</v>
      </c>
      <c r="Q22" s="357" t="e">
        <f t="shared" si="11"/>
        <v>#DIV/0!</v>
      </c>
      <c r="R22" s="630"/>
      <c r="S22" s="630"/>
      <c r="T22" s="630"/>
      <c r="U22" s="630"/>
      <c r="V22" s="630"/>
      <c r="W22" s="630"/>
      <c r="X22" s="630"/>
      <c r="Y22" s="630"/>
      <c r="Z22" s="630"/>
      <c r="AA22" s="630"/>
      <c r="AB22" s="1">
        <f t="shared" si="12"/>
        <v>0</v>
      </c>
      <c r="AC22" s="357" t="e">
        <f t="shared" si="13"/>
        <v>#DIV/0!</v>
      </c>
      <c r="AD22" s="864"/>
      <c r="AE22" s="865"/>
      <c r="AF22" s="865"/>
      <c r="AG22" s="866"/>
      <c r="AH22" s="866"/>
      <c r="AI22" s="867"/>
    </row>
    <row r="23" spans="1:35" x14ac:dyDescent="0.25">
      <c r="A23" s="638"/>
      <c r="C23" s="630"/>
      <c r="D23" s="630"/>
      <c r="E23" s="630"/>
      <c r="F23" s="630"/>
      <c r="G23" s="264">
        <f t="shared" si="8"/>
        <v>0</v>
      </c>
      <c r="H23" s="442">
        <f t="shared" si="9"/>
        <v>0</v>
      </c>
      <c r="J23" s="630"/>
      <c r="K23" s="630"/>
      <c r="L23" s="630"/>
      <c r="M23" s="630"/>
      <c r="N23" s="1">
        <f>IF(C23&gt;0,((J23*Setup_and_Criteria!$F$13)+('M1_1-15th'!K23*Setup_and_Criteria!$F$14)+('M1_1-15th'!L23*Setup_and_Criteria!$F$15)+('M1_1-15th'!M23*Setup_and_Criteria!$F$16)+Setup_and_Criteria!$J$16),0)</f>
        <v>0</v>
      </c>
      <c r="O23" s="442">
        <f t="shared" si="14"/>
        <v>0</v>
      </c>
      <c r="P23" s="443">
        <f t="shared" si="10"/>
        <v>0</v>
      </c>
      <c r="Q23" s="357" t="e">
        <f t="shared" si="11"/>
        <v>#DIV/0!</v>
      </c>
      <c r="R23" s="630"/>
      <c r="S23" s="630"/>
      <c r="T23" s="630"/>
      <c r="U23" s="630"/>
      <c r="V23" s="630"/>
      <c r="W23" s="630"/>
      <c r="X23" s="630"/>
      <c r="Y23" s="630"/>
      <c r="Z23" s="630"/>
      <c r="AA23" s="630"/>
      <c r="AB23" s="1">
        <f t="shared" si="12"/>
        <v>0</v>
      </c>
      <c r="AC23" s="357" t="e">
        <f t="shared" si="13"/>
        <v>#DIV/0!</v>
      </c>
      <c r="AD23" s="864"/>
      <c r="AE23" s="865"/>
      <c r="AF23" s="865"/>
      <c r="AG23" s="866"/>
      <c r="AH23" s="866"/>
      <c r="AI23" s="867"/>
    </row>
    <row r="24" spans="1:35" x14ac:dyDescent="0.25">
      <c r="A24" s="638"/>
      <c r="C24" s="630"/>
      <c r="D24" s="630"/>
      <c r="E24" s="630"/>
      <c r="F24" s="630"/>
      <c r="G24" s="264">
        <f t="shared" si="8"/>
        <v>0</v>
      </c>
      <c r="H24" s="442">
        <f t="shared" si="9"/>
        <v>0</v>
      </c>
      <c r="J24" s="630"/>
      <c r="K24" s="630"/>
      <c r="L24" s="630"/>
      <c r="M24" s="630"/>
      <c r="N24" s="1">
        <f>IF(C24&gt;0,((J24*Setup_and_Criteria!$F$13)+('M1_1-15th'!K24*Setup_and_Criteria!$F$14)+('M1_1-15th'!L24*Setup_and_Criteria!$F$15)+('M1_1-15th'!M24*Setup_and_Criteria!$F$16)+Setup_and_Criteria!$J$16),0)</f>
        <v>0</v>
      </c>
      <c r="O24" s="442">
        <f t="shared" si="14"/>
        <v>0</v>
      </c>
      <c r="P24" s="443">
        <f t="shared" si="10"/>
        <v>0</v>
      </c>
      <c r="Q24" s="357" t="e">
        <f t="shared" si="11"/>
        <v>#DIV/0!</v>
      </c>
      <c r="R24" s="630"/>
      <c r="S24" s="630"/>
      <c r="T24" s="630"/>
      <c r="U24" s="630"/>
      <c r="V24" s="630"/>
      <c r="W24" s="630"/>
      <c r="X24" s="630"/>
      <c r="Y24" s="630"/>
      <c r="Z24" s="630"/>
      <c r="AA24" s="630"/>
      <c r="AB24" s="1">
        <f t="shared" si="12"/>
        <v>0</v>
      </c>
      <c r="AC24" s="357" t="e">
        <f t="shared" si="13"/>
        <v>#DIV/0!</v>
      </c>
      <c r="AD24" s="864"/>
      <c r="AE24" s="865"/>
      <c r="AF24" s="865"/>
      <c r="AG24" s="866"/>
      <c r="AH24" s="866"/>
      <c r="AI24" s="867"/>
    </row>
    <row r="25" spans="1:35" x14ac:dyDescent="0.25">
      <c r="A25" s="638"/>
      <c r="C25" s="630"/>
      <c r="D25" s="630"/>
      <c r="E25" s="630"/>
      <c r="F25" s="630"/>
      <c r="G25" s="264">
        <f t="shared" si="8"/>
        <v>0</v>
      </c>
      <c r="H25" s="442">
        <f t="shared" si="9"/>
        <v>0</v>
      </c>
      <c r="J25" s="630"/>
      <c r="K25" s="630"/>
      <c r="L25" s="630"/>
      <c r="M25" s="630"/>
      <c r="N25" s="1">
        <f>IF(C25&gt;0,((J25*Setup_and_Criteria!$F$13)+('M1_1-15th'!K25*Setup_and_Criteria!$F$14)+('M1_1-15th'!L25*Setup_and_Criteria!$F$15)+('M1_1-15th'!M25*Setup_and_Criteria!$F$16)+Setup_and_Criteria!$J$16),0)</f>
        <v>0</v>
      </c>
      <c r="O25" s="442">
        <f t="shared" si="14"/>
        <v>0</v>
      </c>
      <c r="P25" s="443">
        <f t="shared" si="10"/>
        <v>0</v>
      </c>
      <c r="Q25" s="357" t="e">
        <f t="shared" si="11"/>
        <v>#DIV/0!</v>
      </c>
      <c r="R25" s="630"/>
      <c r="S25" s="630"/>
      <c r="T25" s="630"/>
      <c r="U25" s="630"/>
      <c r="V25" s="630"/>
      <c r="W25" s="630"/>
      <c r="X25" s="630"/>
      <c r="Y25" s="630"/>
      <c r="Z25" s="630"/>
      <c r="AA25" s="630"/>
      <c r="AB25" s="1">
        <f t="shared" si="12"/>
        <v>0</v>
      </c>
      <c r="AC25" s="357" t="e">
        <f t="shared" si="13"/>
        <v>#DIV/0!</v>
      </c>
      <c r="AD25" s="864"/>
      <c r="AE25" s="865"/>
      <c r="AF25" s="865"/>
      <c r="AG25" s="866"/>
      <c r="AH25" s="866"/>
      <c r="AI25" s="867"/>
    </row>
    <row r="26" spans="1:35" ht="15.75" thickBot="1" x14ac:dyDescent="0.3">
      <c r="A26" s="620"/>
      <c r="C26" s="370"/>
      <c r="D26" s="370"/>
      <c r="E26" s="630"/>
      <c r="F26" s="630"/>
      <c r="G26" s="264">
        <f t="shared" si="8"/>
        <v>0</v>
      </c>
      <c r="H26" s="442">
        <f t="shared" si="9"/>
        <v>0</v>
      </c>
      <c r="J26" s="371"/>
      <c r="K26" s="371"/>
      <c r="L26" s="371"/>
      <c r="M26" s="371"/>
      <c r="N26" s="358">
        <f>IF(C26&gt;0,((J26*Setup_and_Criteria!$F$13)+('M1_1-15th'!K26*Setup_and_Criteria!$F$14)+('M1_1-15th'!L26*Setup_and_Criteria!$F$15)+('M1_1-15th'!M26*Setup_and_Criteria!$F$16)+Setup_and_Criteria!$J$16),0)</f>
        <v>0</v>
      </c>
      <c r="O26" s="359">
        <f t="shared" si="14"/>
        <v>0</v>
      </c>
      <c r="P26" s="383">
        <f t="shared" si="10"/>
        <v>0</v>
      </c>
      <c r="Q26" s="360" t="e">
        <f t="shared" si="11"/>
        <v>#DIV/0!</v>
      </c>
      <c r="R26" s="511"/>
      <c r="S26" s="511"/>
      <c r="T26" s="511"/>
      <c r="U26" s="511"/>
      <c r="V26" s="511"/>
      <c r="W26" s="511"/>
      <c r="X26" s="511"/>
      <c r="Y26" s="511"/>
      <c r="Z26" s="511"/>
      <c r="AA26" s="511"/>
      <c r="AB26" s="1">
        <f t="shared" si="12"/>
        <v>0</v>
      </c>
      <c r="AC26" s="357" t="e">
        <f t="shared" si="13"/>
        <v>#DIV/0!</v>
      </c>
      <c r="AD26" s="864"/>
      <c r="AE26" s="865"/>
      <c r="AF26" s="865"/>
      <c r="AG26" s="866"/>
      <c r="AH26" s="866"/>
      <c r="AI26" s="867"/>
    </row>
    <row r="27" spans="1:35" ht="15.75" thickTop="1" x14ac:dyDescent="0.25">
      <c r="A27" s="58"/>
      <c r="H27" s="442">
        <f>SUM(H21:H26)</f>
        <v>0</v>
      </c>
      <c r="J27" s="1">
        <f>SUM(J21:J26)</f>
        <v>0</v>
      </c>
      <c r="K27" s="1">
        <f>SUM(K21:K26)</f>
        <v>0</v>
      </c>
      <c r="L27" s="1">
        <f>SUM(L21:L26)</f>
        <v>0</v>
      </c>
      <c r="M27" s="1">
        <f>SUM(M21:M26)</f>
        <v>0</v>
      </c>
      <c r="N27" s="1">
        <f>SUM(N21:N26)</f>
        <v>0</v>
      </c>
      <c r="O27" s="1">
        <f t="shared" si="14"/>
        <v>0</v>
      </c>
      <c r="P27" s="443">
        <f t="shared" si="10"/>
        <v>0</v>
      </c>
      <c r="Q27" s="357" t="e">
        <f t="shared" si="11"/>
        <v>#DIV/0!</v>
      </c>
      <c r="R27" s="1">
        <f t="shared" ref="R27:AA27" si="15">SUM(R21:R26)</f>
        <v>0</v>
      </c>
      <c r="S27" s="1">
        <f t="shared" si="15"/>
        <v>0</v>
      </c>
      <c r="T27" s="1">
        <f t="shared" si="15"/>
        <v>0</v>
      </c>
      <c r="U27" s="1">
        <f t="shared" si="15"/>
        <v>0</v>
      </c>
      <c r="V27" s="1">
        <f t="shared" si="15"/>
        <v>0</v>
      </c>
      <c r="W27" s="1">
        <f t="shared" si="15"/>
        <v>0</v>
      </c>
      <c r="X27" s="1">
        <f t="shared" si="15"/>
        <v>0</v>
      </c>
      <c r="Y27" s="1">
        <f t="shared" si="15"/>
        <v>0</v>
      </c>
      <c r="Z27" s="1">
        <f t="shared" si="15"/>
        <v>0</v>
      </c>
      <c r="AA27" s="1">
        <f t="shared" si="15"/>
        <v>0</v>
      </c>
      <c r="AB27" s="1">
        <f t="shared" si="12"/>
        <v>0</v>
      </c>
      <c r="AC27" s="357" t="e">
        <f t="shared" si="13"/>
        <v>#DIV/0!</v>
      </c>
      <c r="AD27" s="877"/>
      <c r="AE27" s="878"/>
      <c r="AF27" s="878"/>
      <c r="AG27" s="749"/>
      <c r="AH27" s="749"/>
      <c r="AI27" s="879"/>
    </row>
    <row r="28" spans="1:35" ht="21" customHeight="1" x14ac:dyDescent="0.35">
      <c r="A28" s="58"/>
      <c r="H28" s="442"/>
      <c r="N28" s="888" t="s">
        <v>145</v>
      </c>
      <c r="O28" s="888"/>
      <c r="P28" s="888"/>
      <c r="Q28" s="888"/>
      <c r="R28" s="431" t="s">
        <v>146</v>
      </c>
      <c r="S28" s="431"/>
      <c r="T28" s="431"/>
      <c r="U28" s="431"/>
      <c r="V28" s="431"/>
      <c r="W28" s="431"/>
      <c r="X28" s="431"/>
      <c r="Y28" s="431"/>
      <c r="Z28" s="431"/>
      <c r="AA28" s="431"/>
      <c r="AB28" s="431"/>
      <c r="AC28" s="431"/>
      <c r="AD28" s="880" t="s">
        <v>132</v>
      </c>
      <c r="AE28" s="881"/>
      <c r="AF28" s="881"/>
      <c r="AG28" s="881"/>
      <c r="AH28" s="881"/>
      <c r="AI28" s="882"/>
    </row>
    <row r="29" spans="1:35" ht="31.5" customHeight="1" x14ac:dyDescent="0.35">
      <c r="A29" s="378" t="s">
        <v>147</v>
      </c>
      <c r="C29" s="885" t="s">
        <v>128</v>
      </c>
      <c r="D29" s="885"/>
      <c r="E29" s="885"/>
      <c r="F29" s="885"/>
      <c r="H29" s="442"/>
      <c r="J29" s="444"/>
      <c r="K29" s="445" t="s">
        <v>35</v>
      </c>
      <c r="L29" s="445" t="s">
        <v>148</v>
      </c>
      <c r="N29" s="446" t="s">
        <v>149</v>
      </c>
      <c r="O29" s="447" t="s">
        <v>150</v>
      </c>
      <c r="P29" s="447" t="s">
        <v>138</v>
      </c>
      <c r="Q29" s="447" t="s">
        <v>151</v>
      </c>
      <c r="R29" s="749" t="s">
        <v>152</v>
      </c>
      <c r="S29" s="749"/>
      <c r="T29" s="883" t="s">
        <v>153</v>
      </c>
      <c r="U29" s="883"/>
      <c r="W29" s="425" t="s">
        <v>154</v>
      </c>
      <c r="X29" s="425"/>
      <c r="Y29" s="425"/>
      <c r="Z29" s="425"/>
      <c r="AA29" s="425"/>
      <c r="AB29" s="425"/>
      <c r="AC29" s="425"/>
      <c r="AD29" s="868" t="s">
        <v>160</v>
      </c>
      <c r="AE29" s="869"/>
      <c r="AF29" s="869"/>
      <c r="AG29" s="869"/>
      <c r="AH29" s="869"/>
      <c r="AI29" s="870"/>
    </row>
    <row r="30" spans="1:35" ht="18" customHeight="1" thickBot="1" x14ac:dyDescent="0.3">
      <c r="A30" s="639"/>
      <c r="B30" s="364"/>
      <c r="C30" s="372"/>
      <c r="D30" s="372"/>
      <c r="E30" s="372"/>
      <c r="F30" s="372"/>
      <c r="G30" s="366">
        <f>+(D30-C30)+(F30-E30)</f>
        <v>0</v>
      </c>
      <c r="H30" s="367">
        <f>+G30*1440</f>
        <v>0</v>
      </c>
      <c r="I30" s="859" t="s">
        <v>155</v>
      </c>
      <c r="J30" s="860"/>
      <c r="K30" s="373"/>
      <c r="L30" s="374"/>
      <c r="M30" s="423"/>
      <c r="N30" s="629">
        <f>+J27+L27+K27+K30+L30</f>
        <v>0</v>
      </c>
      <c r="O30" s="368">
        <f>+(Setup_and_Criteria!$K$31+(J27*Setup_and_Criteria!$F$20)+('M1_1-15th'!K27*Setup_and_Criteria!$F$21)+('M1_1-15th'!L27*Setup_and_Criteria!$F$20))+T30+(K30*Setup_and_Criteria!$F$21)+(Setup_and_Criteria!$F$22*'M1_1-15th'!L30)</f>
        <v>75</v>
      </c>
      <c r="P30" s="367">
        <f>+H30</f>
        <v>0</v>
      </c>
      <c r="Q30" s="367">
        <f>+O30-P30</f>
        <v>75</v>
      </c>
      <c r="R30" s="861" t="s">
        <v>252</v>
      </c>
      <c r="S30" s="861"/>
      <c r="T30" s="862"/>
      <c r="U30" s="863"/>
      <c r="V30" s="265" t="s">
        <v>156</v>
      </c>
      <c r="W30" s="854"/>
      <c r="X30" s="855"/>
      <c r="Y30" s="855"/>
      <c r="Z30" s="855"/>
      <c r="AA30" s="855"/>
      <c r="AB30" s="855"/>
      <c r="AC30" s="855"/>
      <c r="AD30" s="868"/>
      <c r="AE30" s="869"/>
      <c r="AF30" s="869"/>
      <c r="AG30" s="869"/>
      <c r="AH30" s="869"/>
      <c r="AI30" s="870"/>
    </row>
    <row r="31" spans="1:35" ht="15.75" thickBot="1" x14ac:dyDescent="0.3">
      <c r="A31" s="452" t="str">
        <f>+A18</f>
        <v>Password to enter data = "Enter Info"</v>
      </c>
      <c r="B31" s="450"/>
      <c r="C31" s="451"/>
      <c r="D31" s="451"/>
      <c r="E31" s="451"/>
      <c r="F31" s="451"/>
      <c r="G31" s="451"/>
      <c r="H31" s="451"/>
      <c r="I31" s="450"/>
      <c r="J31" s="451"/>
      <c r="K31" s="451"/>
      <c r="L31" s="451"/>
      <c r="M31" s="451"/>
      <c r="N31" s="451"/>
      <c r="O31" s="451"/>
      <c r="P31" s="451"/>
      <c r="Q31" s="450"/>
      <c r="R31" s="451"/>
      <c r="S31" s="451"/>
      <c r="T31" s="451"/>
      <c r="U31" s="451"/>
      <c r="V31" s="451"/>
      <c r="W31" s="451"/>
      <c r="X31" s="451"/>
      <c r="Y31" s="451"/>
      <c r="Z31" s="451"/>
      <c r="AA31" s="451"/>
      <c r="AB31" s="450"/>
      <c r="AC31" s="450"/>
      <c r="AD31" s="871"/>
      <c r="AE31" s="872"/>
      <c r="AF31" s="872"/>
      <c r="AG31" s="872"/>
      <c r="AH31" s="872"/>
      <c r="AI31" s="873"/>
    </row>
    <row r="32" spans="1:35" ht="35.25" customHeight="1" x14ac:dyDescent="0.4">
      <c r="A32" s="434" t="str">
        <f>+A19</f>
        <v>May</v>
      </c>
      <c r="B32" s="624">
        <f>+B19+1</f>
        <v>3</v>
      </c>
      <c r="C32" s="884" t="s">
        <v>128</v>
      </c>
      <c r="D32" s="884"/>
      <c r="E32" s="884"/>
      <c r="F32" s="884"/>
      <c r="G32" s="377"/>
      <c r="H32" s="377"/>
      <c r="I32" s="21"/>
      <c r="J32" s="874" t="s">
        <v>129</v>
      </c>
      <c r="K32" s="875"/>
      <c r="L32" s="875"/>
      <c r="M32" s="875"/>
      <c r="N32" s="876" t="s">
        <v>130</v>
      </c>
      <c r="O32" s="876"/>
      <c r="P32" s="876"/>
      <c r="Q32" s="876"/>
      <c r="R32" s="424" t="str">
        <f>+R19</f>
        <v xml:space="preserve"> Corrections Tracking - Check out rooms</v>
      </c>
      <c r="S32" s="424"/>
      <c r="T32" s="424"/>
      <c r="U32" s="424"/>
      <c r="V32" s="424"/>
      <c r="W32" s="424"/>
      <c r="X32" s="424"/>
      <c r="Y32" s="424"/>
      <c r="Z32" s="424"/>
      <c r="AA32" s="424"/>
      <c r="AB32" s="424"/>
      <c r="AC32" s="424"/>
      <c r="AD32" s="461" t="s">
        <v>132</v>
      </c>
      <c r="AE32" s="426"/>
      <c r="AF32" s="426"/>
      <c r="AG32" s="426"/>
      <c r="AH32" s="426"/>
      <c r="AI32" s="427"/>
    </row>
    <row r="33" spans="1:35" ht="59.25" customHeight="1" x14ac:dyDescent="0.25">
      <c r="A33" s="378" t="s">
        <v>133</v>
      </c>
      <c r="C33" s="435" t="s">
        <v>134</v>
      </c>
      <c r="D33" s="435" t="s">
        <v>135</v>
      </c>
      <c r="E33" s="435" t="s">
        <v>134</v>
      </c>
      <c r="F33" s="435" t="s">
        <v>135</v>
      </c>
      <c r="G33" s="1" t="s">
        <v>136</v>
      </c>
      <c r="H33" s="1" t="s">
        <v>108</v>
      </c>
      <c r="I33" s="436"/>
      <c r="J33" s="437" t="str">
        <f>+Setup_and_Criteria!$B$13</f>
        <v>Checkouts</v>
      </c>
      <c r="K33" s="437" t="str">
        <f>+Setup_and_Criteria!$B$14</f>
        <v>Pet Rooms</v>
      </c>
      <c r="L33" s="437" t="str">
        <f>+Setup_and_Criteria!$B$15</f>
        <v>2 Rm &amp; Jac Stes</v>
      </c>
      <c r="M33" s="438" t="str">
        <f>+Setup_and_Criteria!$B$16</f>
        <v>Stayovers</v>
      </c>
      <c r="N33" s="269" t="s">
        <v>137</v>
      </c>
      <c r="O33" s="269" t="s">
        <v>138</v>
      </c>
      <c r="P33" s="439" t="s">
        <v>139</v>
      </c>
      <c r="Q33" s="439" t="s">
        <v>140</v>
      </c>
      <c r="R33" s="440" t="str">
        <f>+Corrections!$C$8</f>
        <v>Vanity</v>
      </c>
      <c r="S33" s="440" t="str">
        <f>+Corrections!$I$8</f>
        <v>Toilet</v>
      </c>
      <c r="T33" s="440" t="str">
        <f>+Corrections!$O$8</f>
        <v>Bed/Pillows</v>
      </c>
      <c r="U33" s="440" t="str">
        <f>+Corrections!$U$8</f>
        <v>Floor</v>
      </c>
      <c r="V33" s="440" t="str">
        <f>+Corrections!$AA$8</f>
        <v>Dusting</v>
      </c>
      <c r="W33" s="440" t="str">
        <f>+Corrections!$AG$8</f>
        <v>Fridge/Micro</v>
      </c>
      <c r="X33" s="440" t="str">
        <f>+Corrections!$AM$8</f>
        <v>Tub</v>
      </c>
      <c r="Y33" s="441" t="str">
        <f>+Corrections!$AS$8</f>
        <v>Mirrors/Glass</v>
      </c>
      <c r="Z33" s="440" t="str">
        <f>+Corrections!$AY$8</f>
        <v>Stocking</v>
      </c>
      <c r="AA33" s="440" t="str">
        <f>+Corrections!$BE$8</f>
        <v>Other</v>
      </c>
      <c r="AB33" s="269" t="s">
        <v>141</v>
      </c>
      <c r="AC33" s="269" t="str">
        <f>+$AC$7</f>
        <v>Daily Corr / Inspected Checkout</v>
      </c>
      <c r="AD33" s="889" t="s">
        <v>143</v>
      </c>
      <c r="AE33" s="890"/>
      <c r="AF33" s="890"/>
      <c r="AG33" s="890"/>
      <c r="AH33" s="890"/>
      <c r="AI33" s="891"/>
    </row>
    <row r="34" spans="1:35" x14ac:dyDescent="0.25">
      <c r="A34" s="638"/>
      <c r="C34" s="369"/>
      <c r="D34" s="369"/>
      <c r="E34" s="369"/>
      <c r="F34" s="369"/>
      <c r="G34" s="264">
        <f t="shared" ref="G34:G39" si="16">+(D34-C34)+(F34-E34)</f>
        <v>0</v>
      </c>
      <c r="H34" s="442">
        <f t="shared" ref="H34:H39" si="17">+G34*1440</f>
        <v>0</v>
      </c>
      <c r="J34" s="630"/>
      <c r="K34" s="630"/>
      <c r="L34" s="630"/>
      <c r="M34" s="630"/>
      <c r="N34" s="1">
        <f>IF(C34&gt;0,((J34*Setup_and_Criteria!$F$13)+('M1_1-15th'!K34*Setup_and_Criteria!$F$14)+('M1_1-15th'!L34*Setup_and_Criteria!$F$15)+('M1_1-15th'!M34*Setup_and_Criteria!$F$16)+Setup_and_Criteria!$J$16),0)</f>
        <v>0</v>
      </c>
      <c r="O34" s="442">
        <f>+H34</f>
        <v>0</v>
      </c>
      <c r="P34" s="443">
        <f t="shared" ref="P34:P40" si="18">+N34-O34</f>
        <v>0</v>
      </c>
      <c r="Q34" s="357" t="e">
        <f t="shared" ref="Q34:Q40" si="19">O34/_xlfn.SINGLE(SUM(J34:M34))</f>
        <v>#DIV/0!</v>
      </c>
      <c r="R34" s="630"/>
      <c r="S34" s="630"/>
      <c r="T34" s="630"/>
      <c r="U34" s="630"/>
      <c r="V34" s="630"/>
      <c r="W34" s="630"/>
      <c r="X34" s="630"/>
      <c r="Y34" s="630"/>
      <c r="Z34" s="630"/>
      <c r="AA34" s="630"/>
      <c r="AB34" s="1">
        <f t="shared" ref="AB34:AB40" si="20">SUM(R34:AA34)</f>
        <v>0</v>
      </c>
      <c r="AC34" s="357" t="e">
        <f t="shared" ref="AC34:AC40" si="21">+AB34/(J34+K34+L34)</f>
        <v>#DIV/0!</v>
      </c>
      <c r="AD34" s="864" t="s">
        <v>144</v>
      </c>
      <c r="AE34" s="865"/>
      <c r="AF34" s="865"/>
      <c r="AG34" s="866"/>
      <c r="AH34" s="866"/>
      <c r="AI34" s="867"/>
    </row>
    <row r="35" spans="1:35" x14ac:dyDescent="0.25">
      <c r="A35" s="638"/>
      <c r="C35" s="630"/>
      <c r="D35" s="630"/>
      <c r="E35" s="630"/>
      <c r="F35" s="630"/>
      <c r="G35" s="264">
        <f t="shared" si="16"/>
        <v>0</v>
      </c>
      <c r="H35" s="442">
        <f t="shared" si="17"/>
        <v>0</v>
      </c>
      <c r="J35" s="630"/>
      <c r="K35" s="630"/>
      <c r="L35" s="630"/>
      <c r="M35" s="630"/>
      <c r="N35" s="1">
        <f>IF(C35&gt;0,((J35*Setup_and_Criteria!$F$13)+('M1_1-15th'!K35*Setup_and_Criteria!$F$14)+('M1_1-15th'!L35*Setup_and_Criteria!$F$15)+('M1_1-15th'!M35*Setup_and_Criteria!$F$16)+Setup_and_Criteria!$J$16),0)</f>
        <v>0</v>
      </c>
      <c r="O35" s="442">
        <f t="shared" ref="O35:O40" si="22">+H35</f>
        <v>0</v>
      </c>
      <c r="P35" s="443">
        <f t="shared" si="18"/>
        <v>0</v>
      </c>
      <c r="Q35" s="357" t="e">
        <f t="shared" si="19"/>
        <v>#DIV/0!</v>
      </c>
      <c r="R35" s="630"/>
      <c r="S35" s="630"/>
      <c r="T35" s="630"/>
      <c r="U35" s="630"/>
      <c r="V35" s="630"/>
      <c r="W35" s="630"/>
      <c r="X35" s="630"/>
      <c r="Y35" s="630"/>
      <c r="Z35" s="630"/>
      <c r="AA35" s="630"/>
      <c r="AB35" s="1">
        <f t="shared" si="20"/>
        <v>0</v>
      </c>
      <c r="AC35" s="357" t="e">
        <f t="shared" si="21"/>
        <v>#DIV/0!</v>
      </c>
      <c r="AD35" s="864"/>
      <c r="AE35" s="865"/>
      <c r="AF35" s="865"/>
      <c r="AG35" s="866"/>
      <c r="AH35" s="866"/>
      <c r="AI35" s="867"/>
    </row>
    <row r="36" spans="1:35" x14ac:dyDescent="0.25">
      <c r="A36" s="638"/>
      <c r="C36" s="630"/>
      <c r="D36" s="630"/>
      <c r="E36" s="630"/>
      <c r="F36" s="630"/>
      <c r="G36" s="264">
        <f t="shared" si="16"/>
        <v>0</v>
      </c>
      <c r="H36" s="442">
        <f t="shared" si="17"/>
        <v>0</v>
      </c>
      <c r="J36" s="630"/>
      <c r="K36" s="630"/>
      <c r="L36" s="630"/>
      <c r="M36" s="630"/>
      <c r="N36" s="1">
        <f>IF(C36&gt;0,((J36*Setup_and_Criteria!$F$13)+('M1_1-15th'!K36*Setup_and_Criteria!$F$14)+('M1_1-15th'!L36*Setup_and_Criteria!$F$15)+('M1_1-15th'!M36*Setup_and_Criteria!$F$16)+Setup_and_Criteria!$J$16),0)</f>
        <v>0</v>
      </c>
      <c r="O36" s="442">
        <f t="shared" si="22"/>
        <v>0</v>
      </c>
      <c r="P36" s="443">
        <f t="shared" si="18"/>
        <v>0</v>
      </c>
      <c r="Q36" s="357" t="e">
        <f t="shared" si="19"/>
        <v>#DIV/0!</v>
      </c>
      <c r="R36" s="630"/>
      <c r="S36" s="630"/>
      <c r="T36" s="630"/>
      <c r="U36" s="630"/>
      <c r="V36" s="630"/>
      <c r="W36" s="630"/>
      <c r="X36" s="630"/>
      <c r="Y36" s="630"/>
      <c r="Z36" s="630"/>
      <c r="AA36" s="630"/>
      <c r="AB36" s="1">
        <f t="shared" si="20"/>
        <v>0</v>
      </c>
      <c r="AC36" s="357" t="e">
        <f t="shared" si="21"/>
        <v>#DIV/0!</v>
      </c>
      <c r="AD36" s="864"/>
      <c r="AE36" s="865"/>
      <c r="AF36" s="865"/>
      <c r="AG36" s="866"/>
      <c r="AH36" s="866"/>
      <c r="AI36" s="867"/>
    </row>
    <row r="37" spans="1:35" x14ac:dyDescent="0.25">
      <c r="A37" s="638"/>
      <c r="C37" s="630"/>
      <c r="D37" s="630"/>
      <c r="E37" s="630"/>
      <c r="F37" s="630"/>
      <c r="G37" s="264">
        <f t="shared" si="16"/>
        <v>0</v>
      </c>
      <c r="H37" s="442">
        <f t="shared" si="17"/>
        <v>0</v>
      </c>
      <c r="J37" s="630"/>
      <c r="K37" s="630"/>
      <c r="L37" s="630"/>
      <c r="M37" s="630"/>
      <c r="N37" s="1">
        <f>IF(C37&gt;0,((J37*Setup_and_Criteria!$F$13)+('M1_1-15th'!K37*Setup_and_Criteria!$F$14)+('M1_1-15th'!L37*Setup_and_Criteria!$F$15)+('M1_1-15th'!M37*Setup_and_Criteria!$F$16)+Setup_and_Criteria!$J$16),0)</f>
        <v>0</v>
      </c>
      <c r="O37" s="442">
        <f t="shared" si="22"/>
        <v>0</v>
      </c>
      <c r="P37" s="443">
        <f t="shared" si="18"/>
        <v>0</v>
      </c>
      <c r="Q37" s="357" t="e">
        <f t="shared" si="19"/>
        <v>#DIV/0!</v>
      </c>
      <c r="R37" s="630"/>
      <c r="S37" s="630"/>
      <c r="T37" s="630"/>
      <c r="U37" s="630"/>
      <c r="V37" s="630"/>
      <c r="W37" s="630"/>
      <c r="X37" s="630"/>
      <c r="Y37" s="630"/>
      <c r="Z37" s="630"/>
      <c r="AA37" s="630"/>
      <c r="AB37" s="1">
        <f t="shared" si="20"/>
        <v>0</v>
      </c>
      <c r="AC37" s="357" t="e">
        <f t="shared" si="21"/>
        <v>#DIV/0!</v>
      </c>
      <c r="AD37" s="864"/>
      <c r="AE37" s="865"/>
      <c r="AF37" s="865"/>
      <c r="AG37" s="866"/>
      <c r="AH37" s="866"/>
      <c r="AI37" s="867"/>
    </row>
    <row r="38" spans="1:35" x14ac:dyDescent="0.25">
      <c r="A38" s="638"/>
      <c r="C38" s="630"/>
      <c r="D38" s="630"/>
      <c r="E38" s="630"/>
      <c r="F38" s="630"/>
      <c r="G38" s="264">
        <f t="shared" si="16"/>
        <v>0</v>
      </c>
      <c r="H38" s="442">
        <f t="shared" si="17"/>
        <v>0</v>
      </c>
      <c r="J38" s="630"/>
      <c r="K38" s="630"/>
      <c r="L38" s="630"/>
      <c r="M38" s="630"/>
      <c r="N38" s="1">
        <f>IF(C38&gt;0,((J38*Setup_and_Criteria!$F$13)+('M1_1-15th'!K38*Setup_and_Criteria!$F$14)+('M1_1-15th'!L38*Setup_and_Criteria!$F$15)+('M1_1-15th'!M38*Setup_and_Criteria!$F$16)+Setup_and_Criteria!$J$16),0)</f>
        <v>0</v>
      </c>
      <c r="O38" s="442">
        <f t="shared" si="22"/>
        <v>0</v>
      </c>
      <c r="P38" s="443">
        <f t="shared" si="18"/>
        <v>0</v>
      </c>
      <c r="Q38" s="357" t="e">
        <f t="shared" si="19"/>
        <v>#DIV/0!</v>
      </c>
      <c r="R38" s="630"/>
      <c r="S38" s="630"/>
      <c r="T38" s="630"/>
      <c r="U38" s="630"/>
      <c r="V38" s="630"/>
      <c r="W38" s="630"/>
      <c r="X38" s="630"/>
      <c r="Y38" s="630"/>
      <c r="Z38" s="630"/>
      <c r="AA38" s="630"/>
      <c r="AB38" s="1">
        <f t="shared" si="20"/>
        <v>0</v>
      </c>
      <c r="AC38" s="357" t="e">
        <f t="shared" si="21"/>
        <v>#DIV/0!</v>
      </c>
      <c r="AD38" s="864"/>
      <c r="AE38" s="865"/>
      <c r="AF38" s="865"/>
      <c r="AG38" s="866"/>
      <c r="AH38" s="866"/>
      <c r="AI38" s="867"/>
    </row>
    <row r="39" spans="1:35" ht="15.75" thickBot="1" x14ac:dyDescent="0.3">
      <c r="A39" s="638"/>
      <c r="C39" s="370"/>
      <c r="D39" s="370"/>
      <c r="E39" s="630"/>
      <c r="F39" s="630"/>
      <c r="G39" s="264">
        <f t="shared" si="16"/>
        <v>0</v>
      </c>
      <c r="H39" s="442">
        <f t="shared" si="17"/>
        <v>0</v>
      </c>
      <c r="J39" s="371"/>
      <c r="K39" s="371"/>
      <c r="L39" s="371"/>
      <c r="M39" s="371"/>
      <c r="N39" s="358">
        <f>IF(C39&gt;0,((J39*Setup_and_Criteria!$F$13)+('M1_1-15th'!K39*Setup_and_Criteria!$F$14)+('M1_1-15th'!L39*Setup_and_Criteria!$F$15)+('M1_1-15th'!M39*Setup_and_Criteria!$F$16)+Setup_and_Criteria!$J$16),0)</f>
        <v>0</v>
      </c>
      <c r="O39" s="359">
        <f t="shared" si="22"/>
        <v>0</v>
      </c>
      <c r="P39" s="383">
        <f t="shared" si="18"/>
        <v>0</v>
      </c>
      <c r="Q39" s="360" t="e">
        <f t="shared" si="19"/>
        <v>#DIV/0!</v>
      </c>
      <c r="R39" s="511"/>
      <c r="S39" s="511"/>
      <c r="T39" s="511"/>
      <c r="U39" s="511"/>
      <c r="V39" s="511"/>
      <c r="W39" s="511"/>
      <c r="X39" s="511"/>
      <c r="Y39" s="511"/>
      <c r="Z39" s="511"/>
      <c r="AA39" s="511"/>
      <c r="AB39" s="1">
        <f t="shared" si="20"/>
        <v>0</v>
      </c>
      <c r="AC39" s="357" t="e">
        <f t="shared" si="21"/>
        <v>#DIV/0!</v>
      </c>
      <c r="AD39" s="864"/>
      <c r="AE39" s="865"/>
      <c r="AF39" s="865"/>
      <c r="AG39" s="866"/>
      <c r="AH39" s="866"/>
      <c r="AI39" s="867"/>
    </row>
    <row r="40" spans="1:35" ht="15.75" thickTop="1" x14ac:dyDescent="0.25">
      <c r="A40" s="58"/>
      <c r="H40" s="442">
        <f>SUM(H34:H39)</f>
        <v>0</v>
      </c>
      <c r="J40" s="1">
        <f>SUM(J34:J39)</f>
        <v>0</v>
      </c>
      <c r="K40" s="1">
        <f>SUM(K34:K39)</f>
        <v>0</v>
      </c>
      <c r="L40" s="1">
        <f>SUM(L34:L39)</f>
        <v>0</v>
      </c>
      <c r="M40" s="1">
        <f>SUM(M34:M39)</f>
        <v>0</v>
      </c>
      <c r="N40" s="1">
        <f>SUM(N34:N39)</f>
        <v>0</v>
      </c>
      <c r="O40" s="1">
        <f t="shared" si="22"/>
        <v>0</v>
      </c>
      <c r="P40" s="443">
        <f t="shared" si="18"/>
        <v>0</v>
      </c>
      <c r="Q40" s="357" t="e">
        <f t="shared" si="19"/>
        <v>#DIV/0!</v>
      </c>
      <c r="R40" s="1">
        <f t="shared" ref="R40:AA40" si="23">SUM(R34:R39)</f>
        <v>0</v>
      </c>
      <c r="S40" s="1">
        <f t="shared" si="23"/>
        <v>0</v>
      </c>
      <c r="T40" s="1">
        <f t="shared" si="23"/>
        <v>0</v>
      </c>
      <c r="U40" s="1">
        <f t="shared" si="23"/>
        <v>0</v>
      </c>
      <c r="V40" s="1">
        <f t="shared" si="23"/>
        <v>0</v>
      </c>
      <c r="W40" s="1">
        <f t="shared" si="23"/>
        <v>0</v>
      </c>
      <c r="X40" s="1">
        <f t="shared" si="23"/>
        <v>0</v>
      </c>
      <c r="Y40" s="1">
        <f t="shared" si="23"/>
        <v>0</v>
      </c>
      <c r="Z40" s="1">
        <f t="shared" si="23"/>
        <v>0</v>
      </c>
      <c r="AA40" s="1">
        <f t="shared" si="23"/>
        <v>0</v>
      </c>
      <c r="AB40" s="1">
        <f t="shared" si="20"/>
        <v>0</v>
      </c>
      <c r="AC40" s="357" t="e">
        <f t="shared" si="21"/>
        <v>#DIV/0!</v>
      </c>
      <c r="AD40" s="877"/>
      <c r="AE40" s="878"/>
      <c r="AF40" s="878"/>
      <c r="AG40" s="749"/>
      <c r="AH40" s="749"/>
      <c r="AI40" s="879"/>
    </row>
    <row r="41" spans="1:35" ht="21" customHeight="1" x14ac:dyDescent="0.35">
      <c r="A41" s="58"/>
      <c r="H41" s="442"/>
      <c r="N41" s="888" t="s">
        <v>145</v>
      </c>
      <c r="O41" s="888"/>
      <c r="P41" s="888"/>
      <c r="Q41" s="888"/>
      <c r="R41" s="431" t="s">
        <v>146</v>
      </c>
      <c r="S41" s="431"/>
      <c r="T41" s="431"/>
      <c r="U41" s="431"/>
      <c r="V41" s="431"/>
      <c r="W41" s="431"/>
      <c r="X41" s="431"/>
      <c r="Y41" s="431"/>
      <c r="Z41" s="431"/>
      <c r="AA41" s="431"/>
      <c r="AB41" s="431"/>
      <c r="AC41" s="431"/>
      <c r="AD41" s="880" t="s">
        <v>132</v>
      </c>
      <c r="AE41" s="881"/>
      <c r="AF41" s="881"/>
      <c r="AG41" s="881"/>
      <c r="AH41" s="881"/>
      <c r="AI41" s="882"/>
    </row>
    <row r="42" spans="1:35" ht="31.5" customHeight="1" x14ac:dyDescent="0.35">
      <c r="A42" s="378" t="s">
        <v>147</v>
      </c>
      <c r="C42" s="885" t="s">
        <v>128</v>
      </c>
      <c r="D42" s="885"/>
      <c r="E42" s="885"/>
      <c r="F42" s="885"/>
      <c r="H42" s="442"/>
      <c r="J42" s="444"/>
      <c r="K42" s="445" t="s">
        <v>35</v>
      </c>
      <c r="L42" s="445" t="s">
        <v>148</v>
      </c>
      <c r="N42" s="446" t="s">
        <v>149</v>
      </c>
      <c r="O42" s="447" t="s">
        <v>150</v>
      </c>
      <c r="P42" s="447" t="s">
        <v>138</v>
      </c>
      <c r="Q42" s="447" t="s">
        <v>151</v>
      </c>
      <c r="R42" s="749" t="s">
        <v>152</v>
      </c>
      <c r="S42" s="749"/>
      <c r="T42" s="883" t="s">
        <v>153</v>
      </c>
      <c r="U42" s="883"/>
      <c r="W42" s="425" t="s">
        <v>154</v>
      </c>
      <c r="X42" s="425"/>
      <c r="Y42" s="425"/>
      <c r="Z42" s="425"/>
      <c r="AA42" s="425"/>
      <c r="AB42" s="425"/>
      <c r="AC42" s="425"/>
      <c r="AD42" s="868" t="s">
        <v>160</v>
      </c>
      <c r="AE42" s="869"/>
      <c r="AF42" s="869"/>
      <c r="AG42" s="869"/>
      <c r="AH42" s="869"/>
      <c r="AI42" s="870"/>
    </row>
    <row r="43" spans="1:35" ht="18" customHeight="1" thickBot="1" x14ac:dyDescent="0.3">
      <c r="A43" s="639"/>
      <c r="B43" s="364"/>
      <c r="C43" s="372"/>
      <c r="D43" s="372"/>
      <c r="E43" s="372"/>
      <c r="F43" s="372"/>
      <c r="G43" s="366">
        <f>+(D43-C43)+(F43-E43)</f>
        <v>0</v>
      </c>
      <c r="H43" s="367">
        <f>+G43*1440</f>
        <v>0</v>
      </c>
      <c r="I43" s="859" t="s">
        <v>155</v>
      </c>
      <c r="J43" s="860"/>
      <c r="K43" s="373">
        <v>0</v>
      </c>
      <c r="L43" s="374">
        <v>0</v>
      </c>
      <c r="M43" s="423"/>
      <c r="N43" s="629">
        <f>+J40+L40+K40+K43+L43</f>
        <v>0</v>
      </c>
      <c r="O43" s="368">
        <f>+(Setup_and_Criteria!$K$31+(J40*Setup_and_Criteria!$F$20)+('M1_1-15th'!K40*Setup_and_Criteria!$F$21)+('M1_1-15th'!L40*Setup_and_Criteria!$F$20))+T43+(K43*Setup_and_Criteria!$F$21)+(Setup_and_Criteria!$F$22*'M1_1-15th'!L43)</f>
        <v>75</v>
      </c>
      <c r="P43" s="367">
        <f>+H43</f>
        <v>0</v>
      </c>
      <c r="Q43" s="367">
        <f>+O43-P43</f>
        <v>75</v>
      </c>
      <c r="R43" s="861" t="s">
        <v>252</v>
      </c>
      <c r="S43" s="861"/>
      <c r="T43" s="862"/>
      <c r="U43" s="863"/>
      <c r="V43" s="265" t="s">
        <v>156</v>
      </c>
      <c r="W43" s="854"/>
      <c r="X43" s="855"/>
      <c r="Y43" s="855"/>
      <c r="Z43" s="855"/>
      <c r="AA43" s="855"/>
      <c r="AB43" s="855"/>
      <c r="AC43" s="855"/>
      <c r="AD43" s="868"/>
      <c r="AE43" s="869"/>
      <c r="AF43" s="869"/>
      <c r="AG43" s="869"/>
      <c r="AH43" s="869"/>
      <c r="AI43" s="870"/>
    </row>
    <row r="44" spans="1:35" ht="15.75" thickBot="1" x14ac:dyDescent="0.3">
      <c r="A44" s="449" t="str">
        <f>+A31</f>
        <v>Password to enter data = "Enter Info"</v>
      </c>
      <c r="B44" s="450"/>
      <c r="C44" s="451"/>
      <c r="D44" s="451"/>
      <c r="E44" s="451"/>
      <c r="F44" s="451"/>
      <c r="G44" s="451"/>
      <c r="H44" s="451"/>
      <c r="I44" s="450"/>
      <c r="J44" s="451"/>
      <c r="K44" s="451"/>
      <c r="L44" s="451"/>
      <c r="M44" s="451"/>
      <c r="N44" s="451"/>
      <c r="O44" s="451"/>
      <c r="P44" s="451"/>
      <c r="Q44" s="450"/>
      <c r="R44" s="451"/>
      <c r="S44" s="451"/>
      <c r="T44" s="451"/>
      <c r="U44" s="451"/>
      <c r="V44" s="451"/>
      <c r="W44" s="451"/>
      <c r="X44" s="451"/>
      <c r="Y44" s="451"/>
      <c r="Z44" s="451"/>
      <c r="AA44" s="451"/>
      <c r="AB44" s="450"/>
      <c r="AC44" s="450"/>
      <c r="AD44" s="871"/>
      <c r="AE44" s="872"/>
      <c r="AF44" s="872"/>
      <c r="AG44" s="872"/>
      <c r="AH44" s="872"/>
      <c r="AI44" s="873"/>
    </row>
    <row r="45" spans="1:35" ht="35.25" customHeight="1" x14ac:dyDescent="0.4">
      <c r="A45" s="434" t="str">
        <f>+A32</f>
        <v>May</v>
      </c>
      <c r="B45" s="624">
        <f>+B32+1</f>
        <v>4</v>
      </c>
      <c r="C45" s="884" t="s">
        <v>128</v>
      </c>
      <c r="D45" s="884"/>
      <c r="E45" s="884"/>
      <c r="F45" s="884"/>
      <c r="G45" s="377"/>
      <c r="H45" s="377"/>
      <c r="I45" s="21"/>
      <c r="J45" s="874" t="s">
        <v>129</v>
      </c>
      <c r="K45" s="875"/>
      <c r="L45" s="875"/>
      <c r="M45" s="875"/>
      <c r="N45" s="876" t="s">
        <v>130</v>
      </c>
      <c r="O45" s="876"/>
      <c r="P45" s="876"/>
      <c r="Q45" s="876"/>
      <c r="R45" s="424" t="str">
        <f>+R32</f>
        <v xml:space="preserve"> Corrections Tracking - Check out rooms</v>
      </c>
      <c r="S45" s="424"/>
      <c r="T45" s="424"/>
      <c r="U45" s="424"/>
      <c r="V45" s="424"/>
      <c r="W45" s="424"/>
      <c r="X45" s="424"/>
      <c r="Y45" s="424"/>
      <c r="Z45" s="424"/>
      <c r="AA45" s="424"/>
      <c r="AB45" s="424"/>
      <c r="AC45" s="424"/>
      <c r="AD45" s="461" t="s">
        <v>132</v>
      </c>
      <c r="AE45" s="426"/>
      <c r="AF45" s="426"/>
      <c r="AG45" s="426"/>
      <c r="AH45" s="426"/>
      <c r="AI45" s="427"/>
    </row>
    <row r="46" spans="1:35" ht="59.25" customHeight="1" x14ac:dyDescent="0.25">
      <c r="A46" s="378" t="s">
        <v>133</v>
      </c>
      <c r="C46" s="435" t="s">
        <v>134</v>
      </c>
      <c r="D46" s="435" t="s">
        <v>135</v>
      </c>
      <c r="E46" s="435" t="s">
        <v>134</v>
      </c>
      <c r="F46" s="435" t="s">
        <v>135</v>
      </c>
      <c r="G46" s="1" t="s">
        <v>136</v>
      </c>
      <c r="H46" s="1" t="s">
        <v>108</v>
      </c>
      <c r="I46" s="436"/>
      <c r="J46" s="437" t="str">
        <f>+Setup_and_Criteria!$B$13</f>
        <v>Checkouts</v>
      </c>
      <c r="K46" s="437" t="str">
        <f>+Setup_and_Criteria!$B$14</f>
        <v>Pet Rooms</v>
      </c>
      <c r="L46" s="437" t="str">
        <f>+Setup_and_Criteria!$B$15</f>
        <v>2 Rm &amp; Jac Stes</v>
      </c>
      <c r="M46" s="438" t="str">
        <f>+Setup_and_Criteria!$B$16</f>
        <v>Stayovers</v>
      </c>
      <c r="N46" s="269" t="s">
        <v>137</v>
      </c>
      <c r="O46" s="269" t="s">
        <v>138</v>
      </c>
      <c r="P46" s="439" t="s">
        <v>139</v>
      </c>
      <c r="Q46" s="439" t="s">
        <v>140</v>
      </c>
      <c r="R46" s="440" t="str">
        <f>+Corrections!$C$8</f>
        <v>Vanity</v>
      </c>
      <c r="S46" s="440" t="str">
        <f>+Corrections!$I$8</f>
        <v>Toilet</v>
      </c>
      <c r="T46" s="440" t="str">
        <f>+Corrections!$O$8</f>
        <v>Bed/Pillows</v>
      </c>
      <c r="U46" s="440" t="str">
        <f>+Corrections!$U$8</f>
        <v>Floor</v>
      </c>
      <c r="V46" s="440" t="str">
        <f>+Corrections!$AA$8</f>
        <v>Dusting</v>
      </c>
      <c r="W46" s="440" t="str">
        <f>+Corrections!$AG$8</f>
        <v>Fridge/Micro</v>
      </c>
      <c r="X46" s="440" t="str">
        <f>+Corrections!$AM$8</f>
        <v>Tub</v>
      </c>
      <c r="Y46" s="441" t="str">
        <f>+Corrections!$AS$8</f>
        <v>Mirrors/Glass</v>
      </c>
      <c r="Z46" s="440" t="str">
        <f>+Corrections!$AY$8</f>
        <v>Stocking</v>
      </c>
      <c r="AA46" s="440" t="str">
        <f>+Corrections!$BE$8</f>
        <v>Other</v>
      </c>
      <c r="AB46" s="269" t="s">
        <v>141</v>
      </c>
      <c r="AC46" s="269" t="str">
        <f>+$AC$7</f>
        <v>Daily Corr / Inspected Checkout</v>
      </c>
      <c r="AD46" s="889" t="s">
        <v>143</v>
      </c>
      <c r="AE46" s="890"/>
      <c r="AF46" s="890"/>
      <c r="AG46" s="890"/>
      <c r="AH46" s="890"/>
      <c r="AI46" s="891"/>
    </row>
    <row r="47" spans="1:35" x14ac:dyDescent="0.25">
      <c r="A47" s="638"/>
      <c r="C47" s="369"/>
      <c r="D47" s="369"/>
      <c r="E47" s="369"/>
      <c r="F47" s="369"/>
      <c r="G47" s="264">
        <f t="shared" ref="G47:G52" si="24">+(D47-C47)+(F47-E47)</f>
        <v>0</v>
      </c>
      <c r="H47" s="442">
        <f t="shared" ref="H47:H52" si="25">+G47*1440</f>
        <v>0</v>
      </c>
      <c r="J47" s="630"/>
      <c r="K47" s="630"/>
      <c r="L47" s="630"/>
      <c r="M47" s="630"/>
      <c r="N47" s="1">
        <f>IF(C47&gt;0,((J47*Setup_and_Criteria!$F$13)+('M1_1-15th'!K47*Setup_and_Criteria!$F$14)+('M1_1-15th'!L47*Setup_and_Criteria!$F$15)+('M1_1-15th'!M47*Setup_and_Criteria!$F$16)+Setup_and_Criteria!$J$16),0)</f>
        <v>0</v>
      </c>
      <c r="O47" s="442">
        <f>+H47</f>
        <v>0</v>
      </c>
      <c r="P47" s="443">
        <f t="shared" ref="P47:P53" si="26">+N47-O47</f>
        <v>0</v>
      </c>
      <c r="Q47" s="357" t="e">
        <f t="shared" ref="Q47:Q53" si="27">O47/_xlfn.SINGLE(SUM(J47:M47))</f>
        <v>#DIV/0!</v>
      </c>
      <c r="R47" s="630"/>
      <c r="S47" s="630"/>
      <c r="T47" s="630"/>
      <c r="U47" s="630"/>
      <c r="V47" s="630"/>
      <c r="W47" s="630"/>
      <c r="X47" s="630"/>
      <c r="Y47" s="630"/>
      <c r="Z47" s="630"/>
      <c r="AA47" s="630"/>
      <c r="AB47" s="1">
        <f t="shared" ref="AB47:AB53" si="28">SUM(R47:AA47)</f>
        <v>0</v>
      </c>
      <c r="AC47" s="357" t="e">
        <f t="shared" ref="AC47:AC53" si="29">+AB47/(J47+K47+L47)</f>
        <v>#DIV/0!</v>
      </c>
      <c r="AD47" s="864" t="s">
        <v>144</v>
      </c>
      <c r="AE47" s="865"/>
      <c r="AF47" s="865"/>
      <c r="AG47" s="866"/>
      <c r="AH47" s="866"/>
      <c r="AI47" s="867"/>
    </row>
    <row r="48" spans="1:35" x14ac:dyDescent="0.25">
      <c r="A48" s="638"/>
      <c r="C48" s="630"/>
      <c r="D48" s="630"/>
      <c r="E48" s="630"/>
      <c r="F48" s="630"/>
      <c r="G48" s="264">
        <f t="shared" si="24"/>
        <v>0</v>
      </c>
      <c r="H48" s="442">
        <f t="shared" si="25"/>
        <v>0</v>
      </c>
      <c r="J48" s="630"/>
      <c r="K48" s="630"/>
      <c r="L48" s="630"/>
      <c r="M48" s="630"/>
      <c r="N48" s="1">
        <f>IF(C48&gt;0,((J48*Setup_and_Criteria!$F$13)+('M1_1-15th'!K48*Setup_and_Criteria!$F$14)+('M1_1-15th'!L48*Setup_and_Criteria!$F$15)+('M1_1-15th'!M48*Setup_and_Criteria!$F$16)+Setup_and_Criteria!$J$16),0)</f>
        <v>0</v>
      </c>
      <c r="O48" s="442">
        <f t="shared" ref="O48:O53" si="30">+H48</f>
        <v>0</v>
      </c>
      <c r="P48" s="443">
        <f t="shared" si="26"/>
        <v>0</v>
      </c>
      <c r="Q48" s="357" t="e">
        <f t="shared" si="27"/>
        <v>#DIV/0!</v>
      </c>
      <c r="R48" s="630"/>
      <c r="S48" s="630"/>
      <c r="T48" s="630"/>
      <c r="U48" s="630"/>
      <c r="V48" s="630"/>
      <c r="W48" s="630"/>
      <c r="X48" s="630"/>
      <c r="Y48" s="630"/>
      <c r="Z48" s="630"/>
      <c r="AA48" s="630"/>
      <c r="AB48" s="1">
        <f t="shared" si="28"/>
        <v>0</v>
      </c>
      <c r="AC48" s="357" t="e">
        <f t="shared" si="29"/>
        <v>#DIV/0!</v>
      </c>
      <c r="AD48" s="864"/>
      <c r="AE48" s="865"/>
      <c r="AF48" s="865"/>
      <c r="AG48" s="866"/>
      <c r="AH48" s="866"/>
      <c r="AI48" s="867"/>
    </row>
    <row r="49" spans="1:35" x14ac:dyDescent="0.25">
      <c r="A49" s="638"/>
      <c r="C49" s="630"/>
      <c r="D49" s="630"/>
      <c r="E49" s="630"/>
      <c r="F49" s="630"/>
      <c r="G49" s="264">
        <f t="shared" si="24"/>
        <v>0</v>
      </c>
      <c r="H49" s="442">
        <f t="shared" si="25"/>
        <v>0</v>
      </c>
      <c r="J49" s="630"/>
      <c r="K49" s="630"/>
      <c r="L49" s="630"/>
      <c r="M49" s="630"/>
      <c r="N49" s="1">
        <f>IF(C49&gt;0,((J49*Setup_and_Criteria!$F$13)+('M1_1-15th'!K49*Setup_and_Criteria!$F$14)+('M1_1-15th'!L49*Setup_and_Criteria!$F$15)+('M1_1-15th'!M49*Setup_and_Criteria!$F$16)+Setup_and_Criteria!$J$16),0)</f>
        <v>0</v>
      </c>
      <c r="O49" s="442">
        <f t="shared" si="30"/>
        <v>0</v>
      </c>
      <c r="P49" s="443">
        <f t="shared" si="26"/>
        <v>0</v>
      </c>
      <c r="Q49" s="357" t="e">
        <f t="shared" si="27"/>
        <v>#DIV/0!</v>
      </c>
      <c r="R49" s="630"/>
      <c r="S49" s="630"/>
      <c r="T49" s="630"/>
      <c r="U49" s="630"/>
      <c r="V49" s="630"/>
      <c r="W49" s="630"/>
      <c r="X49" s="630"/>
      <c r="Y49" s="630"/>
      <c r="Z49" s="630"/>
      <c r="AA49" s="630"/>
      <c r="AB49" s="1">
        <f t="shared" si="28"/>
        <v>0</v>
      </c>
      <c r="AC49" s="357" t="e">
        <f t="shared" si="29"/>
        <v>#DIV/0!</v>
      </c>
      <c r="AD49" s="864"/>
      <c r="AE49" s="865"/>
      <c r="AF49" s="865"/>
      <c r="AG49" s="866"/>
      <c r="AH49" s="866"/>
      <c r="AI49" s="867"/>
    </row>
    <row r="50" spans="1:35" x14ac:dyDescent="0.25">
      <c r="A50" s="638"/>
      <c r="C50" s="630"/>
      <c r="D50" s="630"/>
      <c r="E50" s="630"/>
      <c r="F50" s="630"/>
      <c r="G50" s="264">
        <f t="shared" si="24"/>
        <v>0</v>
      </c>
      <c r="H50" s="442">
        <f t="shared" si="25"/>
        <v>0</v>
      </c>
      <c r="J50" s="630"/>
      <c r="K50" s="630"/>
      <c r="L50" s="630"/>
      <c r="M50" s="630"/>
      <c r="N50" s="1">
        <f>IF(C50&gt;0,((J50*Setup_and_Criteria!$F$13)+('M1_1-15th'!K50*Setup_and_Criteria!$F$14)+('M1_1-15th'!L50*Setup_and_Criteria!$F$15)+('M1_1-15th'!M50*Setup_and_Criteria!$F$16)+Setup_and_Criteria!$J$16),0)</f>
        <v>0</v>
      </c>
      <c r="O50" s="442">
        <f t="shared" si="30"/>
        <v>0</v>
      </c>
      <c r="P50" s="443">
        <f t="shared" si="26"/>
        <v>0</v>
      </c>
      <c r="Q50" s="357" t="e">
        <f t="shared" si="27"/>
        <v>#DIV/0!</v>
      </c>
      <c r="R50" s="630"/>
      <c r="S50" s="630"/>
      <c r="T50" s="630"/>
      <c r="U50" s="630"/>
      <c r="V50" s="630"/>
      <c r="W50" s="630"/>
      <c r="X50" s="630"/>
      <c r="Y50" s="630"/>
      <c r="Z50" s="630"/>
      <c r="AA50" s="630"/>
      <c r="AB50" s="1">
        <f t="shared" si="28"/>
        <v>0</v>
      </c>
      <c r="AC50" s="357" t="e">
        <f t="shared" si="29"/>
        <v>#DIV/0!</v>
      </c>
      <c r="AD50" s="864"/>
      <c r="AE50" s="865"/>
      <c r="AF50" s="865"/>
      <c r="AG50" s="866"/>
      <c r="AH50" s="866"/>
      <c r="AI50" s="867"/>
    </row>
    <row r="51" spans="1:35" x14ac:dyDescent="0.25">
      <c r="A51" s="638"/>
      <c r="C51" s="630"/>
      <c r="D51" s="630"/>
      <c r="E51" s="630"/>
      <c r="F51" s="630"/>
      <c r="G51" s="264">
        <f t="shared" si="24"/>
        <v>0</v>
      </c>
      <c r="H51" s="442">
        <f t="shared" si="25"/>
        <v>0</v>
      </c>
      <c r="J51" s="630"/>
      <c r="K51" s="630"/>
      <c r="L51" s="630"/>
      <c r="M51" s="630"/>
      <c r="N51" s="1">
        <f>IF(C51&gt;0,((J51*Setup_and_Criteria!$F$13)+('M1_1-15th'!K51*Setup_and_Criteria!$F$14)+('M1_1-15th'!L51*Setup_and_Criteria!$F$15)+('M1_1-15th'!M51*Setup_and_Criteria!$F$16)+Setup_and_Criteria!$J$16),0)</f>
        <v>0</v>
      </c>
      <c r="O51" s="442">
        <f t="shared" si="30"/>
        <v>0</v>
      </c>
      <c r="P51" s="443">
        <f t="shared" si="26"/>
        <v>0</v>
      </c>
      <c r="Q51" s="357" t="e">
        <f t="shared" si="27"/>
        <v>#DIV/0!</v>
      </c>
      <c r="R51" s="630"/>
      <c r="S51" s="630"/>
      <c r="T51" s="630"/>
      <c r="U51" s="630"/>
      <c r="V51" s="630"/>
      <c r="W51" s="630"/>
      <c r="X51" s="630"/>
      <c r="Y51" s="630"/>
      <c r="Z51" s="630"/>
      <c r="AA51" s="630"/>
      <c r="AB51" s="1">
        <f t="shared" si="28"/>
        <v>0</v>
      </c>
      <c r="AC51" s="357" t="e">
        <f t="shared" si="29"/>
        <v>#DIV/0!</v>
      </c>
      <c r="AD51" s="864"/>
      <c r="AE51" s="865"/>
      <c r="AF51" s="865"/>
      <c r="AG51" s="866"/>
      <c r="AH51" s="866"/>
      <c r="AI51" s="867"/>
    </row>
    <row r="52" spans="1:35" ht="15.75" thickBot="1" x14ac:dyDescent="0.3">
      <c r="A52" s="638"/>
      <c r="C52" s="370"/>
      <c r="D52" s="370"/>
      <c r="E52" s="630"/>
      <c r="F52" s="630"/>
      <c r="G52" s="264">
        <f t="shared" si="24"/>
        <v>0</v>
      </c>
      <c r="H52" s="442">
        <f t="shared" si="25"/>
        <v>0</v>
      </c>
      <c r="J52" s="371"/>
      <c r="K52" s="371"/>
      <c r="L52" s="371"/>
      <c r="M52" s="371"/>
      <c r="N52" s="358">
        <f>IF(C52&gt;0,((J52*Setup_and_Criteria!$F$13)+('M1_1-15th'!K52*Setup_and_Criteria!$F$14)+('M1_1-15th'!L52*Setup_and_Criteria!$F$15)+('M1_1-15th'!M52*Setup_and_Criteria!$F$16)+Setup_and_Criteria!$J$16),0)</f>
        <v>0</v>
      </c>
      <c r="O52" s="359">
        <f t="shared" si="30"/>
        <v>0</v>
      </c>
      <c r="P52" s="383">
        <f t="shared" si="26"/>
        <v>0</v>
      </c>
      <c r="Q52" s="360" t="e">
        <f t="shared" si="27"/>
        <v>#DIV/0!</v>
      </c>
      <c r="R52" s="511"/>
      <c r="S52" s="511"/>
      <c r="T52" s="511"/>
      <c r="U52" s="511"/>
      <c r="V52" s="511"/>
      <c r="W52" s="511"/>
      <c r="X52" s="511"/>
      <c r="Y52" s="511"/>
      <c r="Z52" s="511"/>
      <c r="AA52" s="511"/>
      <c r="AB52" s="1">
        <f t="shared" si="28"/>
        <v>0</v>
      </c>
      <c r="AC52" s="357" t="e">
        <f t="shared" si="29"/>
        <v>#DIV/0!</v>
      </c>
      <c r="AD52" s="864"/>
      <c r="AE52" s="865"/>
      <c r="AF52" s="865"/>
      <c r="AG52" s="866"/>
      <c r="AH52" s="866"/>
      <c r="AI52" s="867"/>
    </row>
    <row r="53" spans="1:35" ht="15.75" thickTop="1" x14ac:dyDescent="0.25">
      <c r="A53" s="58"/>
      <c r="H53" s="442">
        <f>SUM(H47:H52)</f>
        <v>0</v>
      </c>
      <c r="J53" s="1">
        <f>SUM(J47:J52)</f>
        <v>0</v>
      </c>
      <c r="K53" s="1">
        <f>SUM(K47:K52)</f>
        <v>0</v>
      </c>
      <c r="L53" s="1">
        <f>SUM(L47:L52)</f>
        <v>0</v>
      </c>
      <c r="M53" s="1">
        <f>SUM(M47:M52)</f>
        <v>0</v>
      </c>
      <c r="N53" s="1">
        <f>SUM(N47:N52)</f>
        <v>0</v>
      </c>
      <c r="O53" s="1">
        <f t="shared" si="30"/>
        <v>0</v>
      </c>
      <c r="P53" s="443">
        <f t="shared" si="26"/>
        <v>0</v>
      </c>
      <c r="Q53" s="357" t="e">
        <f t="shared" si="27"/>
        <v>#DIV/0!</v>
      </c>
      <c r="R53" s="1">
        <f t="shared" ref="R53:AA53" si="31">SUM(R47:R52)</f>
        <v>0</v>
      </c>
      <c r="S53" s="1">
        <f t="shared" si="31"/>
        <v>0</v>
      </c>
      <c r="T53" s="1">
        <f t="shared" si="31"/>
        <v>0</v>
      </c>
      <c r="U53" s="1">
        <f t="shared" si="31"/>
        <v>0</v>
      </c>
      <c r="V53" s="1">
        <f t="shared" si="31"/>
        <v>0</v>
      </c>
      <c r="W53" s="1">
        <f t="shared" si="31"/>
        <v>0</v>
      </c>
      <c r="X53" s="1">
        <f t="shared" si="31"/>
        <v>0</v>
      </c>
      <c r="Y53" s="1">
        <f t="shared" si="31"/>
        <v>0</v>
      </c>
      <c r="Z53" s="1">
        <f t="shared" si="31"/>
        <v>0</v>
      </c>
      <c r="AA53" s="1">
        <f t="shared" si="31"/>
        <v>0</v>
      </c>
      <c r="AB53" s="1">
        <f t="shared" si="28"/>
        <v>0</v>
      </c>
      <c r="AC53" s="357" t="e">
        <f t="shared" si="29"/>
        <v>#DIV/0!</v>
      </c>
      <c r="AD53" s="877"/>
      <c r="AE53" s="878"/>
      <c r="AF53" s="878"/>
      <c r="AG53" s="749"/>
      <c r="AH53" s="749"/>
      <c r="AI53" s="879"/>
    </row>
    <row r="54" spans="1:35" ht="21" customHeight="1" x14ac:dyDescent="0.35">
      <c r="A54" s="58"/>
      <c r="H54" s="442"/>
      <c r="N54" s="888" t="s">
        <v>145</v>
      </c>
      <c r="O54" s="888"/>
      <c r="P54" s="888"/>
      <c r="Q54" s="888"/>
      <c r="R54" s="431" t="s">
        <v>146</v>
      </c>
      <c r="S54" s="431"/>
      <c r="T54" s="431"/>
      <c r="U54" s="431"/>
      <c r="V54" s="431"/>
      <c r="W54" s="431"/>
      <c r="X54" s="431"/>
      <c r="Y54" s="431"/>
      <c r="Z54" s="431"/>
      <c r="AA54" s="431"/>
      <c r="AB54" s="431"/>
      <c r="AC54" s="431"/>
      <c r="AD54" s="880" t="s">
        <v>132</v>
      </c>
      <c r="AE54" s="881"/>
      <c r="AF54" s="881"/>
      <c r="AG54" s="881"/>
      <c r="AH54" s="881"/>
      <c r="AI54" s="882"/>
    </row>
    <row r="55" spans="1:35" ht="31.5" customHeight="1" x14ac:dyDescent="0.35">
      <c r="A55" s="378" t="s">
        <v>147</v>
      </c>
      <c r="C55" s="885" t="s">
        <v>128</v>
      </c>
      <c r="D55" s="885"/>
      <c r="E55" s="885"/>
      <c r="F55" s="885"/>
      <c r="H55" s="442"/>
      <c r="J55" s="444"/>
      <c r="K55" s="445" t="s">
        <v>35</v>
      </c>
      <c r="L55" s="445" t="s">
        <v>148</v>
      </c>
      <c r="N55" s="446" t="s">
        <v>149</v>
      </c>
      <c r="O55" s="447" t="s">
        <v>150</v>
      </c>
      <c r="P55" s="447" t="s">
        <v>138</v>
      </c>
      <c r="Q55" s="447" t="s">
        <v>151</v>
      </c>
      <c r="R55" s="749" t="s">
        <v>152</v>
      </c>
      <c r="S55" s="749"/>
      <c r="T55" s="883" t="s">
        <v>153</v>
      </c>
      <c r="U55" s="883"/>
      <c r="W55" s="425" t="s">
        <v>154</v>
      </c>
      <c r="X55" s="425"/>
      <c r="Y55" s="425"/>
      <c r="Z55" s="425"/>
      <c r="AA55" s="425"/>
      <c r="AB55" s="425"/>
      <c r="AC55" s="425"/>
      <c r="AD55" s="868" t="s">
        <v>160</v>
      </c>
      <c r="AE55" s="869"/>
      <c r="AF55" s="869"/>
      <c r="AG55" s="869"/>
      <c r="AH55" s="869"/>
      <c r="AI55" s="870"/>
    </row>
    <row r="56" spans="1:35" ht="18" customHeight="1" thickBot="1" x14ac:dyDescent="0.3">
      <c r="A56" s="639"/>
      <c r="B56" s="375"/>
      <c r="C56" s="372"/>
      <c r="D56" s="372"/>
      <c r="E56" s="372"/>
      <c r="F56" s="372"/>
      <c r="G56" s="366">
        <f>+(D56-C56)+(F56-E56)</f>
        <v>0</v>
      </c>
      <c r="H56" s="367">
        <f>+G56*1440</f>
        <v>0</v>
      </c>
      <c r="I56" s="859" t="s">
        <v>155</v>
      </c>
      <c r="J56" s="860"/>
      <c r="K56" s="373"/>
      <c r="L56" s="374"/>
      <c r="M56" s="423"/>
      <c r="N56" s="629">
        <f>+J53+L53+K53+K56+L56</f>
        <v>0</v>
      </c>
      <c r="O56" s="368">
        <f>+(Setup_and_Criteria!$K$31+(J53*Setup_and_Criteria!$F$20)+('M1_1-15th'!K53*Setup_and_Criteria!$F$21)+('M1_1-15th'!L53*Setup_and_Criteria!$F$20))+T56+(K56*Setup_and_Criteria!$F$21)+(Setup_and_Criteria!$F$22*'M1_1-15th'!L56)</f>
        <v>75</v>
      </c>
      <c r="P56" s="367">
        <f>+H56</f>
        <v>0</v>
      </c>
      <c r="Q56" s="367">
        <f>+O56-P56</f>
        <v>75</v>
      </c>
      <c r="R56" s="861" t="s">
        <v>252</v>
      </c>
      <c r="S56" s="861"/>
      <c r="T56" s="862"/>
      <c r="U56" s="863"/>
      <c r="V56" s="265" t="s">
        <v>156</v>
      </c>
      <c r="W56" s="854"/>
      <c r="X56" s="855"/>
      <c r="Y56" s="855"/>
      <c r="Z56" s="855"/>
      <c r="AA56" s="855"/>
      <c r="AB56" s="855"/>
      <c r="AC56" s="855"/>
      <c r="AD56" s="868"/>
      <c r="AE56" s="869"/>
      <c r="AF56" s="869"/>
      <c r="AG56" s="869"/>
      <c r="AH56" s="869"/>
      <c r="AI56" s="870"/>
    </row>
    <row r="57" spans="1:35" ht="15.75" thickBot="1" x14ac:dyDescent="0.3">
      <c r="A57" s="449" t="str">
        <f>+A44</f>
        <v>Password to enter data = "Enter Info"</v>
      </c>
      <c r="B57" s="450"/>
      <c r="C57" s="451"/>
      <c r="D57" s="451"/>
      <c r="E57" s="451"/>
      <c r="F57" s="451"/>
      <c r="G57" s="451"/>
      <c r="H57" s="451"/>
      <c r="I57" s="450"/>
      <c r="J57" s="451"/>
      <c r="K57" s="451"/>
      <c r="L57" s="451"/>
      <c r="M57" s="451"/>
      <c r="N57" s="451"/>
      <c r="O57" s="451"/>
      <c r="P57" s="451"/>
      <c r="Q57" s="450"/>
      <c r="R57" s="451"/>
      <c r="S57" s="451"/>
      <c r="T57" s="451"/>
      <c r="U57" s="451"/>
      <c r="V57" s="451"/>
      <c r="W57" s="451"/>
      <c r="X57" s="451"/>
      <c r="Y57" s="451"/>
      <c r="Z57" s="451"/>
      <c r="AA57" s="451"/>
      <c r="AB57" s="450"/>
      <c r="AC57" s="450"/>
      <c r="AD57" s="871"/>
      <c r="AE57" s="872"/>
      <c r="AF57" s="872"/>
      <c r="AG57" s="872"/>
      <c r="AH57" s="872"/>
      <c r="AI57" s="873"/>
    </row>
    <row r="58" spans="1:35" ht="35.25" customHeight="1" x14ac:dyDescent="0.4">
      <c r="A58" s="434" t="str">
        <f>+A45</f>
        <v>May</v>
      </c>
      <c r="B58" s="624">
        <f>+B45+1</f>
        <v>5</v>
      </c>
      <c r="C58" s="884" t="s">
        <v>128</v>
      </c>
      <c r="D58" s="884"/>
      <c r="E58" s="884"/>
      <c r="F58" s="884"/>
      <c r="G58" s="377"/>
      <c r="H58" s="377"/>
      <c r="I58" s="21"/>
      <c r="J58" s="874" t="s">
        <v>129</v>
      </c>
      <c r="K58" s="875"/>
      <c r="L58" s="875"/>
      <c r="M58" s="875"/>
      <c r="N58" s="876" t="s">
        <v>130</v>
      </c>
      <c r="O58" s="876"/>
      <c r="P58" s="876"/>
      <c r="Q58" s="876"/>
      <c r="R58" s="424" t="str">
        <f>+R45</f>
        <v xml:space="preserve"> Corrections Tracking - Check out rooms</v>
      </c>
      <c r="S58" s="424"/>
      <c r="T58" s="424"/>
      <c r="U58" s="424"/>
      <c r="V58" s="424"/>
      <c r="W58" s="424"/>
      <c r="X58" s="424"/>
      <c r="Y58" s="424"/>
      <c r="Z58" s="424"/>
      <c r="AA58" s="424"/>
      <c r="AB58" s="424"/>
      <c r="AC58" s="424"/>
      <c r="AD58" s="461" t="s">
        <v>132</v>
      </c>
      <c r="AE58" s="426"/>
      <c r="AF58" s="426"/>
      <c r="AG58" s="426"/>
      <c r="AH58" s="426"/>
      <c r="AI58" s="427"/>
    </row>
    <row r="59" spans="1:35" ht="59.25" customHeight="1" x14ac:dyDescent="0.25">
      <c r="A59" s="378" t="s">
        <v>133</v>
      </c>
      <c r="C59" s="435" t="s">
        <v>134</v>
      </c>
      <c r="D59" s="435" t="s">
        <v>135</v>
      </c>
      <c r="E59" s="435" t="s">
        <v>134</v>
      </c>
      <c r="F59" s="435" t="s">
        <v>135</v>
      </c>
      <c r="G59" s="1" t="s">
        <v>136</v>
      </c>
      <c r="H59" s="1" t="s">
        <v>108</v>
      </c>
      <c r="I59" s="436"/>
      <c r="J59" s="437" t="str">
        <f>+Setup_and_Criteria!$B$13</f>
        <v>Checkouts</v>
      </c>
      <c r="K59" s="437" t="str">
        <f>+Setup_and_Criteria!$B$14</f>
        <v>Pet Rooms</v>
      </c>
      <c r="L59" s="437" t="str">
        <f>+Setup_and_Criteria!$B$15</f>
        <v>2 Rm &amp; Jac Stes</v>
      </c>
      <c r="M59" s="438" t="str">
        <f>+Setup_and_Criteria!$B$16</f>
        <v>Stayovers</v>
      </c>
      <c r="N59" s="269" t="s">
        <v>137</v>
      </c>
      <c r="O59" s="269" t="s">
        <v>138</v>
      </c>
      <c r="P59" s="439" t="s">
        <v>139</v>
      </c>
      <c r="Q59" s="439" t="s">
        <v>140</v>
      </c>
      <c r="R59" s="440" t="str">
        <f>+Corrections!$C$8</f>
        <v>Vanity</v>
      </c>
      <c r="S59" s="440" t="str">
        <f>+Corrections!$I$8</f>
        <v>Toilet</v>
      </c>
      <c r="T59" s="440" t="str">
        <f>+Corrections!$O$8</f>
        <v>Bed/Pillows</v>
      </c>
      <c r="U59" s="440" t="str">
        <f>+Corrections!$U$8</f>
        <v>Floor</v>
      </c>
      <c r="V59" s="440" t="str">
        <f>+Corrections!$AA$8</f>
        <v>Dusting</v>
      </c>
      <c r="W59" s="440" t="str">
        <f>+Corrections!$AG$8</f>
        <v>Fridge/Micro</v>
      </c>
      <c r="X59" s="440" t="str">
        <f>+Corrections!$AM$8</f>
        <v>Tub</v>
      </c>
      <c r="Y59" s="441" t="str">
        <f>+Corrections!$AS$8</f>
        <v>Mirrors/Glass</v>
      </c>
      <c r="Z59" s="440" t="str">
        <f>+Corrections!$AY$8</f>
        <v>Stocking</v>
      </c>
      <c r="AA59" s="440" t="str">
        <f>+Corrections!$BE$8</f>
        <v>Other</v>
      </c>
      <c r="AB59" s="269" t="s">
        <v>141</v>
      </c>
      <c r="AC59" s="269" t="str">
        <f>+$AC$7</f>
        <v>Daily Corr / Inspected Checkout</v>
      </c>
      <c r="AD59" s="889" t="s">
        <v>143</v>
      </c>
      <c r="AE59" s="890"/>
      <c r="AF59" s="890"/>
      <c r="AG59" s="890"/>
      <c r="AH59" s="890"/>
      <c r="AI59" s="891"/>
    </row>
    <row r="60" spans="1:35" x14ac:dyDescent="0.25">
      <c r="A60" s="638"/>
      <c r="C60" s="369"/>
      <c r="D60" s="369"/>
      <c r="E60" s="369"/>
      <c r="F60" s="369"/>
      <c r="G60" s="264">
        <f t="shared" ref="G60:G65" si="32">+(D60-C60)+(F60-E60)</f>
        <v>0</v>
      </c>
      <c r="H60" s="442">
        <f t="shared" ref="H60:H65" si="33">+G60*1440</f>
        <v>0</v>
      </c>
      <c r="J60" s="630"/>
      <c r="K60" s="630"/>
      <c r="L60" s="630"/>
      <c r="M60" s="630"/>
      <c r="N60" s="1">
        <f>IF(C60&gt;0,((J60*Setup_and_Criteria!$F$13)+('M1_1-15th'!K60*Setup_and_Criteria!$F$14)+('M1_1-15th'!L60*Setup_and_Criteria!$F$15)+('M1_1-15th'!M60*Setup_and_Criteria!$F$16)+Setup_and_Criteria!$J$16),0)</f>
        <v>0</v>
      </c>
      <c r="O60" s="442">
        <f>+H60</f>
        <v>0</v>
      </c>
      <c r="P60" s="443">
        <f t="shared" ref="P60:P66" si="34">+N60-O60</f>
        <v>0</v>
      </c>
      <c r="Q60" s="357" t="e">
        <f t="shared" ref="Q60:Q66" si="35">O60/_xlfn.SINGLE(SUM(J60:M60))</f>
        <v>#DIV/0!</v>
      </c>
      <c r="R60" s="630"/>
      <c r="S60" s="630"/>
      <c r="T60" s="630"/>
      <c r="U60" s="630"/>
      <c r="V60" s="630"/>
      <c r="W60" s="630"/>
      <c r="X60" s="630"/>
      <c r="Y60" s="630"/>
      <c r="Z60" s="630"/>
      <c r="AA60" s="630"/>
      <c r="AB60" s="1">
        <f t="shared" ref="AB60:AB66" si="36">SUM(R60:AA60)</f>
        <v>0</v>
      </c>
      <c r="AC60" s="357" t="e">
        <f t="shared" ref="AC60:AC65" si="37">+AB60/(J60+K60+L60)</f>
        <v>#DIV/0!</v>
      </c>
      <c r="AD60" s="864" t="s">
        <v>144</v>
      </c>
      <c r="AE60" s="865"/>
      <c r="AF60" s="865"/>
      <c r="AG60" s="866"/>
      <c r="AH60" s="866"/>
      <c r="AI60" s="867"/>
    </row>
    <row r="61" spans="1:35" x14ac:dyDescent="0.25">
      <c r="A61" s="638"/>
      <c r="C61" s="630"/>
      <c r="D61" s="630"/>
      <c r="E61" s="630"/>
      <c r="F61" s="630"/>
      <c r="G61" s="264">
        <f t="shared" si="32"/>
        <v>0</v>
      </c>
      <c r="H61" s="442">
        <f t="shared" si="33"/>
        <v>0</v>
      </c>
      <c r="J61" s="630"/>
      <c r="K61" s="630"/>
      <c r="L61" s="630"/>
      <c r="M61" s="630"/>
      <c r="N61" s="1">
        <f>IF(C61&gt;0,((J61*Setup_and_Criteria!$F$13)+('M1_1-15th'!K61*Setup_and_Criteria!$F$14)+('M1_1-15th'!L61*Setup_and_Criteria!$F$15)+('M1_1-15th'!M61*Setup_and_Criteria!$F$16)+Setup_and_Criteria!$J$16),0)</f>
        <v>0</v>
      </c>
      <c r="O61" s="442">
        <f t="shared" ref="O61:O66" si="38">+H61</f>
        <v>0</v>
      </c>
      <c r="P61" s="443">
        <f t="shared" si="34"/>
        <v>0</v>
      </c>
      <c r="Q61" s="357" t="e">
        <f t="shared" si="35"/>
        <v>#DIV/0!</v>
      </c>
      <c r="R61" s="630"/>
      <c r="S61" s="630"/>
      <c r="T61" s="630"/>
      <c r="U61" s="630"/>
      <c r="V61" s="630"/>
      <c r="W61" s="630"/>
      <c r="X61" s="630"/>
      <c r="Y61" s="630"/>
      <c r="Z61" s="630"/>
      <c r="AA61" s="630"/>
      <c r="AB61" s="1">
        <f t="shared" si="36"/>
        <v>0</v>
      </c>
      <c r="AC61" s="357" t="e">
        <f t="shared" si="37"/>
        <v>#DIV/0!</v>
      </c>
      <c r="AD61" s="864"/>
      <c r="AE61" s="865"/>
      <c r="AF61" s="865"/>
      <c r="AG61" s="866"/>
      <c r="AH61" s="866"/>
      <c r="AI61" s="867"/>
    </row>
    <row r="62" spans="1:35" x14ac:dyDescent="0.25">
      <c r="A62" s="638"/>
      <c r="C62" s="630"/>
      <c r="D62" s="630"/>
      <c r="E62" s="630"/>
      <c r="F62" s="630"/>
      <c r="G62" s="264">
        <f t="shared" si="32"/>
        <v>0</v>
      </c>
      <c r="H62" s="442">
        <f t="shared" si="33"/>
        <v>0</v>
      </c>
      <c r="J62" s="630"/>
      <c r="K62" s="630"/>
      <c r="L62" s="630"/>
      <c r="M62" s="630"/>
      <c r="N62" s="1">
        <f>IF(C62&gt;0,((J62*Setup_and_Criteria!$F$13)+('M1_1-15th'!K62*Setup_and_Criteria!$F$14)+('M1_1-15th'!L62*Setup_and_Criteria!$F$15)+('M1_1-15th'!M62*Setup_and_Criteria!$F$16)+Setup_and_Criteria!$J$16),0)</f>
        <v>0</v>
      </c>
      <c r="O62" s="442">
        <f t="shared" si="38"/>
        <v>0</v>
      </c>
      <c r="P62" s="443">
        <f t="shared" si="34"/>
        <v>0</v>
      </c>
      <c r="Q62" s="357" t="e">
        <f t="shared" si="35"/>
        <v>#DIV/0!</v>
      </c>
      <c r="R62" s="630"/>
      <c r="S62" s="630"/>
      <c r="T62" s="630"/>
      <c r="U62" s="630"/>
      <c r="V62" s="630"/>
      <c r="W62" s="630"/>
      <c r="X62" s="630"/>
      <c r="Y62" s="630"/>
      <c r="Z62" s="630"/>
      <c r="AA62" s="630"/>
      <c r="AB62" s="1">
        <f t="shared" si="36"/>
        <v>0</v>
      </c>
      <c r="AC62" s="357" t="e">
        <f t="shared" si="37"/>
        <v>#DIV/0!</v>
      </c>
      <c r="AD62" s="864"/>
      <c r="AE62" s="865"/>
      <c r="AF62" s="865"/>
      <c r="AG62" s="866"/>
      <c r="AH62" s="866"/>
      <c r="AI62" s="867"/>
    </row>
    <row r="63" spans="1:35" x14ac:dyDescent="0.25">
      <c r="A63" s="638"/>
      <c r="C63" s="630"/>
      <c r="D63" s="630"/>
      <c r="E63" s="630"/>
      <c r="F63" s="630"/>
      <c r="G63" s="264">
        <f t="shared" si="32"/>
        <v>0</v>
      </c>
      <c r="H63" s="442">
        <f t="shared" si="33"/>
        <v>0</v>
      </c>
      <c r="J63" s="630"/>
      <c r="K63" s="630"/>
      <c r="L63" s="630"/>
      <c r="M63" s="630"/>
      <c r="N63" s="1">
        <f>IF(C63&gt;0,((J63*Setup_and_Criteria!$F$13)+('M1_1-15th'!K63*Setup_and_Criteria!$F$14)+('M1_1-15th'!L63*Setup_and_Criteria!$F$15)+('M1_1-15th'!M63*Setup_and_Criteria!$F$16)+Setup_and_Criteria!$J$16),0)</f>
        <v>0</v>
      </c>
      <c r="O63" s="442">
        <f t="shared" si="38"/>
        <v>0</v>
      </c>
      <c r="P63" s="443">
        <f t="shared" si="34"/>
        <v>0</v>
      </c>
      <c r="Q63" s="357" t="e">
        <f t="shared" si="35"/>
        <v>#DIV/0!</v>
      </c>
      <c r="R63" s="630"/>
      <c r="S63" s="630"/>
      <c r="T63" s="630"/>
      <c r="U63" s="630"/>
      <c r="V63" s="630"/>
      <c r="W63" s="630"/>
      <c r="X63" s="630"/>
      <c r="Y63" s="630"/>
      <c r="Z63" s="630"/>
      <c r="AA63" s="630"/>
      <c r="AB63" s="1">
        <f t="shared" si="36"/>
        <v>0</v>
      </c>
      <c r="AC63" s="357" t="e">
        <f t="shared" si="37"/>
        <v>#DIV/0!</v>
      </c>
      <c r="AD63" s="864"/>
      <c r="AE63" s="865"/>
      <c r="AF63" s="865"/>
      <c r="AG63" s="866"/>
      <c r="AH63" s="866"/>
      <c r="AI63" s="867"/>
    </row>
    <row r="64" spans="1:35" x14ac:dyDescent="0.25">
      <c r="A64" s="638"/>
      <c r="C64" s="630"/>
      <c r="D64" s="630"/>
      <c r="E64" s="630"/>
      <c r="F64" s="630"/>
      <c r="G64" s="264">
        <f t="shared" si="32"/>
        <v>0</v>
      </c>
      <c r="H64" s="442">
        <f t="shared" si="33"/>
        <v>0</v>
      </c>
      <c r="J64" s="630"/>
      <c r="K64" s="630"/>
      <c r="L64" s="630"/>
      <c r="M64" s="630"/>
      <c r="N64" s="1">
        <f>IF(C64&gt;0,((J64*Setup_and_Criteria!$F$13)+('M1_1-15th'!K64*Setup_and_Criteria!$F$14)+('M1_1-15th'!L64*Setup_and_Criteria!$F$15)+('M1_1-15th'!M64*Setup_and_Criteria!$F$16)+Setup_and_Criteria!$J$16),0)</f>
        <v>0</v>
      </c>
      <c r="O64" s="442">
        <f t="shared" si="38"/>
        <v>0</v>
      </c>
      <c r="P64" s="443">
        <f t="shared" si="34"/>
        <v>0</v>
      </c>
      <c r="Q64" s="357" t="e">
        <f t="shared" si="35"/>
        <v>#DIV/0!</v>
      </c>
      <c r="R64" s="630"/>
      <c r="S64" s="630"/>
      <c r="T64" s="630"/>
      <c r="U64" s="630"/>
      <c r="V64" s="630"/>
      <c r="W64" s="630"/>
      <c r="X64" s="630"/>
      <c r="Y64" s="630"/>
      <c r="Z64" s="630"/>
      <c r="AA64" s="630"/>
      <c r="AB64" s="1">
        <f t="shared" si="36"/>
        <v>0</v>
      </c>
      <c r="AC64" s="357" t="e">
        <f t="shared" si="37"/>
        <v>#DIV/0!</v>
      </c>
      <c r="AD64" s="864"/>
      <c r="AE64" s="865"/>
      <c r="AF64" s="865"/>
      <c r="AG64" s="866"/>
      <c r="AH64" s="866"/>
      <c r="AI64" s="867"/>
    </row>
    <row r="65" spans="1:35" ht="15.75" thickBot="1" x14ac:dyDescent="0.3">
      <c r="A65" s="638"/>
      <c r="C65" s="370"/>
      <c r="D65" s="370"/>
      <c r="E65" s="630"/>
      <c r="F65" s="630"/>
      <c r="G65" s="264">
        <f t="shared" si="32"/>
        <v>0</v>
      </c>
      <c r="H65" s="442">
        <f t="shared" si="33"/>
        <v>0</v>
      </c>
      <c r="J65" s="371"/>
      <c r="K65" s="371"/>
      <c r="L65" s="371"/>
      <c r="M65" s="371"/>
      <c r="N65" s="358">
        <f>IF(C65&gt;0,((J65*Setup_and_Criteria!$F$13)+('M1_1-15th'!K65*Setup_and_Criteria!$F$14)+('M1_1-15th'!L65*Setup_and_Criteria!$F$15)+('M1_1-15th'!M65*Setup_and_Criteria!$F$16)+Setup_and_Criteria!$J$16),0)</f>
        <v>0</v>
      </c>
      <c r="O65" s="359">
        <f t="shared" si="38"/>
        <v>0</v>
      </c>
      <c r="P65" s="383">
        <f t="shared" si="34"/>
        <v>0</v>
      </c>
      <c r="Q65" s="360" t="e">
        <f t="shared" si="35"/>
        <v>#DIV/0!</v>
      </c>
      <c r="R65" s="511"/>
      <c r="S65" s="511"/>
      <c r="T65" s="511"/>
      <c r="U65" s="511"/>
      <c r="V65" s="511"/>
      <c r="W65" s="511"/>
      <c r="X65" s="511"/>
      <c r="Y65" s="511"/>
      <c r="Z65" s="511"/>
      <c r="AA65" s="511"/>
      <c r="AB65" s="1">
        <f t="shared" si="36"/>
        <v>0</v>
      </c>
      <c r="AC65" s="357" t="e">
        <f t="shared" si="37"/>
        <v>#DIV/0!</v>
      </c>
      <c r="AD65" s="864"/>
      <c r="AE65" s="865"/>
      <c r="AF65" s="865"/>
      <c r="AG65" s="866"/>
      <c r="AH65" s="866"/>
      <c r="AI65" s="867"/>
    </row>
    <row r="66" spans="1:35" ht="15.75" thickTop="1" x14ac:dyDescent="0.25">
      <c r="A66" s="58"/>
      <c r="H66" s="442">
        <f>SUM(H60:H65)</f>
        <v>0</v>
      </c>
      <c r="J66" s="1">
        <f>SUM(J60:J65)</f>
        <v>0</v>
      </c>
      <c r="K66" s="1">
        <f>SUM(K60:K65)</f>
        <v>0</v>
      </c>
      <c r="L66" s="1">
        <f>SUM(L60:L65)</f>
        <v>0</v>
      </c>
      <c r="M66" s="1">
        <f>SUM(M60:M65)</f>
        <v>0</v>
      </c>
      <c r="N66" s="1">
        <f>SUM(N60:N65)</f>
        <v>0</v>
      </c>
      <c r="O66" s="1">
        <f t="shared" si="38"/>
        <v>0</v>
      </c>
      <c r="P66" s="443">
        <f t="shared" si="34"/>
        <v>0</v>
      </c>
      <c r="Q66" s="357" t="e">
        <f t="shared" si="35"/>
        <v>#DIV/0!</v>
      </c>
      <c r="R66" s="1">
        <f t="shared" ref="R66:AA66" si="39">SUM(R60:R65)</f>
        <v>0</v>
      </c>
      <c r="S66" s="1">
        <f t="shared" si="39"/>
        <v>0</v>
      </c>
      <c r="T66" s="1">
        <f t="shared" si="39"/>
        <v>0</v>
      </c>
      <c r="U66" s="1">
        <f t="shared" si="39"/>
        <v>0</v>
      </c>
      <c r="V66" s="1">
        <f t="shared" si="39"/>
        <v>0</v>
      </c>
      <c r="W66" s="1">
        <f t="shared" si="39"/>
        <v>0</v>
      </c>
      <c r="X66" s="1">
        <f t="shared" si="39"/>
        <v>0</v>
      </c>
      <c r="Y66" s="1">
        <f t="shared" si="39"/>
        <v>0</v>
      </c>
      <c r="Z66" s="1">
        <f t="shared" si="39"/>
        <v>0</v>
      </c>
      <c r="AA66" s="1">
        <f t="shared" si="39"/>
        <v>0</v>
      </c>
      <c r="AB66" s="1">
        <f t="shared" si="36"/>
        <v>0</v>
      </c>
      <c r="AC66" s="357" t="e">
        <f>+AB66/(J66+K66+L66+M66)</f>
        <v>#DIV/0!</v>
      </c>
      <c r="AD66" s="877"/>
      <c r="AE66" s="878"/>
      <c r="AF66" s="878"/>
      <c r="AG66" s="749"/>
      <c r="AH66" s="749"/>
      <c r="AI66" s="879"/>
    </row>
    <row r="67" spans="1:35" ht="21" customHeight="1" x14ac:dyDescent="0.35">
      <c r="A67" s="58"/>
      <c r="H67" s="442"/>
      <c r="N67" s="888" t="s">
        <v>145</v>
      </c>
      <c r="O67" s="888"/>
      <c r="P67" s="888"/>
      <c r="Q67" s="888"/>
      <c r="R67" s="431" t="s">
        <v>146</v>
      </c>
      <c r="S67" s="431"/>
      <c r="T67" s="431"/>
      <c r="U67" s="431"/>
      <c r="V67" s="431"/>
      <c r="W67" s="431"/>
      <c r="X67" s="431"/>
      <c r="Y67" s="431"/>
      <c r="Z67" s="431"/>
      <c r="AA67" s="431"/>
      <c r="AB67" s="431"/>
      <c r="AC67" s="431"/>
      <c r="AD67" s="880" t="s">
        <v>132</v>
      </c>
      <c r="AE67" s="881"/>
      <c r="AF67" s="881"/>
      <c r="AG67" s="881"/>
      <c r="AH67" s="881"/>
      <c r="AI67" s="882"/>
    </row>
    <row r="68" spans="1:35" ht="31.5" customHeight="1" x14ac:dyDescent="0.35">
      <c r="A68" s="378" t="s">
        <v>147</v>
      </c>
      <c r="C68" s="885" t="s">
        <v>128</v>
      </c>
      <c r="D68" s="885"/>
      <c r="E68" s="885"/>
      <c r="F68" s="885"/>
      <c r="H68" s="442"/>
      <c r="J68" s="444"/>
      <c r="K68" s="445" t="s">
        <v>35</v>
      </c>
      <c r="L68" s="445" t="s">
        <v>148</v>
      </c>
      <c r="N68" s="446" t="s">
        <v>149</v>
      </c>
      <c r="O68" s="447" t="s">
        <v>150</v>
      </c>
      <c r="P68" s="447" t="s">
        <v>138</v>
      </c>
      <c r="Q68" s="447" t="s">
        <v>151</v>
      </c>
      <c r="R68" s="749" t="s">
        <v>152</v>
      </c>
      <c r="S68" s="749"/>
      <c r="T68" s="883" t="s">
        <v>153</v>
      </c>
      <c r="U68" s="883"/>
      <c r="W68" s="425" t="s">
        <v>154</v>
      </c>
      <c r="X68" s="425"/>
      <c r="Y68" s="425"/>
      <c r="Z68" s="425"/>
      <c r="AA68" s="425"/>
      <c r="AB68" s="425"/>
      <c r="AC68" s="425"/>
      <c r="AD68" s="868" t="s">
        <v>160</v>
      </c>
      <c r="AE68" s="869"/>
      <c r="AF68" s="869"/>
      <c r="AG68" s="869"/>
      <c r="AH68" s="869"/>
      <c r="AI68" s="870"/>
    </row>
    <row r="69" spans="1:35" ht="18" customHeight="1" thickBot="1" x14ac:dyDescent="0.3">
      <c r="A69" s="639"/>
      <c r="B69" s="375"/>
      <c r="C69" s="372"/>
      <c r="D69" s="372"/>
      <c r="E69" s="372"/>
      <c r="F69" s="372"/>
      <c r="G69" s="366">
        <f>+(D69-C69)+(F69-E69)</f>
        <v>0</v>
      </c>
      <c r="H69" s="367">
        <f>+G69*1440</f>
        <v>0</v>
      </c>
      <c r="I69" s="859" t="s">
        <v>155</v>
      </c>
      <c r="J69" s="860"/>
      <c r="K69" s="373"/>
      <c r="L69" s="374"/>
      <c r="M69" s="423"/>
      <c r="N69" s="629">
        <f>+J66+L66+K66+K69+L69</f>
        <v>0</v>
      </c>
      <c r="O69" s="368">
        <f>+(Setup_and_Criteria!$K$31+(J66*Setup_and_Criteria!$F$20)+('M1_1-15th'!K66*Setup_and_Criteria!$F$21)+('M1_1-15th'!L66*Setup_and_Criteria!$F$20))+T69+(K69*Setup_and_Criteria!$F$21)+(Setup_and_Criteria!$F$22*'M1_1-15th'!L69)</f>
        <v>75</v>
      </c>
      <c r="P69" s="367">
        <f>+H69</f>
        <v>0</v>
      </c>
      <c r="Q69" s="367">
        <f>+O69-P69</f>
        <v>75</v>
      </c>
      <c r="R69" s="861" t="s">
        <v>252</v>
      </c>
      <c r="S69" s="861"/>
      <c r="T69" s="862"/>
      <c r="U69" s="863"/>
      <c r="V69" s="265" t="s">
        <v>156</v>
      </c>
      <c r="W69" s="854"/>
      <c r="X69" s="855"/>
      <c r="Y69" s="855"/>
      <c r="Z69" s="855"/>
      <c r="AA69" s="855"/>
      <c r="AB69" s="855"/>
      <c r="AC69" s="855"/>
      <c r="AD69" s="868"/>
      <c r="AE69" s="869"/>
      <c r="AF69" s="869"/>
      <c r="AG69" s="869"/>
      <c r="AH69" s="869"/>
      <c r="AI69" s="870"/>
    </row>
    <row r="70" spans="1:35" ht="15.75" thickBot="1" x14ac:dyDescent="0.3">
      <c r="A70" s="449" t="str">
        <f>+A57</f>
        <v>Password to enter data = "Enter Info"</v>
      </c>
      <c r="B70" s="450"/>
      <c r="C70" s="451"/>
      <c r="D70" s="451"/>
      <c r="E70" s="451"/>
      <c r="F70" s="451"/>
      <c r="G70" s="451"/>
      <c r="H70" s="451"/>
      <c r="I70" s="450"/>
      <c r="J70" s="451"/>
      <c r="K70" s="451"/>
      <c r="L70" s="451"/>
      <c r="M70" s="451"/>
      <c r="N70" s="451"/>
      <c r="O70" s="451"/>
      <c r="P70" s="451"/>
      <c r="Q70" s="450"/>
      <c r="R70" s="451"/>
      <c r="S70" s="451"/>
      <c r="T70" s="451"/>
      <c r="U70" s="451"/>
      <c r="V70" s="451"/>
      <c r="W70" s="451"/>
      <c r="X70" s="451"/>
      <c r="Y70" s="451"/>
      <c r="Z70" s="451"/>
      <c r="AA70" s="451"/>
      <c r="AB70" s="450"/>
      <c r="AC70" s="450"/>
      <c r="AD70" s="871"/>
      <c r="AE70" s="872"/>
      <c r="AF70" s="872"/>
      <c r="AG70" s="872"/>
      <c r="AH70" s="872"/>
      <c r="AI70" s="873"/>
    </row>
    <row r="71" spans="1:35" ht="35.25" customHeight="1" thickBot="1" x14ac:dyDescent="0.45">
      <c r="A71" s="428" t="str">
        <f>+A58</f>
        <v>May</v>
      </c>
      <c r="B71" s="429">
        <f>+B58+1</f>
        <v>6</v>
      </c>
      <c r="C71" s="885" t="s">
        <v>128</v>
      </c>
      <c r="D71" s="885"/>
      <c r="E71" s="885"/>
      <c r="F71" s="885"/>
      <c r="G71" s="430"/>
      <c r="H71" s="430"/>
      <c r="J71" s="895" t="s">
        <v>129</v>
      </c>
      <c r="K71" s="896"/>
      <c r="L71" s="896"/>
      <c r="M71" s="896"/>
      <c r="N71" s="888" t="s">
        <v>130</v>
      </c>
      <c r="O71" s="888"/>
      <c r="P71" s="888"/>
      <c r="Q71" s="888"/>
      <c r="R71" s="431" t="str">
        <f>+R58</f>
        <v xml:space="preserve"> Corrections Tracking - Check out rooms</v>
      </c>
      <c r="S71" s="431"/>
      <c r="T71" s="431"/>
      <c r="U71" s="431"/>
      <c r="V71" s="431"/>
      <c r="W71" s="431"/>
      <c r="X71" s="431"/>
      <c r="Y71" s="431"/>
      <c r="Z71" s="431"/>
      <c r="AA71" s="431"/>
      <c r="AB71" s="431"/>
      <c r="AC71" s="431"/>
      <c r="AD71" s="462" t="s">
        <v>132</v>
      </c>
      <c r="AE71" s="432"/>
      <c r="AF71" s="432"/>
      <c r="AG71" s="432"/>
      <c r="AH71" s="432"/>
      <c r="AI71" s="433"/>
    </row>
    <row r="72" spans="1:35" ht="59.25" customHeight="1" x14ac:dyDescent="0.25">
      <c r="A72" s="623" t="s">
        <v>133</v>
      </c>
      <c r="B72" s="21"/>
      <c r="C72" s="453" t="s">
        <v>134</v>
      </c>
      <c r="D72" s="453" t="s">
        <v>135</v>
      </c>
      <c r="E72" s="453" t="s">
        <v>134</v>
      </c>
      <c r="F72" s="453" t="s">
        <v>135</v>
      </c>
      <c r="G72" s="635" t="s">
        <v>136</v>
      </c>
      <c r="H72" s="635" t="s">
        <v>108</v>
      </c>
      <c r="I72" s="454"/>
      <c r="J72" s="455" t="str">
        <f>+Setup_and_Criteria!$B$13</f>
        <v>Checkouts</v>
      </c>
      <c r="K72" s="455" t="str">
        <f>+Setup_and_Criteria!$B$14</f>
        <v>Pet Rooms</v>
      </c>
      <c r="L72" s="455" t="str">
        <f>+Setup_and_Criteria!$B$15</f>
        <v>2 Rm &amp; Jac Stes</v>
      </c>
      <c r="M72" s="456" t="str">
        <f>+Setup_and_Criteria!$B$16</f>
        <v>Stayovers</v>
      </c>
      <c r="N72" s="457" t="s">
        <v>137</v>
      </c>
      <c r="O72" s="457" t="s">
        <v>138</v>
      </c>
      <c r="P72" s="458" t="s">
        <v>139</v>
      </c>
      <c r="Q72" s="458" t="s">
        <v>140</v>
      </c>
      <c r="R72" s="459" t="str">
        <f>+Corrections!$C$8</f>
        <v>Vanity</v>
      </c>
      <c r="S72" s="459" t="str">
        <f>+Corrections!$I$8</f>
        <v>Toilet</v>
      </c>
      <c r="T72" s="459" t="str">
        <f>+Corrections!$O$8</f>
        <v>Bed/Pillows</v>
      </c>
      <c r="U72" s="459" t="str">
        <f>+Corrections!$U$8</f>
        <v>Floor</v>
      </c>
      <c r="V72" s="459" t="str">
        <f>+Corrections!$AA$8</f>
        <v>Dusting</v>
      </c>
      <c r="W72" s="459" t="str">
        <f>+Corrections!$AG$8</f>
        <v>Fridge/Micro</v>
      </c>
      <c r="X72" s="459" t="str">
        <f>+Corrections!$AM$8</f>
        <v>Tub</v>
      </c>
      <c r="Y72" s="460" t="str">
        <f>+Corrections!$AS$8</f>
        <v>Mirrors/Glass</v>
      </c>
      <c r="Z72" s="459" t="str">
        <f>+Corrections!$AY$8</f>
        <v>Stocking</v>
      </c>
      <c r="AA72" s="459" t="str">
        <f>+Corrections!$BE$8</f>
        <v>Other</v>
      </c>
      <c r="AB72" s="457" t="s">
        <v>141</v>
      </c>
      <c r="AC72" s="269" t="str">
        <f>+$AC$7</f>
        <v>Daily Corr / Inspected Checkout</v>
      </c>
      <c r="AD72" s="892" t="s">
        <v>143</v>
      </c>
      <c r="AE72" s="893"/>
      <c r="AF72" s="893"/>
      <c r="AG72" s="893"/>
      <c r="AH72" s="893"/>
      <c r="AI72" s="894"/>
    </row>
    <row r="73" spans="1:35" x14ac:dyDescent="0.25">
      <c r="A73" s="638"/>
      <c r="C73" s="369"/>
      <c r="D73" s="369"/>
      <c r="E73" s="369"/>
      <c r="F73" s="369"/>
      <c r="G73" s="264">
        <f t="shared" ref="G73:G78" si="40">+(D73-C73)+(F73-E73)</f>
        <v>0</v>
      </c>
      <c r="H73" s="442">
        <f t="shared" ref="H73:H78" si="41">+G73*1440</f>
        <v>0</v>
      </c>
      <c r="J73" s="630"/>
      <c r="K73" s="630"/>
      <c r="L73" s="630"/>
      <c r="M73" s="630"/>
      <c r="N73" s="1">
        <f>IF(C73&gt;0,((J73*Setup_and_Criteria!$F$13)+('M1_1-15th'!K73*Setup_and_Criteria!$F$14)+('M1_1-15th'!L73*Setup_and_Criteria!$F$15)+('M1_1-15th'!M73*Setup_and_Criteria!$F$16)+Setup_and_Criteria!$J$16),0)</f>
        <v>0</v>
      </c>
      <c r="O73" s="442">
        <f>+H73</f>
        <v>0</v>
      </c>
      <c r="P73" s="443">
        <f t="shared" ref="P73:P79" si="42">+N73-O73</f>
        <v>0</v>
      </c>
      <c r="Q73" s="357" t="e">
        <f t="shared" ref="Q73:Q79" si="43">O73/_xlfn.SINGLE(SUM(J73:M73))</f>
        <v>#DIV/0!</v>
      </c>
      <c r="R73" s="630"/>
      <c r="S73" s="630"/>
      <c r="T73" s="630"/>
      <c r="U73" s="630"/>
      <c r="V73" s="630"/>
      <c r="W73" s="630"/>
      <c r="X73" s="630"/>
      <c r="Y73" s="630"/>
      <c r="Z73" s="630"/>
      <c r="AA73" s="630"/>
      <c r="AB73" s="1">
        <f t="shared" ref="AB73:AB79" si="44">SUM(R73:AA73)</f>
        <v>0</v>
      </c>
      <c r="AC73" s="357" t="e">
        <f t="shared" ref="AC73:AC79" si="45">+AB73/(J73+K73+L73)</f>
        <v>#DIV/0!</v>
      </c>
      <c r="AD73" s="864" t="s">
        <v>144</v>
      </c>
      <c r="AE73" s="865"/>
      <c r="AF73" s="865"/>
      <c r="AG73" s="866"/>
      <c r="AH73" s="866"/>
      <c r="AI73" s="867"/>
    </row>
    <row r="74" spans="1:35" x14ac:dyDescent="0.25">
      <c r="A74" s="638"/>
      <c r="C74" s="630"/>
      <c r="D74" s="630"/>
      <c r="E74" s="630"/>
      <c r="F74" s="630"/>
      <c r="G74" s="264">
        <f t="shared" si="40"/>
        <v>0</v>
      </c>
      <c r="H74" s="442">
        <f t="shared" si="41"/>
        <v>0</v>
      </c>
      <c r="J74" s="630"/>
      <c r="K74" s="630"/>
      <c r="L74" s="630"/>
      <c r="M74" s="630"/>
      <c r="N74" s="1">
        <f>IF(C74&gt;0,((J74*Setup_and_Criteria!$F$13)+('M1_1-15th'!K74*Setup_and_Criteria!$F$14)+('M1_1-15th'!L74*Setup_and_Criteria!$F$15)+('M1_1-15th'!M74*Setup_and_Criteria!$F$16)+Setup_and_Criteria!$J$16),0)</f>
        <v>0</v>
      </c>
      <c r="O74" s="442">
        <f t="shared" ref="O74:O79" si="46">+H74</f>
        <v>0</v>
      </c>
      <c r="P74" s="443">
        <f t="shared" si="42"/>
        <v>0</v>
      </c>
      <c r="Q74" s="357" t="e">
        <f t="shared" si="43"/>
        <v>#DIV/0!</v>
      </c>
      <c r="R74" s="630"/>
      <c r="S74" s="630"/>
      <c r="T74" s="630"/>
      <c r="U74" s="630"/>
      <c r="V74" s="630"/>
      <c r="W74" s="630"/>
      <c r="X74" s="630"/>
      <c r="Y74" s="630"/>
      <c r="Z74" s="630"/>
      <c r="AA74" s="630"/>
      <c r="AB74" s="1">
        <f t="shared" si="44"/>
        <v>0</v>
      </c>
      <c r="AC74" s="357" t="e">
        <f t="shared" si="45"/>
        <v>#DIV/0!</v>
      </c>
      <c r="AD74" s="864"/>
      <c r="AE74" s="865"/>
      <c r="AF74" s="865"/>
      <c r="AG74" s="866"/>
      <c r="AH74" s="866"/>
      <c r="AI74" s="867"/>
    </row>
    <row r="75" spans="1:35" x14ac:dyDescent="0.25">
      <c r="A75" s="638"/>
      <c r="C75" s="630"/>
      <c r="D75" s="630"/>
      <c r="E75" s="630"/>
      <c r="F75" s="630"/>
      <c r="G75" s="264">
        <f t="shared" si="40"/>
        <v>0</v>
      </c>
      <c r="H75" s="442">
        <f t="shared" si="41"/>
        <v>0</v>
      </c>
      <c r="J75" s="630"/>
      <c r="K75" s="630"/>
      <c r="L75" s="630"/>
      <c r="M75" s="630"/>
      <c r="N75" s="1">
        <f>IF(C75&gt;0,((J75*Setup_and_Criteria!$F$13)+('M1_1-15th'!K75*Setup_and_Criteria!$F$14)+('M1_1-15th'!L75*Setup_and_Criteria!$F$15)+('M1_1-15th'!M75*Setup_and_Criteria!$F$16)+Setup_and_Criteria!$J$16),0)</f>
        <v>0</v>
      </c>
      <c r="O75" s="442">
        <f t="shared" si="46"/>
        <v>0</v>
      </c>
      <c r="P75" s="443">
        <f t="shared" si="42"/>
        <v>0</v>
      </c>
      <c r="Q75" s="357" t="e">
        <f t="shared" si="43"/>
        <v>#DIV/0!</v>
      </c>
      <c r="R75" s="630"/>
      <c r="S75" s="630"/>
      <c r="T75" s="630"/>
      <c r="U75" s="630"/>
      <c r="V75" s="630"/>
      <c r="W75" s="630"/>
      <c r="X75" s="630"/>
      <c r="Y75" s="630"/>
      <c r="Z75" s="630"/>
      <c r="AA75" s="630"/>
      <c r="AB75" s="1">
        <f t="shared" si="44"/>
        <v>0</v>
      </c>
      <c r="AC75" s="357" t="e">
        <f t="shared" si="45"/>
        <v>#DIV/0!</v>
      </c>
      <c r="AD75" s="864"/>
      <c r="AE75" s="865"/>
      <c r="AF75" s="865"/>
      <c r="AG75" s="866"/>
      <c r="AH75" s="866"/>
      <c r="AI75" s="867"/>
    </row>
    <row r="76" spans="1:35" x14ac:dyDescent="0.25">
      <c r="A76" s="638"/>
      <c r="C76" s="630"/>
      <c r="D76" s="630"/>
      <c r="E76" s="630"/>
      <c r="F76" s="630"/>
      <c r="G76" s="264">
        <f t="shared" si="40"/>
        <v>0</v>
      </c>
      <c r="H76" s="442">
        <f t="shared" si="41"/>
        <v>0</v>
      </c>
      <c r="J76" s="630"/>
      <c r="K76" s="630"/>
      <c r="L76" s="630"/>
      <c r="M76" s="630"/>
      <c r="N76" s="1">
        <f>IF(C76&gt;0,((J76*Setup_and_Criteria!$F$13)+('M1_1-15th'!K76*Setup_and_Criteria!$F$14)+('M1_1-15th'!L76*Setup_and_Criteria!$F$15)+('M1_1-15th'!M76*Setup_and_Criteria!$F$16)+Setup_and_Criteria!$J$16),0)</f>
        <v>0</v>
      </c>
      <c r="O76" s="442">
        <f t="shared" si="46"/>
        <v>0</v>
      </c>
      <c r="P76" s="443">
        <f t="shared" si="42"/>
        <v>0</v>
      </c>
      <c r="Q76" s="357" t="e">
        <f t="shared" si="43"/>
        <v>#DIV/0!</v>
      </c>
      <c r="R76" s="630"/>
      <c r="S76" s="630"/>
      <c r="T76" s="630"/>
      <c r="U76" s="630"/>
      <c r="V76" s="630"/>
      <c r="W76" s="630"/>
      <c r="X76" s="630"/>
      <c r="Y76" s="630"/>
      <c r="Z76" s="630"/>
      <c r="AA76" s="630"/>
      <c r="AB76" s="1">
        <f t="shared" si="44"/>
        <v>0</v>
      </c>
      <c r="AC76" s="357" t="e">
        <f t="shared" si="45"/>
        <v>#DIV/0!</v>
      </c>
      <c r="AD76" s="864"/>
      <c r="AE76" s="865"/>
      <c r="AF76" s="865"/>
      <c r="AG76" s="866"/>
      <c r="AH76" s="866"/>
      <c r="AI76" s="867"/>
    </row>
    <row r="77" spans="1:35" x14ac:dyDescent="0.25">
      <c r="A77" s="638"/>
      <c r="C77" s="630"/>
      <c r="D77" s="630"/>
      <c r="E77" s="630"/>
      <c r="F77" s="630"/>
      <c r="G77" s="264">
        <f t="shared" si="40"/>
        <v>0</v>
      </c>
      <c r="H77" s="442">
        <f t="shared" si="41"/>
        <v>0</v>
      </c>
      <c r="J77" s="630"/>
      <c r="K77" s="630"/>
      <c r="L77" s="630"/>
      <c r="M77" s="630"/>
      <c r="N77" s="1">
        <f>IF(C77&gt;0,((J77*Setup_and_Criteria!$F$13)+('M1_1-15th'!K77*Setup_and_Criteria!$F$14)+('M1_1-15th'!L77*Setup_and_Criteria!$F$15)+('M1_1-15th'!M77*Setup_and_Criteria!$F$16)+Setup_and_Criteria!$J$16),0)</f>
        <v>0</v>
      </c>
      <c r="O77" s="442">
        <f t="shared" si="46"/>
        <v>0</v>
      </c>
      <c r="P77" s="443">
        <f t="shared" si="42"/>
        <v>0</v>
      </c>
      <c r="Q77" s="357" t="e">
        <f t="shared" si="43"/>
        <v>#DIV/0!</v>
      </c>
      <c r="R77" s="630"/>
      <c r="S77" s="630"/>
      <c r="T77" s="630"/>
      <c r="U77" s="630"/>
      <c r="V77" s="630"/>
      <c r="W77" s="630"/>
      <c r="X77" s="630"/>
      <c r="Y77" s="630"/>
      <c r="Z77" s="630"/>
      <c r="AA77" s="630"/>
      <c r="AB77" s="1">
        <f t="shared" si="44"/>
        <v>0</v>
      </c>
      <c r="AC77" s="357" t="e">
        <f t="shared" si="45"/>
        <v>#DIV/0!</v>
      </c>
      <c r="AD77" s="864"/>
      <c r="AE77" s="865"/>
      <c r="AF77" s="865"/>
      <c r="AG77" s="866"/>
      <c r="AH77" s="866"/>
      <c r="AI77" s="867"/>
    </row>
    <row r="78" spans="1:35" ht="15.75" thickBot="1" x14ac:dyDescent="0.3">
      <c r="A78" s="638"/>
      <c r="C78" s="370"/>
      <c r="D78" s="370"/>
      <c r="E78" s="630"/>
      <c r="F78" s="630"/>
      <c r="G78" s="264">
        <f t="shared" si="40"/>
        <v>0</v>
      </c>
      <c r="H78" s="442">
        <f t="shared" si="41"/>
        <v>0</v>
      </c>
      <c r="J78" s="371"/>
      <c r="K78" s="371"/>
      <c r="L78" s="371"/>
      <c r="M78" s="371"/>
      <c r="N78" s="358">
        <f>IF(C78&gt;0,((J78*Setup_and_Criteria!$F$13)+('M1_1-15th'!K78*Setup_and_Criteria!$F$14)+('M1_1-15th'!L78*Setup_and_Criteria!$F$15)+('M1_1-15th'!M78*Setup_and_Criteria!$F$16)+Setup_and_Criteria!$J$16),0)</f>
        <v>0</v>
      </c>
      <c r="O78" s="359">
        <f t="shared" si="46"/>
        <v>0</v>
      </c>
      <c r="P78" s="383">
        <f t="shared" si="42"/>
        <v>0</v>
      </c>
      <c r="Q78" s="360" t="e">
        <f t="shared" si="43"/>
        <v>#DIV/0!</v>
      </c>
      <c r="R78" s="511"/>
      <c r="S78" s="511"/>
      <c r="T78" s="511"/>
      <c r="U78" s="511"/>
      <c r="V78" s="511"/>
      <c r="W78" s="511"/>
      <c r="X78" s="511"/>
      <c r="Y78" s="511"/>
      <c r="Z78" s="511"/>
      <c r="AA78" s="511"/>
      <c r="AB78" s="1">
        <f t="shared" si="44"/>
        <v>0</v>
      </c>
      <c r="AC78" s="357" t="e">
        <f t="shared" si="45"/>
        <v>#DIV/0!</v>
      </c>
      <c r="AD78" s="864"/>
      <c r="AE78" s="865"/>
      <c r="AF78" s="865"/>
      <c r="AG78" s="866"/>
      <c r="AH78" s="866"/>
      <c r="AI78" s="867"/>
    </row>
    <row r="79" spans="1:35" ht="15.75" thickTop="1" x14ac:dyDescent="0.25">
      <c r="A79" s="58"/>
      <c r="H79" s="442">
        <f>SUM(H73:H78)</f>
        <v>0</v>
      </c>
      <c r="J79" s="1">
        <f>SUM(J73:J78)</f>
        <v>0</v>
      </c>
      <c r="K79" s="1">
        <f>SUM(K73:K78)</f>
        <v>0</v>
      </c>
      <c r="L79" s="1">
        <f>SUM(L73:L78)</f>
        <v>0</v>
      </c>
      <c r="M79" s="1">
        <f>SUM(M73:M78)</f>
        <v>0</v>
      </c>
      <c r="N79" s="1">
        <f>SUM(N73:N78)</f>
        <v>0</v>
      </c>
      <c r="O79" s="1">
        <f t="shared" si="46"/>
        <v>0</v>
      </c>
      <c r="P79" s="443">
        <f t="shared" si="42"/>
        <v>0</v>
      </c>
      <c r="Q79" s="357" t="e">
        <f t="shared" si="43"/>
        <v>#DIV/0!</v>
      </c>
      <c r="R79" s="1">
        <f t="shared" ref="R79:AA79" si="47">SUM(R73:R78)</f>
        <v>0</v>
      </c>
      <c r="S79" s="1">
        <f t="shared" si="47"/>
        <v>0</v>
      </c>
      <c r="T79" s="1">
        <f t="shared" si="47"/>
        <v>0</v>
      </c>
      <c r="U79" s="1">
        <f t="shared" si="47"/>
        <v>0</v>
      </c>
      <c r="V79" s="1">
        <f t="shared" si="47"/>
        <v>0</v>
      </c>
      <c r="W79" s="1">
        <f t="shared" si="47"/>
        <v>0</v>
      </c>
      <c r="X79" s="1">
        <f t="shared" si="47"/>
        <v>0</v>
      </c>
      <c r="Y79" s="1">
        <f t="shared" si="47"/>
        <v>0</v>
      </c>
      <c r="Z79" s="1">
        <f t="shared" si="47"/>
        <v>0</v>
      </c>
      <c r="AA79" s="1">
        <f t="shared" si="47"/>
        <v>0</v>
      </c>
      <c r="AB79" s="1">
        <f t="shared" si="44"/>
        <v>0</v>
      </c>
      <c r="AC79" s="357" t="e">
        <f t="shared" si="45"/>
        <v>#DIV/0!</v>
      </c>
      <c r="AD79" s="877"/>
      <c r="AE79" s="878"/>
      <c r="AF79" s="878"/>
      <c r="AG79" s="749"/>
      <c r="AH79" s="749"/>
      <c r="AI79" s="879"/>
    </row>
    <row r="80" spans="1:35" ht="21" customHeight="1" x14ac:dyDescent="0.35">
      <c r="A80" s="58"/>
      <c r="H80" s="442"/>
      <c r="N80" s="888" t="s">
        <v>145</v>
      </c>
      <c r="O80" s="888"/>
      <c r="P80" s="888"/>
      <c r="Q80" s="888"/>
      <c r="R80" s="431" t="s">
        <v>146</v>
      </c>
      <c r="S80" s="431"/>
      <c r="T80" s="431"/>
      <c r="U80" s="431"/>
      <c r="V80" s="431"/>
      <c r="W80" s="431"/>
      <c r="X80" s="431"/>
      <c r="Y80" s="431"/>
      <c r="Z80" s="431"/>
      <c r="AA80" s="431"/>
      <c r="AB80" s="431"/>
      <c r="AC80" s="431"/>
      <c r="AD80" s="880" t="s">
        <v>132</v>
      </c>
      <c r="AE80" s="881"/>
      <c r="AF80" s="881"/>
      <c r="AG80" s="881"/>
      <c r="AH80" s="881"/>
      <c r="AI80" s="882"/>
    </row>
    <row r="81" spans="1:35" ht="31.5" customHeight="1" x14ac:dyDescent="0.35">
      <c r="A81" s="378" t="s">
        <v>147</v>
      </c>
      <c r="C81" s="885" t="s">
        <v>128</v>
      </c>
      <c r="D81" s="885"/>
      <c r="E81" s="885"/>
      <c r="F81" s="885"/>
      <c r="H81" s="442"/>
      <c r="J81" s="444"/>
      <c r="K81" s="445" t="s">
        <v>35</v>
      </c>
      <c r="L81" s="445" t="s">
        <v>148</v>
      </c>
      <c r="N81" s="446" t="s">
        <v>149</v>
      </c>
      <c r="O81" s="447" t="s">
        <v>150</v>
      </c>
      <c r="P81" s="447" t="s">
        <v>138</v>
      </c>
      <c r="Q81" s="447" t="s">
        <v>151</v>
      </c>
      <c r="R81" s="749" t="s">
        <v>152</v>
      </c>
      <c r="S81" s="749"/>
      <c r="T81" s="883" t="s">
        <v>153</v>
      </c>
      <c r="U81" s="883"/>
      <c r="W81" s="425" t="s">
        <v>154</v>
      </c>
      <c r="X81" s="425"/>
      <c r="Y81" s="425"/>
      <c r="Z81" s="425"/>
      <c r="AA81" s="425"/>
      <c r="AB81" s="425"/>
      <c r="AC81" s="425"/>
      <c r="AD81" s="868" t="s">
        <v>160</v>
      </c>
      <c r="AE81" s="869"/>
      <c r="AF81" s="869"/>
      <c r="AG81" s="869"/>
      <c r="AH81" s="869"/>
      <c r="AI81" s="870"/>
    </row>
    <row r="82" spans="1:35" ht="18" customHeight="1" thickBot="1" x14ac:dyDescent="0.3">
      <c r="A82" s="639"/>
      <c r="B82" s="375"/>
      <c r="C82" s="372"/>
      <c r="D82" s="372"/>
      <c r="E82" s="372"/>
      <c r="F82" s="372"/>
      <c r="G82" s="366">
        <f>+(D82-C82)+(F82-E82)</f>
        <v>0</v>
      </c>
      <c r="H82" s="367">
        <f>+G82*1440</f>
        <v>0</v>
      </c>
      <c r="I82" s="859" t="s">
        <v>155</v>
      </c>
      <c r="J82" s="860"/>
      <c r="K82" s="373"/>
      <c r="L82" s="374"/>
      <c r="M82" s="423"/>
      <c r="N82" s="629">
        <f>+J79+L79+K79+K82+L82</f>
        <v>0</v>
      </c>
      <c r="O82" s="368">
        <f>+(Setup_and_Criteria!$K$31+(J79*Setup_and_Criteria!$F$20)+('M1_1-15th'!K79*Setup_and_Criteria!$F$21)+('M1_1-15th'!L79*Setup_and_Criteria!$F$20))+T82+(K82*Setup_and_Criteria!$F$21)+(Setup_and_Criteria!$F$22*'M1_1-15th'!L82)</f>
        <v>75</v>
      </c>
      <c r="P82" s="367">
        <f>+H82</f>
        <v>0</v>
      </c>
      <c r="Q82" s="367">
        <f>+O82-P82</f>
        <v>75</v>
      </c>
      <c r="R82" s="861" t="s">
        <v>252</v>
      </c>
      <c r="S82" s="861"/>
      <c r="T82" s="862"/>
      <c r="U82" s="863"/>
      <c r="V82" s="265" t="s">
        <v>156</v>
      </c>
      <c r="W82" s="854"/>
      <c r="X82" s="855"/>
      <c r="Y82" s="855"/>
      <c r="Z82" s="855"/>
      <c r="AA82" s="855"/>
      <c r="AB82" s="855"/>
      <c r="AC82" s="855"/>
      <c r="AD82" s="868"/>
      <c r="AE82" s="869"/>
      <c r="AF82" s="869"/>
      <c r="AG82" s="869"/>
      <c r="AH82" s="869"/>
      <c r="AI82" s="870"/>
    </row>
    <row r="83" spans="1:35" ht="15.75" thickBot="1" x14ac:dyDescent="0.3">
      <c r="A83" s="449" t="str">
        <f>+A70</f>
        <v>Password to enter data = "Enter Info"</v>
      </c>
      <c r="B83" s="450"/>
      <c r="C83" s="451"/>
      <c r="D83" s="451"/>
      <c r="E83" s="451"/>
      <c r="F83" s="451"/>
      <c r="G83" s="451"/>
      <c r="H83" s="451"/>
      <c r="I83" s="450"/>
      <c r="J83" s="451"/>
      <c r="K83" s="451"/>
      <c r="L83" s="451"/>
      <c r="M83" s="451"/>
      <c r="N83" s="451"/>
      <c r="O83" s="451"/>
      <c r="P83" s="451"/>
      <c r="Q83" s="450"/>
      <c r="R83" s="451"/>
      <c r="S83" s="451"/>
      <c r="T83" s="451"/>
      <c r="U83" s="451"/>
      <c r="V83" s="451"/>
      <c r="W83" s="451"/>
      <c r="X83" s="451"/>
      <c r="Y83" s="451"/>
      <c r="Z83" s="451"/>
      <c r="AA83" s="451"/>
      <c r="AB83" s="450"/>
      <c r="AC83" s="450"/>
      <c r="AD83" s="871"/>
      <c r="AE83" s="872"/>
      <c r="AF83" s="872"/>
      <c r="AG83" s="872"/>
      <c r="AH83" s="872"/>
      <c r="AI83" s="873"/>
    </row>
    <row r="84" spans="1:35" ht="35.25" customHeight="1" x14ac:dyDescent="0.4">
      <c r="A84" s="434" t="str">
        <f>+A71</f>
        <v>May</v>
      </c>
      <c r="B84" s="624">
        <f>+B71+1</f>
        <v>7</v>
      </c>
      <c r="C84" s="884" t="s">
        <v>128</v>
      </c>
      <c r="D84" s="884"/>
      <c r="E84" s="884"/>
      <c r="F84" s="884"/>
      <c r="G84" s="377"/>
      <c r="H84" s="377"/>
      <c r="I84" s="21"/>
      <c r="J84" s="874" t="s">
        <v>129</v>
      </c>
      <c r="K84" s="875"/>
      <c r="L84" s="875"/>
      <c r="M84" s="875"/>
      <c r="N84" s="876" t="s">
        <v>130</v>
      </c>
      <c r="O84" s="876"/>
      <c r="P84" s="876"/>
      <c r="Q84" s="876"/>
      <c r="R84" s="424" t="str">
        <f>+R71</f>
        <v xml:space="preserve"> Corrections Tracking - Check out rooms</v>
      </c>
      <c r="S84" s="424"/>
      <c r="T84" s="424"/>
      <c r="U84" s="424"/>
      <c r="V84" s="424"/>
      <c r="W84" s="424"/>
      <c r="X84" s="424"/>
      <c r="Y84" s="424"/>
      <c r="Z84" s="424"/>
      <c r="AA84" s="424"/>
      <c r="AB84" s="424"/>
      <c r="AC84" s="424"/>
      <c r="AD84" s="461" t="s">
        <v>132</v>
      </c>
      <c r="AE84" s="426"/>
      <c r="AF84" s="426"/>
      <c r="AG84" s="426"/>
      <c r="AH84" s="426"/>
      <c r="AI84" s="427"/>
    </row>
    <row r="85" spans="1:35" ht="59.25" customHeight="1" x14ac:dyDescent="0.25">
      <c r="A85" s="378" t="s">
        <v>133</v>
      </c>
      <c r="C85" s="435" t="s">
        <v>134</v>
      </c>
      <c r="D85" s="435" t="s">
        <v>135</v>
      </c>
      <c r="E85" s="435" t="s">
        <v>134</v>
      </c>
      <c r="F85" s="435" t="s">
        <v>135</v>
      </c>
      <c r="G85" s="1" t="s">
        <v>136</v>
      </c>
      <c r="H85" s="1" t="s">
        <v>108</v>
      </c>
      <c r="I85" s="436"/>
      <c r="J85" s="437" t="str">
        <f>+Setup_and_Criteria!$B$13</f>
        <v>Checkouts</v>
      </c>
      <c r="K85" s="437" t="str">
        <f>+Setup_and_Criteria!$B$14</f>
        <v>Pet Rooms</v>
      </c>
      <c r="L85" s="437" t="str">
        <f>+Setup_and_Criteria!$B$15</f>
        <v>2 Rm &amp; Jac Stes</v>
      </c>
      <c r="M85" s="438" t="str">
        <f>+Setup_and_Criteria!$B$16</f>
        <v>Stayovers</v>
      </c>
      <c r="N85" s="269" t="s">
        <v>137</v>
      </c>
      <c r="O85" s="269" t="s">
        <v>138</v>
      </c>
      <c r="P85" s="439" t="s">
        <v>139</v>
      </c>
      <c r="Q85" s="439" t="s">
        <v>140</v>
      </c>
      <c r="R85" s="440" t="str">
        <f>+Corrections!$C$8</f>
        <v>Vanity</v>
      </c>
      <c r="S85" s="440" t="str">
        <f>+Corrections!$I$8</f>
        <v>Toilet</v>
      </c>
      <c r="T85" s="440" t="str">
        <f>+Corrections!$O$8</f>
        <v>Bed/Pillows</v>
      </c>
      <c r="U85" s="440" t="str">
        <f>+Corrections!$U$8</f>
        <v>Floor</v>
      </c>
      <c r="V85" s="440" t="str">
        <f>+Corrections!$AA$8</f>
        <v>Dusting</v>
      </c>
      <c r="W85" s="440" t="str">
        <f>+Corrections!$AG$8</f>
        <v>Fridge/Micro</v>
      </c>
      <c r="X85" s="440" t="str">
        <f>+Corrections!$AM$8</f>
        <v>Tub</v>
      </c>
      <c r="Y85" s="441" t="str">
        <f>+Corrections!$AS$8</f>
        <v>Mirrors/Glass</v>
      </c>
      <c r="Z85" s="440" t="str">
        <f>+Corrections!$AY$8</f>
        <v>Stocking</v>
      </c>
      <c r="AA85" s="440" t="str">
        <f>+Corrections!$BE$8</f>
        <v>Other</v>
      </c>
      <c r="AB85" s="269" t="s">
        <v>141</v>
      </c>
      <c r="AC85" s="269" t="str">
        <f>+$AC$7</f>
        <v>Daily Corr / Inspected Checkout</v>
      </c>
      <c r="AD85" s="889" t="s">
        <v>143</v>
      </c>
      <c r="AE85" s="890"/>
      <c r="AF85" s="890"/>
      <c r="AG85" s="890"/>
      <c r="AH85" s="890"/>
      <c r="AI85" s="891"/>
    </row>
    <row r="86" spans="1:35" x14ac:dyDescent="0.25">
      <c r="A86" s="638"/>
      <c r="C86" s="369"/>
      <c r="D86" s="369"/>
      <c r="E86" s="369"/>
      <c r="F86" s="369"/>
      <c r="G86" s="264">
        <f t="shared" ref="G86:G91" si="48">+(D86-C86)+(F86-E86)</f>
        <v>0</v>
      </c>
      <c r="H86" s="442">
        <f t="shared" ref="H86:H91" si="49">+G86*1440</f>
        <v>0</v>
      </c>
      <c r="J86" s="630"/>
      <c r="K86" s="630"/>
      <c r="L86" s="630"/>
      <c r="M86" s="630"/>
      <c r="N86" s="1">
        <f>IF(C86&gt;0,((J86*Setup_and_Criteria!$F$13)+('M1_1-15th'!K86*Setup_and_Criteria!$F$14)+('M1_1-15th'!L86*Setup_and_Criteria!$F$15)+('M1_1-15th'!M86*Setup_and_Criteria!$F$16)+Setup_and_Criteria!$J$16),0)</f>
        <v>0</v>
      </c>
      <c r="O86" s="442">
        <f t="shared" ref="O86:O90" si="50">+H86</f>
        <v>0</v>
      </c>
      <c r="P86" s="443">
        <f t="shared" ref="P86:P92" si="51">+N86-O86</f>
        <v>0</v>
      </c>
      <c r="Q86" s="357" t="e">
        <f t="shared" ref="Q86:Q92" si="52">O86/_xlfn.SINGLE(SUM(J86:M86))</f>
        <v>#DIV/0!</v>
      </c>
      <c r="R86" s="630"/>
      <c r="S86" s="630"/>
      <c r="T86" s="630"/>
      <c r="U86" s="630"/>
      <c r="V86" s="630"/>
      <c r="W86" s="630"/>
      <c r="X86" s="630"/>
      <c r="Y86" s="630"/>
      <c r="Z86" s="630"/>
      <c r="AA86" s="630"/>
      <c r="AB86" s="1">
        <f t="shared" ref="AB86:AB92" si="53">SUM(R86:AA86)</f>
        <v>0</v>
      </c>
      <c r="AC86" s="357" t="e">
        <f t="shared" ref="AC86:AC92" si="54">+AB86/(J86+K86+L86)</f>
        <v>#DIV/0!</v>
      </c>
      <c r="AD86" s="864" t="s">
        <v>144</v>
      </c>
      <c r="AE86" s="865"/>
      <c r="AF86" s="865"/>
      <c r="AG86" s="866"/>
      <c r="AH86" s="866"/>
      <c r="AI86" s="867"/>
    </row>
    <row r="87" spans="1:35" x14ac:dyDescent="0.25">
      <c r="A87" s="638"/>
      <c r="C87" s="630"/>
      <c r="D87" s="630"/>
      <c r="E87" s="630"/>
      <c r="F87" s="630"/>
      <c r="G87" s="264">
        <f t="shared" si="48"/>
        <v>0</v>
      </c>
      <c r="H87" s="442">
        <f t="shared" si="49"/>
        <v>0</v>
      </c>
      <c r="J87" s="630"/>
      <c r="K87" s="630"/>
      <c r="L87" s="630"/>
      <c r="M87" s="630"/>
      <c r="N87" s="1">
        <f>IF(C87&gt;0,((J87*Setup_and_Criteria!$F$13)+('M1_1-15th'!K87*Setup_and_Criteria!$F$14)+('M1_1-15th'!L87*Setup_and_Criteria!$F$15)+('M1_1-15th'!M87*Setup_and_Criteria!$F$16)+Setup_and_Criteria!$J$16),0)</f>
        <v>0</v>
      </c>
      <c r="O87" s="442">
        <f t="shared" si="50"/>
        <v>0</v>
      </c>
      <c r="P87" s="443">
        <f t="shared" si="51"/>
        <v>0</v>
      </c>
      <c r="Q87" s="357" t="e">
        <f t="shared" si="52"/>
        <v>#DIV/0!</v>
      </c>
      <c r="R87" s="630"/>
      <c r="S87" s="630"/>
      <c r="T87" s="630"/>
      <c r="U87" s="630"/>
      <c r="V87" s="630"/>
      <c r="W87" s="630"/>
      <c r="X87" s="630"/>
      <c r="Y87" s="630"/>
      <c r="Z87" s="630"/>
      <c r="AA87" s="630"/>
      <c r="AB87" s="1">
        <f t="shared" si="53"/>
        <v>0</v>
      </c>
      <c r="AC87" s="357" t="e">
        <f t="shared" si="54"/>
        <v>#DIV/0!</v>
      </c>
      <c r="AD87" s="864"/>
      <c r="AE87" s="865"/>
      <c r="AF87" s="865"/>
      <c r="AG87" s="866"/>
      <c r="AH87" s="866"/>
      <c r="AI87" s="867"/>
    </row>
    <row r="88" spans="1:35" x14ac:dyDescent="0.25">
      <c r="A88" s="638"/>
      <c r="C88" s="630"/>
      <c r="D88" s="630"/>
      <c r="E88" s="630"/>
      <c r="F88" s="630"/>
      <c r="G88" s="264">
        <f t="shared" si="48"/>
        <v>0</v>
      </c>
      <c r="H88" s="442">
        <f t="shared" si="49"/>
        <v>0</v>
      </c>
      <c r="J88" s="630"/>
      <c r="K88" s="630"/>
      <c r="L88" s="630"/>
      <c r="M88" s="630"/>
      <c r="N88" s="1">
        <f>IF(C88&gt;0,((J88*Setup_and_Criteria!$F$13)+('M1_1-15th'!K88*Setup_and_Criteria!$F$14)+('M1_1-15th'!L88*Setup_and_Criteria!$F$15)+('M1_1-15th'!M88*Setup_and_Criteria!$F$16)+Setup_and_Criteria!$J$16),0)</f>
        <v>0</v>
      </c>
      <c r="O88" s="442">
        <f t="shared" si="50"/>
        <v>0</v>
      </c>
      <c r="P88" s="443">
        <f t="shared" si="51"/>
        <v>0</v>
      </c>
      <c r="Q88" s="357" t="e">
        <f t="shared" si="52"/>
        <v>#DIV/0!</v>
      </c>
      <c r="R88" s="630"/>
      <c r="S88" s="630"/>
      <c r="T88" s="630"/>
      <c r="U88" s="630"/>
      <c r="V88" s="630"/>
      <c r="W88" s="630"/>
      <c r="X88" s="630"/>
      <c r="Y88" s="630"/>
      <c r="Z88" s="630"/>
      <c r="AA88" s="630"/>
      <c r="AB88" s="1">
        <f t="shared" si="53"/>
        <v>0</v>
      </c>
      <c r="AC88" s="357" t="e">
        <f t="shared" si="54"/>
        <v>#DIV/0!</v>
      </c>
      <c r="AD88" s="864"/>
      <c r="AE88" s="865"/>
      <c r="AF88" s="865"/>
      <c r="AG88" s="866"/>
      <c r="AH88" s="866"/>
      <c r="AI88" s="867"/>
    </row>
    <row r="89" spans="1:35" x14ac:dyDescent="0.25">
      <c r="A89" s="638"/>
      <c r="C89" s="630"/>
      <c r="D89" s="630"/>
      <c r="E89" s="630"/>
      <c r="F89" s="630"/>
      <c r="G89" s="264">
        <f t="shared" si="48"/>
        <v>0</v>
      </c>
      <c r="H89" s="442">
        <f t="shared" si="49"/>
        <v>0</v>
      </c>
      <c r="J89" s="630"/>
      <c r="K89" s="630"/>
      <c r="L89" s="630"/>
      <c r="M89" s="630"/>
      <c r="N89" s="1">
        <f>IF(C89&gt;0,((J89*Setup_and_Criteria!$F$13)+('M1_1-15th'!K89*Setup_and_Criteria!$F$14)+('M1_1-15th'!L89*Setup_and_Criteria!$F$15)+('M1_1-15th'!M89*Setup_and_Criteria!$F$16)+Setup_and_Criteria!$J$16),0)</f>
        <v>0</v>
      </c>
      <c r="O89" s="442">
        <f t="shared" si="50"/>
        <v>0</v>
      </c>
      <c r="P89" s="443">
        <f t="shared" si="51"/>
        <v>0</v>
      </c>
      <c r="Q89" s="357" t="e">
        <f t="shared" si="52"/>
        <v>#DIV/0!</v>
      </c>
      <c r="R89" s="630"/>
      <c r="S89" s="630"/>
      <c r="T89" s="630"/>
      <c r="U89" s="630"/>
      <c r="V89" s="630"/>
      <c r="W89" s="630"/>
      <c r="X89" s="630"/>
      <c r="Y89" s="630"/>
      <c r="Z89" s="630"/>
      <c r="AA89" s="630"/>
      <c r="AB89" s="1">
        <f t="shared" si="53"/>
        <v>0</v>
      </c>
      <c r="AC89" s="357" t="e">
        <f t="shared" si="54"/>
        <v>#DIV/0!</v>
      </c>
      <c r="AD89" s="864"/>
      <c r="AE89" s="865"/>
      <c r="AF89" s="865"/>
      <c r="AG89" s="866"/>
      <c r="AH89" s="866"/>
      <c r="AI89" s="867"/>
    </row>
    <row r="90" spans="1:35" x14ac:dyDescent="0.25">
      <c r="A90" s="638"/>
      <c r="C90" s="630"/>
      <c r="D90" s="630"/>
      <c r="E90" s="630"/>
      <c r="F90" s="630"/>
      <c r="G90" s="264">
        <f t="shared" si="48"/>
        <v>0</v>
      </c>
      <c r="H90" s="442">
        <f t="shared" si="49"/>
        <v>0</v>
      </c>
      <c r="J90" s="630"/>
      <c r="K90" s="630"/>
      <c r="L90" s="630"/>
      <c r="M90" s="630"/>
      <c r="N90" s="1">
        <f>IF(C90&gt;0,((J90*Setup_and_Criteria!$F$13)+('M1_1-15th'!K90*Setup_and_Criteria!$F$14)+('M1_1-15th'!L90*Setup_and_Criteria!$F$15)+('M1_1-15th'!M90*Setup_and_Criteria!$F$16)+Setup_and_Criteria!$J$16),0)</f>
        <v>0</v>
      </c>
      <c r="O90" s="442">
        <f t="shared" si="50"/>
        <v>0</v>
      </c>
      <c r="P90" s="443">
        <f t="shared" si="51"/>
        <v>0</v>
      </c>
      <c r="Q90" s="357" t="e">
        <f t="shared" si="52"/>
        <v>#DIV/0!</v>
      </c>
      <c r="R90" s="630"/>
      <c r="S90" s="630"/>
      <c r="T90" s="630"/>
      <c r="U90" s="630"/>
      <c r="V90" s="630"/>
      <c r="W90" s="630"/>
      <c r="X90" s="630"/>
      <c r="Y90" s="630"/>
      <c r="Z90" s="630"/>
      <c r="AA90" s="630"/>
      <c r="AB90" s="1">
        <f t="shared" si="53"/>
        <v>0</v>
      </c>
      <c r="AC90" s="357" t="e">
        <f t="shared" si="54"/>
        <v>#DIV/0!</v>
      </c>
      <c r="AD90" s="864"/>
      <c r="AE90" s="865"/>
      <c r="AF90" s="865"/>
      <c r="AG90" s="866"/>
      <c r="AH90" s="866"/>
      <c r="AI90" s="867"/>
    </row>
    <row r="91" spans="1:35" ht="15.75" thickBot="1" x14ac:dyDescent="0.3">
      <c r="A91" s="638"/>
      <c r="C91" s="370"/>
      <c r="D91" s="370"/>
      <c r="E91" s="630"/>
      <c r="F91" s="630"/>
      <c r="G91" s="264">
        <f t="shared" si="48"/>
        <v>0</v>
      </c>
      <c r="H91" s="442">
        <f t="shared" si="49"/>
        <v>0</v>
      </c>
      <c r="J91" s="371"/>
      <c r="K91" s="371"/>
      <c r="L91" s="371"/>
      <c r="M91" s="371"/>
      <c r="N91" s="358">
        <f>IF(C91&gt;0,((J91*Setup_and_Criteria!$F$13)+('M1_1-15th'!K91*Setup_and_Criteria!$F$14)+('M1_1-15th'!L91*Setup_and_Criteria!$F$15)+('M1_1-15th'!M91*Setup_and_Criteria!$F$16)+Setup_and_Criteria!$J$16),0)</f>
        <v>0</v>
      </c>
      <c r="O91" s="359">
        <f t="shared" ref="O91:O92" si="55">+H91</f>
        <v>0</v>
      </c>
      <c r="P91" s="383">
        <f t="shared" si="51"/>
        <v>0</v>
      </c>
      <c r="Q91" s="360" t="e">
        <f t="shared" si="52"/>
        <v>#DIV/0!</v>
      </c>
      <c r="R91" s="511"/>
      <c r="S91" s="511"/>
      <c r="T91" s="511"/>
      <c r="U91" s="511"/>
      <c r="V91" s="511"/>
      <c r="W91" s="511"/>
      <c r="X91" s="511"/>
      <c r="Y91" s="511"/>
      <c r="Z91" s="511"/>
      <c r="AA91" s="511"/>
      <c r="AB91" s="1">
        <f t="shared" si="53"/>
        <v>0</v>
      </c>
      <c r="AC91" s="357" t="e">
        <f t="shared" si="54"/>
        <v>#DIV/0!</v>
      </c>
      <c r="AD91" s="864"/>
      <c r="AE91" s="865"/>
      <c r="AF91" s="865"/>
      <c r="AG91" s="866"/>
      <c r="AH91" s="866"/>
      <c r="AI91" s="867"/>
    </row>
    <row r="92" spans="1:35" ht="15.75" thickTop="1" x14ac:dyDescent="0.25">
      <c r="A92" s="58"/>
      <c r="H92" s="442">
        <f>SUM(H86:H91)</f>
        <v>0</v>
      </c>
      <c r="J92" s="1">
        <f>SUM(J86:J91)</f>
        <v>0</v>
      </c>
      <c r="K92" s="1">
        <f>SUM(K86:K91)</f>
        <v>0</v>
      </c>
      <c r="L92" s="1">
        <f>SUM(L86:L91)</f>
        <v>0</v>
      </c>
      <c r="M92" s="1">
        <f>SUM(M86:M91)</f>
        <v>0</v>
      </c>
      <c r="N92" s="1">
        <f>SUM(N86:N91)</f>
        <v>0</v>
      </c>
      <c r="O92" s="1">
        <f t="shared" si="55"/>
        <v>0</v>
      </c>
      <c r="P92" s="443">
        <f t="shared" si="51"/>
        <v>0</v>
      </c>
      <c r="Q92" s="357" t="e">
        <f t="shared" si="52"/>
        <v>#DIV/0!</v>
      </c>
      <c r="R92" s="1">
        <f t="shared" ref="R92:AA92" si="56">SUM(R86:R91)</f>
        <v>0</v>
      </c>
      <c r="S92" s="1">
        <f t="shared" si="56"/>
        <v>0</v>
      </c>
      <c r="T92" s="1">
        <f t="shared" si="56"/>
        <v>0</v>
      </c>
      <c r="U92" s="1">
        <f t="shared" si="56"/>
        <v>0</v>
      </c>
      <c r="V92" s="1">
        <f t="shared" si="56"/>
        <v>0</v>
      </c>
      <c r="W92" s="1">
        <f t="shared" si="56"/>
        <v>0</v>
      </c>
      <c r="X92" s="1">
        <f t="shared" si="56"/>
        <v>0</v>
      </c>
      <c r="Y92" s="1">
        <f t="shared" si="56"/>
        <v>0</v>
      </c>
      <c r="Z92" s="1">
        <f t="shared" si="56"/>
        <v>0</v>
      </c>
      <c r="AA92" s="1">
        <f t="shared" si="56"/>
        <v>0</v>
      </c>
      <c r="AB92" s="1">
        <f t="shared" si="53"/>
        <v>0</v>
      </c>
      <c r="AC92" s="357" t="e">
        <f t="shared" si="54"/>
        <v>#DIV/0!</v>
      </c>
      <c r="AD92" s="877"/>
      <c r="AE92" s="878"/>
      <c r="AF92" s="878"/>
      <c r="AG92" s="749"/>
      <c r="AH92" s="749"/>
      <c r="AI92" s="879"/>
    </row>
    <row r="93" spans="1:35" ht="21" customHeight="1" x14ac:dyDescent="0.35">
      <c r="A93" s="58"/>
      <c r="H93" s="442"/>
      <c r="N93" s="888" t="s">
        <v>145</v>
      </c>
      <c r="O93" s="888"/>
      <c r="P93" s="888"/>
      <c r="Q93" s="888"/>
      <c r="R93" s="431" t="s">
        <v>146</v>
      </c>
      <c r="S93" s="431"/>
      <c r="T93" s="431"/>
      <c r="U93" s="431"/>
      <c r="V93" s="431"/>
      <c r="W93" s="431"/>
      <c r="X93" s="431"/>
      <c r="Y93" s="431"/>
      <c r="Z93" s="431"/>
      <c r="AA93" s="431"/>
      <c r="AB93" s="431"/>
      <c r="AC93" s="431"/>
      <c r="AD93" s="880" t="s">
        <v>132</v>
      </c>
      <c r="AE93" s="881"/>
      <c r="AF93" s="881"/>
      <c r="AG93" s="881"/>
      <c r="AH93" s="881"/>
      <c r="AI93" s="882"/>
    </row>
    <row r="94" spans="1:35" ht="31.5" customHeight="1" x14ac:dyDescent="0.35">
      <c r="A94" s="378" t="s">
        <v>147</v>
      </c>
      <c r="C94" s="885" t="s">
        <v>128</v>
      </c>
      <c r="D94" s="885"/>
      <c r="E94" s="885"/>
      <c r="F94" s="885"/>
      <c r="H94" s="442"/>
      <c r="J94" s="444"/>
      <c r="K94" s="445" t="s">
        <v>35</v>
      </c>
      <c r="L94" s="445" t="s">
        <v>148</v>
      </c>
      <c r="N94" s="446" t="s">
        <v>149</v>
      </c>
      <c r="O94" s="447" t="s">
        <v>150</v>
      </c>
      <c r="P94" s="447" t="s">
        <v>138</v>
      </c>
      <c r="Q94" s="447" t="s">
        <v>151</v>
      </c>
      <c r="R94" s="749" t="s">
        <v>152</v>
      </c>
      <c r="S94" s="749"/>
      <c r="T94" s="883" t="s">
        <v>153</v>
      </c>
      <c r="U94" s="883"/>
      <c r="W94" s="425" t="s">
        <v>154</v>
      </c>
      <c r="X94" s="425"/>
      <c r="Y94" s="425"/>
      <c r="Z94" s="425"/>
      <c r="AA94" s="425"/>
      <c r="AB94" s="425"/>
      <c r="AC94" s="425"/>
      <c r="AD94" s="868" t="s">
        <v>160</v>
      </c>
      <c r="AE94" s="869"/>
      <c r="AF94" s="869"/>
      <c r="AG94" s="869"/>
      <c r="AH94" s="869"/>
      <c r="AI94" s="870"/>
    </row>
    <row r="95" spans="1:35" ht="18" customHeight="1" thickBot="1" x14ac:dyDescent="0.3">
      <c r="A95" s="639"/>
      <c r="B95" s="375"/>
      <c r="C95" s="372"/>
      <c r="D95" s="372"/>
      <c r="E95" s="372"/>
      <c r="F95" s="372"/>
      <c r="G95" s="366">
        <f>+(D95-C95)+(F95-E95)</f>
        <v>0</v>
      </c>
      <c r="H95" s="367">
        <f>+G95*1440</f>
        <v>0</v>
      </c>
      <c r="I95" s="859" t="s">
        <v>155</v>
      </c>
      <c r="J95" s="860"/>
      <c r="K95" s="373"/>
      <c r="L95" s="374"/>
      <c r="M95" s="423"/>
      <c r="N95" s="629">
        <f>+J92+L92+K92+K95+L95</f>
        <v>0</v>
      </c>
      <c r="O95" s="368">
        <f>+(Setup_and_Criteria!$K$31+(J92*Setup_and_Criteria!$F$20)+('M1_1-15th'!K92*Setup_and_Criteria!$F$21)+('M1_1-15th'!L92*Setup_and_Criteria!$F$20))+T95+(K95*Setup_and_Criteria!$F$21)+(Setup_and_Criteria!$F$22*'M1_1-15th'!L95)</f>
        <v>75</v>
      </c>
      <c r="P95" s="367">
        <f>+H95</f>
        <v>0</v>
      </c>
      <c r="Q95" s="367">
        <f>+O95-P95</f>
        <v>75</v>
      </c>
      <c r="R95" s="861" t="s">
        <v>252</v>
      </c>
      <c r="S95" s="861"/>
      <c r="T95" s="862"/>
      <c r="U95" s="863"/>
      <c r="V95" s="265" t="s">
        <v>156</v>
      </c>
      <c r="W95" s="854"/>
      <c r="X95" s="855"/>
      <c r="Y95" s="855"/>
      <c r="Z95" s="855"/>
      <c r="AA95" s="855"/>
      <c r="AB95" s="855"/>
      <c r="AC95" s="855"/>
      <c r="AD95" s="868"/>
      <c r="AE95" s="869"/>
      <c r="AF95" s="869"/>
      <c r="AG95" s="869"/>
      <c r="AH95" s="869"/>
      <c r="AI95" s="870"/>
    </row>
    <row r="96" spans="1:35" ht="15.75" thickBot="1" x14ac:dyDescent="0.3">
      <c r="A96" s="449" t="str">
        <f>+A83</f>
        <v>Password to enter data = "Enter Info"</v>
      </c>
      <c r="B96" s="450"/>
      <c r="C96" s="451"/>
      <c r="D96" s="451"/>
      <c r="E96" s="451"/>
      <c r="F96" s="451"/>
      <c r="G96" s="451"/>
      <c r="H96" s="451"/>
      <c r="I96" s="450"/>
      <c r="J96" s="451"/>
      <c r="K96" s="451"/>
      <c r="L96" s="451"/>
      <c r="M96" s="451"/>
      <c r="N96" s="451"/>
      <c r="O96" s="451"/>
      <c r="P96" s="451"/>
      <c r="Q96" s="450"/>
      <c r="R96" s="451"/>
      <c r="S96" s="451"/>
      <c r="T96" s="451"/>
      <c r="U96" s="451"/>
      <c r="V96" s="451"/>
      <c r="W96" s="451"/>
      <c r="X96" s="451"/>
      <c r="Y96" s="451"/>
      <c r="Z96" s="451"/>
      <c r="AA96" s="451"/>
      <c r="AB96" s="450"/>
      <c r="AC96" s="450"/>
      <c r="AD96" s="871"/>
      <c r="AE96" s="872"/>
      <c r="AF96" s="872"/>
      <c r="AG96" s="872"/>
      <c r="AH96" s="872"/>
      <c r="AI96" s="873"/>
    </row>
    <row r="97" spans="1:35" ht="35.25" customHeight="1" x14ac:dyDescent="0.4">
      <c r="A97" s="434" t="str">
        <f>+A84</f>
        <v>May</v>
      </c>
      <c r="B97" s="624">
        <f>+B84+1</f>
        <v>8</v>
      </c>
      <c r="C97" s="884" t="s">
        <v>128</v>
      </c>
      <c r="D97" s="884"/>
      <c r="E97" s="884"/>
      <c r="F97" s="884"/>
      <c r="G97" s="377"/>
      <c r="H97" s="377"/>
      <c r="I97" s="21"/>
      <c r="J97" s="874" t="s">
        <v>129</v>
      </c>
      <c r="K97" s="875"/>
      <c r="L97" s="875"/>
      <c r="M97" s="875"/>
      <c r="N97" s="876" t="s">
        <v>130</v>
      </c>
      <c r="O97" s="876"/>
      <c r="P97" s="876"/>
      <c r="Q97" s="876"/>
      <c r="R97" s="424" t="str">
        <f>+R84</f>
        <v xml:space="preserve"> Corrections Tracking - Check out rooms</v>
      </c>
      <c r="S97" s="424"/>
      <c r="T97" s="424"/>
      <c r="U97" s="424"/>
      <c r="V97" s="424"/>
      <c r="W97" s="424"/>
      <c r="X97" s="424"/>
      <c r="Y97" s="424"/>
      <c r="Z97" s="424"/>
      <c r="AA97" s="424"/>
      <c r="AB97" s="424"/>
      <c r="AC97" s="424"/>
      <c r="AD97" s="461" t="s">
        <v>132</v>
      </c>
      <c r="AE97" s="426"/>
      <c r="AF97" s="426"/>
      <c r="AG97" s="426"/>
      <c r="AH97" s="426"/>
      <c r="AI97" s="427"/>
    </row>
    <row r="98" spans="1:35" ht="59.25" customHeight="1" x14ac:dyDescent="0.25">
      <c r="A98" s="378" t="s">
        <v>133</v>
      </c>
      <c r="C98" s="435" t="s">
        <v>134</v>
      </c>
      <c r="D98" s="435" t="s">
        <v>135</v>
      </c>
      <c r="E98" s="435" t="s">
        <v>134</v>
      </c>
      <c r="F98" s="435" t="s">
        <v>135</v>
      </c>
      <c r="G98" s="1" t="s">
        <v>136</v>
      </c>
      <c r="H98" s="1" t="s">
        <v>108</v>
      </c>
      <c r="I98" s="436"/>
      <c r="J98" s="437" t="str">
        <f>+Setup_and_Criteria!$B$13</f>
        <v>Checkouts</v>
      </c>
      <c r="K98" s="437" t="str">
        <f>+Setup_and_Criteria!$B$14</f>
        <v>Pet Rooms</v>
      </c>
      <c r="L98" s="437" t="str">
        <f>+Setup_and_Criteria!$B$15</f>
        <v>2 Rm &amp; Jac Stes</v>
      </c>
      <c r="M98" s="438" t="str">
        <f>+Setup_and_Criteria!$B$16</f>
        <v>Stayovers</v>
      </c>
      <c r="N98" s="269" t="s">
        <v>137</v>
      </c>
      <c r="O98" s="269" t="s">
        <v>138</v>
      </c>
      <c r="P98" s="439" t="s">
        <v>139</v>
      </c>
      <c r="Q98" s="439" t="s">
        <v>140</v>
      </c>
      <c r="R98" s="440" t="str">
        <f>+Corrections!$C$8</f>
        <v>Vanity</v>
      </c>
      <c r="S98" s="440" t="str">
        <f>+Corrections!$I$8</f>
        <v>Toilet</v>
      </c>
      <c r="T98" s="440" t="str">
        <f>+Corrections!$O$8</f>
        <v>Bed/Pillows</v>
      </c>
      <c r="U98" s="440" t="str">
        <f>+Corrections!$U$8</f>
        <v>Floor</v>
      </c>
      <c r="V98" s="440" t="str">
        <f>+Corrections!$AA$8</f>
        <v>Dusting</v>
      </c>
      <c r="W98" s="440" t="str">
        <f>+Corrections!$AG$8</f>
        <v>Fridge/Micro</v>
      </c>
      <c r="X98" s="440" t="str">
        <f>+Corrections!$AM$8</f>
        <v>Tub</v>
      </c>
      <c r="Y98" s="441" t="str">
        <f>+Corrections!$AS$8</f>
        <v>Mirrors/Glass</v>
      </c>
      <c r="Z98" s="440" t="str">
        <f>+Corrections!$AY$8</f>
        <v>Stocking</v>
      </c>
      <c r="AA98" s="440" t="str">
        <f>+Corrections!$BE$8</f>
        <v>Other</v>
      </c>
      <c r="AB98" s="269" t="s">
        <v>141</v>
      </c>
      <c r="AC98" s="269" t="str">
        <f>+$AC$7</f>
        <v>Daily Corr / Inspected Checkout</v>
      </c>
      <c r="AD98" s="889" t="s">
        <v>143</v>
      </c>
      <c r="AE98" s="890"/>
      <c r="AF98" s="890"/>
      <c r="AG98" s="890"/>
      <c r="AH98" s="890"/>
      <c r="AI98" s="891"/>
    </row>
    <row r="99" spans="1:35" x14ac:dyDescent="0.25">
      <c r="A99" s="638"/>
      <c r="C99" s="369"/>
      <c r="D99" s="369"/>
      <c r="E99" s="369"/>
      <c r="F99" s="369"/>
      <c r="G99" s="264">
        <f t="shared" ref="G99:G104" si="57">+(D99-C99)+(F99-E99)</f>
        <v>0</v>
      </c>
      <c r="H99" s="442">
        <f t="shared" ref="H99:H104" si="58">+G99*1440</f>
        <v>0</v>
      </c>
      <c r="J99" s="630"/>
      <c r="K99" s="630"/>
      <c r="L99" s="630"/>
      <c r="M99" s="630"/>
      <c r="N99" s="1">
        <f>IF(C99&gt;0,((J99*Setup_and_Criteria!$F$13)+('M1_1-15th'!K99*Setup_and_Criteria!$F$14)+('M1_1-15th'!L99*Setup_and_Criteria!$F$15)+('M1_1-15th'!M99*Setup_and_Criteria!$F$16)+Setup_and_Criteria!$J$16),0)</f>
        <v>0</v>
      </c>
      <c r="O99" s="442">
        <f>+H99</f>
        <v>0</v>
      </c>
      <c r="P99" s="443">
        <f t="shared" ref="P99:P105" si="59">+N99-O99</f>
        <v>0</v>
      </c>
      <c r="Q99" s="357" t="e">
        <f t="shared" ref="Q99:Q105" si="60">O99/_xlfn.SINGLE(SUM(J99:M99))</f>
        <v>#DIV/0!</v>
      </c>
      <c r="R99" s="630"/>
      <c r="S99" s="630"/>
      <c r="T99" s="630"/>
      <c r="U99" s="630"/>
      <c r="V99" s="630"/>
      <c r="W99" s="630"/>
      <c r="X99" s="630"/>
      <c r="Y99" s="630"/>
      <c r="Z99" s="630"/>
      <c r="AA99" s="630"/>
      <c r="AB99" s="1">
        <f t="shared" ref="AB99:AB105" si="61">SUM(R99:AA99)</f>
        <v>0</v>
      </c>
      <c r="AC99" s="357" t="e">
        <f t="shared" ref="AC99:AC105" si="62">+AB99/(J99+K99+L99)</f>
        <v>#DIV/0!</v>
      </c>
      <c r="AD99" s="864" t="s">
        <v>144</v>
      </c>
      <c r="AE99" s="865"/>
      <c r="AF99" s="865"/>
      <c r="AG99" s="866"/>
      <c r="AH99" s="866"/>
      <c r="AI99" s="867"/>
    </row>
    <row r="100" spans="1:35" x14ac:dyDescent="0.25">
      <c r="A100" s="638"/>
      <c r="C100" s="630"/>
      <c r="D100" s="630"/>
      <c r="E100" s="630"/>
      <c r="F100" s="630"/>
      <c r="G100" s="264">
        <f t="shared" si="57"/>
        <v>0</v>
      </c>
      <c r="H100" s="442">
        <f t="shared" si="58"/>
        <v>0</v>
      </c>
      <c r="J100" s="630"/>
      <c r="K100" s="630"/>
      <c r="L100" s="630"/>
      <c r="M100" s="630"/>
      <c r="N100" s="1">
        <f>IF(C100&gt;0,((J100*Setup_and_Criteria!$F$13)+('M1_1-15th'!K100*Setup_and_Criteria!$F$14)+('M1_1-15th'!L100*Setup_and_Criteria!$F$15)+('M1_1-15th'!M100*Setup_and_Criteria!$F$16)+Setup_and_Criteria!$J$16),0)</f>
        <v>0</v>
      </c>
      <c r="O100" s="442">
        <f t="shared" ref="O100:O105" si="63">+H100</f>
        <v>0</v>
      </c>
      <c r="P100" s="443">
        <f t="shared" si="59"/>
        <v>0</v>
      </c>
      <c r="Q100" s="357" t="e">
        <f t="shared" si="60"/>
        <v>#DIV/0!</v>
      </c>
      <c r="R100" s="630"/>
      <c r="S100" s="630"/>
      <c r="T100" s="630"/>
      <c r="U100" s="630"/>
      <c r="V100" s="630"/>
      <c r="W100" s="630"/>
      <c r="X100" s="630"/>
      <c r="Y100" s="630"/>
      <c r="Z100" s="630"/>
      <c r="AA100" s="630"/>
      <c r="AB100" s="1">
        <f t="shared" si="61"/>
        <v>0</v>
      </c>
      <c r="AC100" s="357" t="e">
        <f t="shared" si="62"/>
        <v>#DIV/0!</v>
      </c>
      <c r="AD100" s="864"/>
      <c r="AE100" s="865"/>
      <c r="AF100" s="865"/>
      <c r="AG100" s="866"/>
      <c r="AH100" s="866"/>
      <c r="AI100" s="867"/>
    </row>
    <row r="101" spans="1:35" x14ac:dyDescent="0.25">
      <c r="A101" s="638"/>
      <c r="C101" s="630"/>
      <c r="D101" s="630"/>
      <c r="E101" s="630"/>
      <c r="F101" s="630"/>
      <c r="G101" s="264">
        <f t="shared" si="57"/>
        <v>0</v>
      </c>
      <c r="H101" s="442">
        <f t="shared" si="58"/>
        <v>0</v>
      </c>
      <c r="J101" s="630"/>
      <c r="K101" s="630"/>
      <c r="L101" s="630"/>
      <c r="M101" s="630"/>
      <c r="N101" s="1">
        <f>IF(C101&gt;0,((J101*Setup_and_Criteria!$F$13)+('M1_1-15th'!K101*Setup_and_Criteria!$F$14)+('M1_1-15th'!L101*Setup_and_Criteria!$F$15)+('M1_1-15th'!M101*Setup_and_Criteria!$F$16)+Setup_and_Criteria!$J$16),0)</f>
        <v>0</v>
      </c>
      <c r="O101" s="442">
        <f t="shared" si="63"/>
        <v>0</v>
      </c>
      <c r="P101" s="443">
        <f t="shared" si="59"/>
        <v>0</v>
      </c>
      <c r="Q101" s="357" t="e">
        <f t="shared" si="60"/>
        <v>#DIV/0!</v>
      </c>
      <c r="R101" s="630"/>
      <c r="S101" s="630"/>
      <c r="T101" s="630"/>
      <c r="U101" s="630"/>
      <c r="V101" s="630"/>
      <c r="W101" s="630"/>
      <c r="X101" s="630"/>
      <c r="Y101" s="630"/>
      <c r="Z101" s="630"/>
      <c r="AA101" s="630"/>
      <c r="AB101" s="1">
        <f t="shared" si="61"/>
        <v>0</v>
      </c>
      <c r="AC101" s="357" t="e">
        <f t="shared" si="62"/>
        <v>#DIV/0!</v>
      </c>
      <c r="AD101" s="864"/>
      <c r="AE101" s="865"/>
      <c r="AF101" s="865"/>
      <c r="AG101" s="866"/>
      <c r="AH101" s="866"/>
      <c r="AI101" s="867"/>
    </row>
    <row r="102" spans="1:35" x14ac:dyDescent="0.25">
      <c r="A102" s="638"/>
      <c r="C102" s="630"/>
      <c r="D102" s="630"/>
      <c r="E102" s="630"/>
      <c r="F102" s="630"/>
      <c r="G102" s="264">
        <f t="shared" si="57"/>
        <v>0</v>
      </c>
      <c r="H102" s="442">
        <f t="shared" si="58"/>
        <v>0</v>
      </c>
      <c r="J102" s="630"/>
      <c r="K102" s="630"/>
      <c r="L102" s="630"/>
      <c r="M102" s="630"/>
      <c r="N102" s="1">
        <f>IF(C102&gt;0,((J102*Setup_and_Criteria!$F$13)+('M1_1-15th'!K102*Setup_and_Criteria!$F$14)+('M1_1-15th'!L102*Setup_and_Criteria!$F$15)+('M1_1-15th'!M102*Setup_and_Criteria!$F$16)+Setup_and_Criteria!$J$16),0)</f>
        <v>0</v>
      </c>
      <c r="O102" s="442">
        <f t="shared" si="63"/>
        <v>0</v>
      </c>
      <c r="P102" s="443">
        <f t="shared" si="59"/>
        <v>0</v>
      </c>
      <c r="Q102" s="357" t="e">
        <f t="shared" si="60"/>
        <v>#DIV/0!</v>
      </c>
      <c r="R102" s="630"/>
      <c r="S102" s="630"/>
      <c r="T102" s="630"/>
      <c r="U102" s="630"/>
      <c r="V102" s="630"/>
      <c r="W102" s="630"/>
      <c r="X102" s="630"/>
      <c r="Y102" s="630"/>
      <c r="Z102" s="630"/>
      <c r="AA102" s="630"/>
      <c r="AB102" s="1">
        <f t="shared" si="61"/>
        <v>0</v>
      </c>
      <c r="AC102" s="357" t="e">
        <f t="shared" si="62"/>
        <v>#DIV/0!</v>
      </c>
      <c r="AD102" s="864"/>
      <c r="AE102" s="865"/>
      <c r="AF102" s="865"/>
      <c r="AG102" s="866"/>
      <c r="AH102" s="866"/>
      <c r="AI102" s="867"/>
    </row>
    <row r="103" spans="1:35" x14ac:dyDescent="0.25">
      <c r="A103" s="638"/>
      <c r="C103" s="630"/>
      <c r="D103" s="630"/>
      <c r="E103" s="630"/>
      <c r="F103" s="630"/>
      <c r="G103" s="264">
        <f t="shared" si="57"/>
        <v>0</v>
      </c>
      <c r="H103" s="442">
        <f t="shared" si="58"/>
        <v>0</v>
      </c>
      <c r="J103" s="630"/>
      <c r="K103" s="630"/>
      <c r="L103" s="630"/>
      <c r="M103" s="630"/>
      <c r="N103" s="1">
        <f>IF(C103&gt;0,((J103*Setup_and_Criteria!$F$13)+('M1_1-15th'!K103*Setup_and_Criteria!$F$14)+('M1_1-15th'!L103*Setup_and_Criteria!$F$15)+('M1_1-15th'!M103*Setup_and_Criteria!$F$16)+Setup_and_Criteria!$J$16),0)</f>
        <v>0</v>
      </c>
      <c r="O103" s="442">
        <f t="shared" si="63"/>
        <v>0</v>
      </c>
      <c r="P103" s="443">
        <f t="shared" si="59"/>
        <v>0</v>
      </c>
      <c r="Q103" s="357" t="e">
        <f t="shared" si="60"/>
        <v>#DIV/0!</v>
      </c>
      <c r="R103" s="630"/>
      <c r="S103" s="630"/>
      <c r="T103" s="630"/>
      <c r="U103" s="630"/>
      <c r="V103" s="630"/>
      <c r="W103" s="630"/>
      <c r="X103" s="630"/>
      <c r="Y103" s="630"/>
      <c r="Z103" s="630"/>
      <c r="AA103" s="630"/>
      <c r="AB103" s="1">
        <f t="shared" si="61"/>
        <v>0</v>
      </c>
      <c r="AC103" s="357" t="e">
        <f t="shared" si="62"/>
        <v>#DIV/0!</v>
      </c>
      <c r="AD103" s="864"/>
      <c r="AE103" s="865"/>
      <c r="AF103" s="865"/>
      <c r="AG103" s="866"/>
      <c r="AH103" s="866"/>
      <c r="AI103" s="867"/>
    </row>
    <row r="104" spans="1:35" ht="15.75" thickBot="1" x14ac:dyDescent="0.3">
      <c r="A104" s="638"/>
      <c r="C104" s="370"/>
      <c r="D104" s="370"/>
      <c r="E104" s="630"/>
      <c r="F104" s="630"/>
      <c r="G104" s="264">
        <f t="shared" si="57"/>
        <v>0</v>
      </c>
      <c r="H104" s="442">
        <f t="shared" si="58"/>
        <v>0</v>
      </c>
      <c r="J104" s="371"/>
      <c r="K104" s="371"/>
      <c r="L104" s="371"/>
      <c r="M104" s="371"/>
      <c r="N104" s="358">
        <f>IF(C104&gt;0,((J104*Setup_and_Criteria!$F$13)+('M1_1-15th'!K104*Setup_and_Criteria!$F$14)+('M1_1-15th'!L104*Setup_and_Criteria!$F$15)+('M1_1-15th'!M104*Setup_and_Criteria!$F$16)+Setup_and_Criteria!$J$16),0)</f>
        <v>0</v>
      </c>
      <c r="O104" s="359">
        <f t="shared" si="63"/>
        <v>0</v>
      </c>
      <c r="P104" s="383">
        <f t="shared" si="59"/>
        <v>0</v>
      </c>
      <c r="Q104" s="360" t="e">
        <f t="shared" si="60"/>
        <v>#DIV/0!</v>
      </c>
      <c r="R104" s="511"/>
      <c r="S104" s="511"/>
      <c r="T104" s="511"/>
      <c r="U104" s="511"/>
      <c r="V104" s="511"/>
      <c r="W104" s="511"/>
      <c r="X104" s="511"/>
      <c r="Y104" s="511"/>
      <c r="Z104" s="511"/>
      <c r="AA104" s="511"/>
      <c r="AB104" s="1">
        <f t="shared" si="61"/>
        <v>0</v>
      </c>
      <c r="AC104" s="357" t="e">
        <f t="shared" si="62"/>
        <v>#DIV/0!</v>
      </c>
      <c r="AD104" s="864"/>
      <c r="AE104" s="865"/>
      <c r="AF104" s="865"/>
      <c r="AG104" s="866"/>
      <c r="AH104" s="866"/>
      <c r="AI104" s="867"/>
    </row>
    <row r="105" spans="1:35" ht="15.75" thickTop="1" x14ac:dyDescent="0.25">
      <c r="A105" s="58"/>
      <c r="H105" s="442">
        <f>SUM(H99:H104)</f>
        <v>0</v>
      </c>
      <c r="J105" s="1">
        <f>SUM(J99:J104)</f>
        <v>0</v>
      </c>
      <c r="K105" s="1">
        <f>SUM(K99:K104)</f>
        <v>0</v>
      </c>
      <c r="L105" s="1">
        <f>SUM(L99:L104)</f>
        <v>0</v>
      </c>
      <c r="M105" s="1">
        <f>SUM(M99:M104)</f>
        <v>0</v>
      </c>
      <c r="N105" s="1">
        <f>SUM(N99:N104)</f>
        <v>0</v>
      </c>
      <c r="O105" s="1">
        <f t="shared" si="63"/>
        <v>0</v>
      </c>
      <c r="P105" s="443">
        <f t="shared" si="59"/>
        <v>0</v>
      </c>
      <c r="Q105" s="357" t="e">
        <f t="shared" si="60"/>
        <v>#DIV/0!</v>
      </c>
      <c r="R105" s="1">
        <f t="shared" ref="R105:AA105" si="64">SUM(R99:R104)</f>
        <v>0</v>
      </c>
      <c r="S105" s="1">
        <f t="shared" si="64"/>
        <v>0</v>
      </c>
      <c r="T105" s="1">
        <f t="shared" si="64"/>
        <v>0</v>
      </c>
      <c r="U105" s="1">
        <f t="shared" si="64"/>
        <v>0</v>
      </c>
      <c r="V105" s="1">
        <f t="shared" si="64"/>
        <v>0</v>
      </c>
      <c r="W105" s="1">
        <f t="shared" si="64"/>
        <v>0</v>
      </c>
      <c r="X105" s="1">
        <f t="shared" si="64"/>
        <v>0</v>
      </c>
      <c r="Y105" s="1">
        <f t="shared" si="64"/>
        <v>0</v>
      </c>
      <c r="Z105" s="1">
        <f t="shared" si="64"/>
        <v>0</v>
      </c>
      <c r="AA105" s="1">
        <f t="shared" si="64"/>
        <v>0</v>
      </c>
      <c r="AB105" s="1">
        <f t="shared" si="61"/>
        <v>0</v>
      </c>
      <c r="AC105" s="357" t="e">
        <f t="shared" si="62"/>
        <v>#DIV/0!</v>
      </c>
      <c r="AD105" s="877"/>
      <c r="AE105" s="878"/>
      <c r="AF105" s="878"/>
      <c r="AG105" s="749"/>
      <c r="AH105" s="749"/>
      <c r="AI105" s="879"/>
    </row>
    <row r="106" spans="1:35" ht="21" customHeight="1" x14ac:dyDescent="0.35">
      <c r="A106" s="58"/>
      <c r="H106" s="442"/>
      <c r="N106" s="888" t="s">
        <v>145</v>
      </c>
      <c r="O106" s="888"/>
      <c r="P106" s="888"/>
      <c r="Q106" s="888"/>
      <c r="R106" s="431" t="s">
        <v>146</v>
      </c>
      <c r="S106" s="431"/>
      <c r="T106" s="431"/>
      <c r="U106" s="431"/>
      <c r="V106" s="431"/>
      <c r="W106" s="431"/>
      <c r="X106" s="431"/>
      <c r="Y106" s="431"/>
      <c r="Z106" s="431"/>
      <c r="AA106" s="431"/>
      <c r="AB106" s="431"/>
      <c r="AC106" s="431"/>
      <c r="AD106" s="880" t="s">
        <v>132</v>
      </c>
      <c r="AE106" s="881"/>
      <c r="AF106" s="881"/>
      <c r="AG106" s="881"/>
      <c r="AH106" s="881"/>
      <c r="AI106" s="882"/>
    </row>
    <row r="107" spans="1:35" ht="31.5" customHeight="1" x14ac:dyDescent="0.35">
      <c r="A107" s="378" t="s">
        <v>147</v>
      </c>
      <c r="C107" s="885" t="s">
        <v>128</v>
      </c>
      <c r="D107" s="885"/>
      <c r="E107" s="885"/>
      <c r="F107" s="885"/>
      <c r="H107" s="442"/>
      <c r="J107" s="444"/>
      <c r="K107" s="445" t="s">
        <v>35</v>
      </c>
      <c r="L107" s="445" t="s">
        <v>148</v>
      </c>
      <c r="N107" s="446" t="s">
        <v>149</v>
      </c>
      <c r="O107" s="447" t="s">
        <v>150</v>
      </c>
      <c r="P107" s="447" t="s">
        <v>138</v>
      </c>
      <c r="Q107" s="447" t="s">
        <v>151</v>
      </c>
      <c r="R107" s="749" t="s">
        <v>152</v>
      </c>
      <c r="S107" s="749"/>
      <c r="T107" s="883" t="s">
        <v>153</v>
      </c>
      <c r="U107" s="883"/>
      <c r="W107" s="425" t="s">
        <v>154</v>
      </c>
      <c r="X107" s="425"/>
      <c r="Y107" s="425"/>
      <c r="Z107" s="425"/>
      <c r="AA107" s="425"/>
      <c r="AB107" s="425"/>
      <c r="AC107" s="425"/>
      <c r="AD107" s="868" t="s">
        <v>160</v>
      </c>
      <c r="AE107" s="869"/>
      <c r="AF107" s="869"/>
      <c r="AG107" s="869"/>
      <c r="AH107" s="869"/>
      <c r="AI107" s="870"/>
    </row>
    <row r="108" spans="1:35" ht="18" customHeight="1" thickBot="1" x14ac:dyDescent="0.3">
      <c r="A108" s="639"/>
      <c r="B108" s="364"/>
      <c r="C108" s="372"/>
      <c r="D108" s="372"/>
      <c r="E108" s="372"/>
      <c r="F108" s="372"/>
      <c r="G108" s="366">
        <f>+(D108-C108)+(F108-E108)</f>
        <v>0</v>
      </c>
      <c r="H108" s="367">
        <f>+G108*1440</f>
        <v>0</v>
      </c>
      <c r="I108" s="859" t="s">
        <v>155</v>
      </c>
      <c r="J108" s="860"/>
      <c r="K108" s="373"/>
      <c r="L108" s="374"/>
      <c r="M108" s="423"/>
      <c r="N108" s="629">
        <f>+J105+L105+K105+K108+L108</f>
        <v>0</v>
      </c>
      <c r="O108" s="368">
        <f>+(Setup_and_Criteria!$K$31+(J105*Setup_and_Criteria!$F$20)+('M1_1-15th'!K105*Setup_and_Criteria!$F$21)+('M1_1-15th'!L105*Setup_and_Criteria!$F$20))+T108+(K108*Setup_and_Criteria!$F$21)+(Setup_and_Criteria!$F$22*'M1_1-15th'!L108)</f>
        <v>75</v>
      </c>
      <c r="P108" s="367">
        <f>+H108</f>
        <v>0</v>
      </c>
      <c r="Q108" s="367">
        <f>+O108-P108</f>
        <v>75</v>
      </c>
      <c r="R108" s="861" t="s">
        <v>252</v>
      </c>
      <c r="S108" s="861"/>
      <c r="T108" s="862"/>
      <c r="U108" s="863"/>
      <c r="V108" s="265" t="s">
        <v>156</v>
      </c>
      <c r="W108" s="854"/>
      <c r="X108" s="855"/>
      <c r="Y108" s="855"/>
      <c r="Z108" s="855"/>
      <c r="AA108" s="855"/>
      <c r="AB108" s="855"/>
      <c r="AC108" s="855"/>
      <c r="AD108" s="868"/>
      <c r="AE108" s="869"/>
      <c r="AF108" s="869"/>
      <c r="AG108" s="869"/>
      <c r="AH108" s="869"/>
      <c r="AI108" s="870"/>
    </row>
    <row r="109" spans="1:35" ht="15.75" thickBot="1" x14ac:dyDescent="0.3">
      <c r="A109" s="449" t="str">
        <f>+A96</f>
        <v>Password to enter data = "Enter Info"</v>
      </c>
      <c r="B109" s="450"/>
      <c r="C109" s="451"/>
      <c r="D109" s="451"/>
      <c r="E109" s="451"/>
      <c r="F109" s="451"/>
      <c r="G109" s="451"/>
      <c r="H109" s="451"/>
      <c r="I109" s="450"/>
      <c r="J109" s="451"/>
      <c r="K109" s="451"/>
      <c r="L109" s="451"/>
      <c r="M109" s="451"/>
      <c r="N109" s="451"/>
      <c r="O109" s="451"/>
      <c r="P109" s="451"/>
      <c r="Q109" s="450"/>
      <c r="R109" s="451"/>
      <c r="S109" s="451"/>
      <c r="T109" s="451"/>
      <c r="U109" s="451"/>
      <c r="V109" s="451"/>
      <c r="W109" s="451"/>
      <c r="X109" s="451"/>
      <c r="Y109" s="451"/>
      <c r="Z109" s="451"/>
      <c r="AA109" s="451"/>
      <c r="AB109" s="450"/>
      <c r="AC109" s="450"/>
      <c r="AD109" s="871"/>
      <c r="AE109" s="872"/>
      <c r="AF109" s="872"/>
      <c r="AG109" s="872"/>
      <c r="AH109" s="872"/>
      <c r="AI109" s="873"/>
    </row>
    <row r="110" spans="1:35" ht="35.25" customHeight="1" x14ac:dyDescent="0.4">
      <c r="A110" s="434" t="str">
        <f>+A97</f>
        <v>May</v>
      </c>
      <c r="B110" s="624">
        <f>+B97+1</f>
        <v>9</v>
      </c>
      <c r="C110" s="884" t="s">
        <v>128</v>
      </c>
      <c r="D110" s="884"/>
      <c r="E110" s="884"/>
      <c r="F110" s="884"/>
      <c r="G110" s="377"/>
      <c r="H110" s="377"/>
      <c r="I110" s="21"/>
      <c r="J110" s="874" t="s">
        <v>129</v>
      </c>
      <c r="K110" s="875"/>
      <c r="L110" s="875"/>
      <c r="M110" s="875"/>
      <c r="N110" s="876" t="s">
        <v>130</v>
      </c>
      <c r="O110" s="876"/>
      <c r="P110" s="876"/>
      <c r="Q110" s="876"/>
      <c r="R110" s="424" t="str">
        <f>+R97</f>
        <v xml:space="preserve"> Corrections Tracking - Check out rooms</v>
      </c>
      <c r="S110" s="424"/>
      <c r="T110" s="424"/>
      <c r="U110" s="424"/>
      <c r="V110" s="424"/>
      <c r="W110" s="424"/>
      <c r="X110" s="424"/>
      <c r="Y110" s="424"/>
      <c r="Z110" s="424"/>
      <c r="AA110" s="424"/>
      <c r="AB110" s="424"/>
      <c r="AC110" s="424"/>
      <c r="AD110" s="461" t="s">
        <v>132</v>
      </c>
      <c r="AE110" s="426"/>
      <c r="AF110" s="426"/>
      <c r="AG110" s="426"/>
      <c r="AH110" s="426"/>
      <c r="AI110" s="427"/>
    </row>
    <row r="111" spans="1:35" ht="59.25" customHeight="1" x14ac:dyDescent="0.25">
      <c r="A111" s="378" t="s">
        <v>133</v>
      </c>
      <c r="C111" s="435" t="s">
        <v>134</v>
      </c>
      <c r="D111" s="435" t="s">
        <v>135</v>
      </c>
      <c r="E111" s="435" t="s">
        <v>134</v>
      </c>
      <c r="F111" s="435" t="s">
        <v>135</v>
      </c>
      <c r="G111" s="1" t="s">
        <v>136</v>
      </c>
      <c r="H111" s="1" t="s">
        <v>108</v>
      </c>
      <c r="I111" s="436"/>
      <c r="J111" s="437" t="str">
        <f>+Setup_and_Criteria!$B$13</f>
        <v>Checkouts</v>
      </c>
      <c r="K111" s="437" t="str">
        <f>+Setup_and_Criteria!$B$14</f>
        <v>Pet Rooms</v>
      </c>
      <c r="L111" s="437" t="str">
        <f>+Setup_and_Criteria!$B$15</f>
        <v>2 Rm &amp; Jac Stes</v>
      </c>
      <c r="M111" s="438" t="str">
        <f>+Setup_and_Criteria!$B$16</f>
        <v>Stayovers</v>
      </c>
      <c r="N111" s="269" t="s">
        <v>137</v>
      </c>
      <c r="O111" s="269" t="s">
        <v>138</v>
      </c>
      <c r="P111" s="439" t="s">
        <v>139</v>
      </c>
      <c r="Q111" s="439" t="s">
        <v>140</v>
      </c>
      <c r="R111" s="440" t="str">
        <f>+Corrections!$C$8</f>
        <v>Vanity</v>
      </c>
      <c r="S111" s="440" t="str">
        <f>+Corrections!$I$8</f>
        <v>Toilet</v>
      </c>
      <c r="T111" s="440" t="str">
        <f>+Corrections!$O$8</f>
        <v>Bed/Pillows</v>
      </c>
      <c r="U111" s="440" t="str">
        <f>+Corrections!$U$8</f>
        <v>Floor</v>
      </c>
      <c r="V111" s="440" t="str">
        <f>+Corrections!$AA$8</f>
        <v>Dusting</v>
      </c>
      <c r="W111" s="440" t="str">
        <f>+Corrections!$AG$8</f>
        <v>Fridge/Micro</v>
      </c>
      <c r="X111" s="440" t="str">
        <f>+Corrections!$AM$8</f>
        <v>Tub</v>
      </c>
      <c r="Y111" s="441" t="str">
        <f>+Corrections!$AS$8</f>
        <v>Mirrors/Glass</v>
      </c>
      <c r="Z111" s="440" t="str">
        <f>+Corrections!$AY$8</f>
        <v>Stocking</v>
      </c>
      <c r="AA111" s="440" t="str">
        <f>+Corrections!$BE$8</f>
        <v>Other</v>
      </c>
      <c r="AB111" s="269" t="s">
        <v>141</v>
      </c>
      <c r="AC111" s="269" t="str">
        <f>+$AC$7</f>
        <v>Daily Corr / Inspected Checkout</v>
      </c>
      <c r="AD111" s="889" t="s">
        <v>143</v>
      </c>
      <c r="AE111" s="890"/>
      <c r="AF111" s="890"/>
      <c r="AG111" s="890"/>
      <c r="AH111" s="890"/>
      <c r="AI111" s="891"/>
    </row>
    <row r="112" spans="1:35" x14ac:dyDescent="0.25">
      <c r="A112" s="638"/>
      <c r="C112" s="369"/>
      <c r="D112" s="369"/>
      <c r="E112" s="369"/>
      <c r="F112" s="369"/>
      <c r="G112" s="264">
        <f t="shared" ref="G112:G117" si="65">+(D112-C112)+(F112-E112)</f>
        <v>0</v>
      </c>
      <c r="H112" s="442">
        <f t="shared" ref="H112:H117" si="66">+G112*1440</f>
        <v>0</v>
      </c>
      <c r="J112" s="630"/>
      <c r="K112" s="630"/>
      <c r="L112" s="630"/>
      <c r="M112" s="630"/>
      <c r="N112" s="1">
        <f>IF(C112&gt;0,((J112*Setup_and_Criteria!$F$13)+('M1_1-15th'!K112*Setup_and_Criteria!$F$14)+('M1_1-15th'!L112*Setup_and_Criteria!$F$15)+('M1_1-15th'!M112*Setup_and_Criteria!$F$16)+Setup_and_Criteria!$J$16),0)</f>
        <v>0</v>
      </c>
      <c r="O112" s="442">
        <f>+H112</f>
        <v>0</v>
      </c>
      <c r="P112" s="443">
        <f t="shared" ref="P112:P118" si="67">+N112-O112</f>
        <v>0</v>
      </c>
      <c r="Q112" s="357" t="e">
        <f t="shared" ref="Q112:Q118" si="68">O112/_xlfn.SINGLE(SUM(J112:M112))</f>
        <v>#DIV/0!</v>
      </c>
      <c r="R112" s="630"/>
      <c r="S112" s="630"/>
      <c r="T112" s="630"/>
      <c r="U112" s="630"/>
      <c r="V112" s="630"/>
      <c r="W112" s="630"/>
      <c r="X112" s="630"/>
      <c r="Y112" s="630"/>
      <c r="Z112" s="630"/>
      <c r="AA112" s="630"/>
      <c r="AB112" s="1">
        <f t="shared" ref="AB112:AB118" si="69">SUM(R112:AA112)</f>
        <v>0</v>
      </c>
      <c r="AC112" s="357" t="e">
        <f t="shared" ref="AC112:AC118" si="70">+AB112/(J112+K112+L112)</f>
        <v>#DIV/0!</v>
      </c>
      <c r="AD112" s="864" t="s">
        <v>144</v>
      </c>
      <c r="AE112" s="865"/>
      <c r="AF112" s="865"/>
      <c r="AG112" s="866"/>
      <c r="AH112" s="866"/>
      <c r="AI112" s="867"/>
    </row>
    <row r="113" spans="1:35" x14ac:dyDescent="0.25">
      <c r="A113" s="638"/>
      <c r="C113" s="630"/>
      <c r="D113" s="630"/>
      <c r="E113" s="630"/>
      <c r="F113" s="630"/>
      <c r="G113" s="264">
        <f t="shared" si="65"/>
        <v>0</v>
      </c>
      <c r="H113" s="442">
        <f t="shared" si="66"/>
        <v>0</v>
      </c>
      <c r="J113" s="630"/>
      <c r="K113" s="630"/>
      <c r="L113" s="630"/>
      <c r="M113" s="630"/>
      <c r="N113" s="1">
        <f>IF(C113&gt;0,((J113*Setup_and_Criteria!$F$13)+('M1_1-15th'!K113*Setup_and_Criteria!$F$14)+('M1_1-15th'!L113*Setup_and_Criteria!$F$15)+('M1_1-15th'!M113*Setup_and_Criteria!$F$16)+Setup_and_Criteria!$J$16),0)</f>
        <v>0</v>
      </c>
      <c r="O113" s="442">
        <f t="shared" ref="O113:O118" si="71">+H113</f>
        <v>0</v>
      </c>
      <c r="P113" s="443">
        <f t="shared" si="67"/>
        <v>0</v>
      </c>
      <c r="Q113" s="357" t="e">
        <f t="shared" si="68"/>
        <v>#DIV/0!</v>
      </c>
      <c r="R113" s="630"/>
      <c r="S113" s="630"/>
      <c r="T113" s="630"/>
      <c r="U113" s="630"/>
      <c r="V113" s="630"/>
      <c r="W113" s="630"/>
      <c r="X113" s="630"/>
      <c r="Y113" s="630"/>
      <c r="Z113" s="630"/>
      <c r="AA113" s="630"/>
      <c r="AB113" s="1">
        <f t="shared" si="69"/>
        <v>0</v>
      </c>
      <c r="AC113" s="357" t="e">
        <f t="shared" si="70"/>
        <v>#DIV/0!</v>
      </c>
      <c r="AD113" s="864"/>
      <c r="AE113" s="865"/>
      <c r="AF113" s="865"/>
      <c r="AG113" s="866"/>
      <c r="AH113" s="866"/>
      <c r="AI113" s="867"/>
    </row>
    <row r="114" spans="1:35" x14ac:dyDescent="0.25">
      <c r="A114" s="638"/>
      <c r="C114" s="630"/>
      <c r="D114" s="630"/>
      <c r="E114" s="630"/>
      <c r="F114" s="630"/>
      <c r="G114" s="264">
        <f t="shared" si="65"/>
        <v>0</v>
      </c>
      <c r="H114" s="442">
        <f t="shared" si="66"/>
        <v>0</v>
      </c>
      <c r="J114" s="630"/>
      <c r="K114" s="630"/>
      <c r="L114" s="630"/>
      <c r="M114" s="630"/>
      <c r="N114" s="1">
        <f>IF(C114&gt;0,((J114*Setup_and_Criteria!$F$13)+('M1_1-15th'!K114*Setup_and_Criteria!$F$14)+('M1_1-15th'!L114*Setup_and_Criteria!$F$15)+('M1_1-15th'!M114*Setup_and_Criteria!$F$16)+Setup_and_Criteria!$J$16),0)</f>
        <v>0</v>
      </c>
      <c r="O114" s="442">
        <f t="shared" si="71"/>
        <v>0</v>
      </c>
      <c r="P114" s="443">
        <f t="shared" si="67"/>
        <v>0</v>
      </c>
      <c r="Q114" s="357" t="e">
        <f t="shared" si="68"/>
        <v>#DIV/0!</v>
      </c>
      <c r="R114" s="630"/>
      <c r="S114" s="630"/>
      <c r="T114" s="630"/>
      <c r="U114" s="630"/>
      <c r="V114" s="630"/>
      <c r="W114" s="630"/>
      <c r="X114" s="630"/>
      <c r="Y114" s="630"/>
      <c r="Z114" s="630"/>
      <c r="AA114" s="630"/>
      <c r="AB114" s="1">
        <f t="shared" si="69"/>
        <v>0</v>
      </c>
      <c r="AC114" s="357" t="e">
        <f t="shared" si="70"/>
        <v>#DIV/0!</v>
      </c>
      <c r="AD114" s="864"/>
      <c r="AE114" s="865"/>
      <c r="AF114" s="865"/>
      <c r="AG114" s="866"/>
      <c r="AH114" s="866"/>
      <c r="AI114" s="867"/>
    </row>
    <row r="115" spans="1:35" x14ac:dyDescent="0.25">
      <c r="A115" s="638"/>
      <c r="C115" s="630"/>
      <c r="D115" s="630"/>
      <c r="E115" s="630"/>
      <c r="F115" s="630"/>
      <c r="G115" s="264">
        <f t="shared" si="65"/>
        <v>0</v>
      </c>
      <c r="H115" s="442">
        <f t="shared" si="66"/>
        <v>0</v>
      </c>
      <c r="J115" s="630"/>
      <c r="K115" s="630"/>
      <c r="L115" s="630"/>
      <c r="M115" s="630"/>
      <c r="N115" s="1">
        <f>IF(C115&gt;0,((J115*Setup_and_Criteria!$F$13)+('M1_1-15th'!K115*Setup_and_Criteria!$F$14)+('M1_1-15th'!L115*Setup_and_Criteria!$F$15)+('M1_1-15th'!M115*Setup_and_Criteria!$F$16)+Setup_and_Criteria!$J$16),0)</f>
        <v>0</v>
      </c>
      <c r="O115" s="442">
        <f t="shared" si="71"/>
        <v>0</v>
      </c>
      <c r="P115" s="443">
        <f t="shared" si="67"/>
        <v>0</v>
      </c>
      <c r="Q115" s="357" t="e">
        <f t="shared" si="68"/>
        <v>#DIV/0!</v>
      </c>
      <c r="R115" s="630"/>
      <c r="S115" s="630"/>
      <c r="T115" s="630"/>
      <c r="U115" s="630"/>
      <c r="V115" s="630"/>
      <c r="W115" s="630"/>
      <c r="X115" s="630"/>
      <c r="Y115" s="630"/>
      <c r="Z115" s="630"/>
      <c r="AA115" s="630"/>
      <c r="AB115" s="1">
        <f t="shared" si="69"/>
        <v>0</v>
      </c>
      <c r="AC115" s="357" t="e">
        <f t="shared" si="70"/>
        <v>#DIV/0!</v>
      </c>
      <c r="AD115" s="864"/>
      <c r="AE115" s="865"/>
      <c r="AF115" s="865"/>
      <c r="AG115" s="866"/>
      <c r="AH115" s="866"/>
      <c r="AI115" s="867"/>
    </row>
    <row r="116" spans="1:35" x14ac:dyDescent="0.25">
      <c r="A116" s="638"/>
      <c r="C116" s="630"/>
      <c r="D116" s="630"/>
      <c r="E116" s="630"/>
      <c r="F116" s="630"/>
      <c r="G116" s="264">
        <f t="shared" si="65"/>
        <v>0</v>
      </c>
      <c r="H116" s="442">
        <f t="shared" si="66"/>
        <v>0</v>
      </c>
      <c r="J116" s="630"/>
      <c r="K116" s="630"/>
      <c r="L116" s="630"/>
      <c r="M116" s="630"/>
      <c r="N116" s="1">
        <f>IF(C116&gt;0,((J116*Setup_and_Criteria!$F$13)+('M1_1-15th'!K116*Setup_and_Criteria!$F$14)+('M1_1-15th'!L116*Setup_and_Criteria!$F$15)+('M1_1-15th'!M116*Setup_and_Criteria!$F$16)+Setup_and_Criteria!$J$16),0)</f>
        <v>0</v>
      </c>
      <c r="O116" s="442">
        <f t="shared" si="71"/>
        <v>0</v>
      </c>
      <c r="P116" s="443">
        <f t="shared" si="67"/>
        <v>0</v>
      </c>
      <c r="Q116" s="357" t="e">
        <f t="shared" si="68"/>
        <v>#DIV/0!</v>
      </c>
      <c r="R116" s="630"/>
      <c r="S116" s="630"/>
      <c r="T116" s="630"/>
      <c r="U116" s="630"/>
      <c r="V116" s="630"/>
      <c r="W116" s="630"/>
      <c r="X116" s="630"/>
      <c r="Y116" s="630"/>
      <c r="Z116" s="630"/>
      <c r="AA116" s="630"/>
      <c r="AB116" s="1">
        <f t="shared" si="69"/>
        <v>0</v>
      </c>
      <c r="AC116" s="357" t="e">
        <f t="shared" si="70"/>
        <v>#DIV/0!</v>
      </c>
      <c r="AD116" s="864"/>
      <c r="AE116" s="865"/>
      <c r="AF116" s="865"/>
      <c r="AG116" s="866"/>
      <c r="AH116" s="866"/>
      <c r="AI116" s="867"/>
    </row>
    <row r="117" spans="1:35" ht="15.75" thickBot="1" x14ac:dyDescent="0.3">
      <c r="A117" s="638"/>
      <c r="C117" s="370"/>
      <c r="D117" s="370"/>
      <c r="E117" s="630"/>
      <c r="F117" s="630"/>
      <c r="G117" s="264">
        <f t="shared" si="65"/>
        <v>0</v>
      </c>
      <c r="H117" s="442">
        <f t="shared" si="66"/>
        <v>0</v>
      </c>
      <c r="J117" s="371"/>
      <c r="K117" s="371"/>
      <c r="L117" s="371"/>
      <c r="M117" s="371"/>
      <c r="N117" s="358">
        <f>IF(C117&gt;0,((J117*Setup_and_Criteria!$F$13)+('M1_1-15th'!K117*Setup_and_Criteria!$F$14)+('M1_1-15th'!L117*Setup_and_Criteria!$F$15)+('M1_1-15th'!M117*Setup_and_Criteria!$F$16)+Setup_and_Criteria!$J$16),0)</f>
        <v>0</v>
      </c>
      <c r="O117" s="359">
        <f t="shared" si="71"/>
        <v>0</v>
      </c>
      <c r="P117" s="383">
        <f t="shared" si="67"/>
        <v>0</v>
      </c>
      <c r="Q117" s="360" t="e">
        <f t="shared" si="68"/>
        <v>#DIV/0!</v>
      </c>
      <c r="R117" s="511"/>
      <c r="S117" s="511"/>
      <c r="T117" s="511"/>
      <c r="U117" s="511"/>
      <c r="V117" s="511"/>
      <c r="W117" s="511"/>
      <c r="X117" s="511"/>
      <c r="Y117" s="511"/>
      <c r="Z117" s="511"/>
      <c r="AA117" s="511"/>
      <c r="AB117" s="1">
        <f t="shared" si="69"/>
        <v>0</v>
      </c>
      <c r="AC117" s="357" t="e">
        <f t="shared" si="70"/>
        <v>#DIV/0!</v>
      </c>
      <c r="AD117" s="864"/>
      <c r="AE117" s="865"/>
      <c r="AF117" s="865"/>
      <c r="AG117" s="866"/>
      <c r="AH117" s="866"/>
      <c r="AI117" s="867"/>
    </row>
    <row r="118" spans="1:35" ht="15.75" thickTop="1" x14ac:dyDescent="0.25">
      <c r="A118" s="58"/>
      <c r="H118" s="442">
        <f>SUM(H112:H117)</f>
        <v>0</v>
      </c>
      <c r="J118" s="1">
        <f>SUM(J112:J117)</f>
        <v>0</v>
      </c>
      <c r="K118" s="1">
        <f>SUM(K112:K117)</f>
        <v>0</v>
      </c>
      <c r="L118" s="1">
        <f>SUM(L112:L117)</f>
        <v>0</v>
      </c>
      <c r="M118" s="1">
        <f>SUM(M112:M117)</f>
        <v>0</v>
      </c>
      <c r="N118" s="1">
        <f>SUM(N112:N117)</f>
        <v>0</v>
      </c>
      <c r="O118" s="1">
        <f t="shared" si="71"/>
        <v>0</v>
      </c>
      <c r="P118" s="443">
        <f t="shared" si="67"/>
        <v>0</v>
      </c>
      <c r="Q118" s="357" t="e">
        <f t="shared" si="68"/>
        <v>#DIV/0!</v>
      </c>
      <c r="R118" s="1">
        <f t="shared" ref="R118:AA118" si="72">SUM(R112:R117)</f>
        <v>0</v>
      </c>
      <c r="S118" s="1">
        <f t="shared" si="72"/>
        <v>0</v>
      </c>
      <c r="T118" s="1">
        <f t="shared" si="72"/>
        <v>0</v>
      </c>
      <c r="U118" s="1">
        <f t="shared" si="72"/>
        <v>0</v>
      </c>
      <c r="V118" s="1">
        <f t="shared" si="72"/>
        <v>0</v>
      </c>
      <c r="W118" s="1">
        <f t="shared" si="72"/>
        <v>0</v>
      </c>
      <c r="X118" s="1">
        <f t="shared" si="72"/>
        <v>0</v>
      </c>
      <c r="Y118" s="1">
        <f t="shared" si="72"/>
        <v>0</v>
      </c>
      <c r="Z118" s="1">
        <f t="shared" si="72"/>
        <v>0</v>
      </c>
      <c r="AA118" s="1">
        <f t="shared" si="72"/>
        <v>0</v>
      </c>
      <c r="AB118" s="1">
        <f t="shared" si="69"/>
        <v>0</v>
      </c>
      <c r="AC118" s="357" t="e">
        <f t="shared" si="70"/>
        <v>#DIV/0!</v>
      </c>
      <c r="AD118" s="877"/>
      <c r="AE118" s="878"/>
      <c r="AF118" s="878"/>
      <c r="AG118" s="749"/>
      <c r="AH118" s="749"/>
      <c r="AI118" s="879"/>
    </row>
    <row r="119" spans="1:35" ht="21" customHeight="1" x14ac:dyDescent="0.35">
      <c r="A119" s="58"/>
      <c r="H119" s="442"/>
      <c r="N119" s="888" t="s">
        <v>145</v>
      </c>
      <c r="O119" s="888"/>
      <c r="P119" s="888"/>
      <c r="Q119" s="888"/>
      <c r="R119" s="431" t="s">
        <v>146</v>
      </c>
      <c r="S119" s="431"/>
      <c r="T119" s="431"/>
      <c r="U119" s="431"/>
      <c r="V119" s="431"/>
      <c r="W119" s="431"/>
      <c r="X119" s="431"/>
      <c r="Y119" s="431"/>
      <c r="Z119" s="431"/>
      <c r="AA119" s="431"/>
      <c r="AB119" s="431"/>
      <c r="AC119" s="431"/>
      <c r="AD119" s="880" t="s">
        <v>132</v>
      </c>
      <c r="AE119" s="881"/>
      <c r="AF119" s="881"/>
      <c r="AG119" s="881"/>
      <c r="AH119" s="881"/>
      <c r="AI119" s="882"/>
    </row>
    <row r="120" spans="1:35" ht="31.5" customHeight="1" x14ac:dyDescent="0.35">
      <c r="A120" s="378" t="s">
        <v>147</v>
      </c>
      <c r="C120" s="885" t="s">
        <v>128</v>
      </c>
      <c r="D120" s="885"/>
      <c r="E120" s="885"/>
      <c r="F120" s="885"/>
      <c r="H120" s="442"/>
      <c r="J120" s="444"/>
      <c r="K120" s="445" t="s">
        <v>35</v>
      </c>
      <c r="L120" s="445" t="s">
        <v>148</v>
      </c>
      <c r="N120" s="446" t="s">
        <v>149</v>
      </c>
      <c r="O120" s="447" t="s">
        <v>150</v>
      </c>
      <c r="P120" s="447" t="s">
        <v>138</v>
      </c>
      <c r="Q120" s="447" t="s">
        <v>151</v>
      </c>
      <c r="R120" s="749" t="s">
        <v>152</v>
      </c>
      <c r="S120" s="749"/>
      <c r="T120" s="883" t="s">
        <v>153</v>
      </c>
      <c r="U120" s="883"/>
      <c r="W120" s="425" t="s">
        <v>154</v>
      </c>
      <c r="X120" s="425"/>
      <c r="Y120" s="425"/>
      <c r="Z120" s="425"/>
      <c r="AA120" s="425"/>
      <c r="AB120" s="425"/>
      <c r="AC120" s="425"/>
      <c r="AD120" s="868" t="s">
        <v>160</v>
      </c>
      <c r="AE120" s="869"/>
      <c r="AF120" s="869"/>
      <c r="AG120" s="869"/>
      <c r="AH120" s="869"/>
      <c r="AI120" s="870"/>
    </row>
    <row r="121" spans="1:35" ht="18" customHeight="1" thickBot="1" x14ac:dyDescent="0.3">
      <c r="A121" s="639"/>
      <c r="B121" s="375"/>
      <c r="C121" s="372"/>
      <c r="D121" s="372"/>
      <c r="E121" s="372"/>
      <c r="F121" s="372"/>
      <c r="G121" s="366">
        <f>+(D121-C121)+(F121-E121)</f>
        <v>0</v>
      </c>
      <c r="H121" s="367">
        <f>+G121*1440</f>
        <v>0</v>
      </c>
      <c r="I121" s="859" t="s">
        <v>155</v>
      </c>
      <c r="J121" s="860"/>
      <c r="K121" s="373"/>
      <c r="L121" s="374"/>
      <c r="M121" s="423"/>
      <c r="N121" s="629">
        <f>+J118+L118+K118+K121+L121</f>
        <v>0</v>
      </c>
      <c r="O121" s="368">
        <f>+(Setup_and_Criteria!$K$31+(J118*Setup_and_Criteria!$F$20)+('M1_1-15th'!K118*Setup_and_Criteria!$F$21)+('M1_1-15th'!L118*Setup_and_Criteria!$F$20))+T121+(K121*Setup_and_Criteria!$F$21)+(Setup_and_Criteria!$F$22*'M1_1-15th'!L121)</f>
        <v>75</v>
      </c>
      <c r="P121" s="367">
        <f>+H121</f>
        <v>0</v>
      </c>
      <c r="Q121" s="367">
        <f>+O121-P121</f>
        <v>75</v>
      </c>
      <c r="R121" s="861" t="s">
        <v>252</v>
      </c>
      <c r="S121" s="861"/>
      <c r="T121" s="862"/>
      <c r="U121" s="863"/>
      <c r="V121" s="265" t="s">
        <v>156</v>
      </c>
      <c r="W121" s="854"/>
      <c r="X121" s="855"/>
      <c r="Y121" s="855"/>
      <c r="Z121" s="855"/>
      <c r="AA121" s="855"/>
      <c r="AB121" s="855"/>
      <c r="AC121" s="855"/>
      <c r="AD121" s="868"/>
      <c r="AE121" s="869"/>
      <c r="AF121" s="869"/>
      <c r="AG121" s="869"/>
      <c r="AH121" s="869"/>
      <c r="AI121" s="870"/>
    </row>
    <row r="122" spans="1:35" ht="15.75" thickBot="1" x14ac:dyDescent="0.3">
      <c r="A122" s="449" t="str">
        <f>+A109</f>
        <v>Password to enter data = "Enter Info"</v>
      </c>
      <c r="B122" s="450"/>
      <c r="C122" s="451"/>
      <c r="D122" s="451"/>
      <c r="E122" s="451"/>
      <c r="F122" s="451"/>
      <c r="G122" s="451"/>
      <c r="H122" s="451"/>
      <c r="I122" s="450"/>
      <c r="J122" s="451"/>
      <c r="K122" s="451"/>
      <c r="L122" s="451"/>
      <c r="M122" s="451"/>
      <c r="N122" s="451"/>
      <c r="O122" s="451"/>
      <c r="P122" s="451"/>
      <c r="Q122" s="450"/>
      <c r="R122" s="451"/>
      <c r="S122" s="451"/>
      <c r="T122" s="451"/>
      <c r="U122" s="451"/>
      <c r="V122" s="451"/>
      <c r="W122" s="451"/>
      <c r="X122" s="451"/>
      <c r="Y122" s="451"/>
      <c r="Z122" s="451"/>
      <c r="AA122" s="451"/>
      <c r="AB122" s="450"/>
      <c r="AC122" s="450"/>
      <c r="AD122" s="871"/>
      <c r="AE122" s="872"/>
      <c r="AF122" s="872"/>
      <c r="AG122" s="872"/>
      <c r="AH122" s="872"/>
      <c r="AI122" s="873"/>
    </row>
    <row r="123" spans="1:35" ht="35.25" customHeight="1" thickBot="1" x14ac:dyDescent="0.45">
      <c r="A123" s="434" t="str">
        <f>+A110</f>
        <v>May</v>
      </c>
      <c r="B123" s="624">
        <f>+B110+1</f>
        <v>10</v>
      </c>
      <c r="C123" s="898" t="s">
        <v>128</v>
      </c>
      <c r="D123" s="898"/>
      <c r="E123" s="898"/>
      <c r="F123" s="898"/>
      <c r="G123" s="377"/>
      <c r="H123" s="377"/>
      <c r="I123" s="21"/>
      <c r="J123" s="874" t="s">
        <v>129</v>
      </c>
      <c r="K123" s="875"/>
      <c r="L123" s="875"/>
      <c r="M123" s="875"/>
      <c r="N123" s="876" t="s">
        <v>130</v>
      </c>
      <c r="O123" s="876"/>
      <c r="P123" s="876"/>
      <c r="Q123" s="876"/>
      <c r="R123" s="424" t="str">
        <f>+R110</f>
        <v xml:space="preserve"> Corrections Tracking - Check out rooms</v>
      </c>
      <c r="S123" s="424"/>
      <c r="T123" s="424"/>
      <c r="U123" s="424"/>
      <c r="V123" s="424"/>
      <c r="W123" s="424"/>
      <c r="X123" s="424"/>
      <c r="Y123" s="424"/>
      <c r="Z123" s="424"/>
      <c r="AA123" s="424"/>
      <c r="AB123" s="424"/>
      <c r="AC123" s="424"/>
      <c r="AD123" s="461" t="s">
        <v>132</v>
      </c>
      <c r="AE123" s="426"/>
      <c r="AF123" s="426"/>
      <c r="AG123" s="426"/>
      <c r="AH123" s="426"/>
      <c r="AI123" s="427"/>
    </row>
    <row r="124" spans="1:35" ht="59.25" customHeight="1" thickTop="1" x14ac:dyDescent="0.25">
      <c r="A124" s="378" t="s">
        <v>133</v>
      </c>
      <c r="C124" s="435" t="s">
        <v>134</v>
      </c>
      <c r="D124" s="435" t="s">
        <v>135</v>
      </c>
      <c r="E124" s="435" t="s">
        <v>134</v>
      </c>
      <c r="F124" s="435" t="s">
        <v>135</v>
      </c>
      <c r="G124" s="1" t="s">
        <v>136</v>
      </c>
      <c r="H124" s="1" t="s">
        <v>108</v>
      </c>
      <c r="I124" s="436"/>
      <c r="J124" s="437" t="str">
        <f>+Setup_and_Criteria!$B$13</f>
        <v>Checkouts</v>
      </c>
      <c r="K124" s="437" t="str">
        <f>+Setup_and_Criteria!$B$14</f>
        <v>Pet Rooms</v>
      </c>
      <c r="L124" s="437" t="str">
        <f>+Setup_and_Criteria!$B$15</f>
        <v>2 Rm &amp; Jac Stes</v>
      </c>
      <c r="M124" s="438" t="str">
        <f>+Setup_and_Criteria!$B$16</f>
        <v>Stayovers</v>
      </c>
      <c r="N124" s="269" t="s">
        <v>137</v>
      </c>
      <c r="O124" s="269" t="s">
        <v>138</v>
      </c>
      <c r="P124" s="439" t="s">
        <v>139</v>
      </c>
      <c r="Q124" s="439" t="s">
        <v>140</v>
      </c>
      <c r="R124" s="440" t="str">
        <f>+Corrections!$C$8</f>
        <v>Vanity</v>
      </c>
      <c r="S124" s="440" t="str">
        <f>+Corrections!$I$8</f>
        <v>Toilet</v>
      </c>
      <c r="T124" s="440" t="str">
        <f>+Corrections!$O$8</f>
        <v>Bed/Pillows</v>
      </c>
      <c r="U124" s="440" t="str">
        <f>+Corrections!$U$8</f>
        <v>Floor</v>
      </c>
      <c r="V124" s="440" t="str">
        <f>+Corrections!$AA$8</f>
        <v>Dusting</v>
      </c>
      <c r="W124" s="440" t="str">
        <f>+Corrections!$AG$8</f>
        <v>Fridge/Micro</v>
      </c>
      <c r="X124" s="440" t="str">
        <f>+Corrections!$AM$8</f>
        <v>Tub</v>
      </c>
      <c r="Y124" s="441" t="str">
        <f>+Corrections!$AS$8</f>
        <v>Mirrors/Glass</v>
      </c>
      <c r="Z124" s="440" t="str">
        <f>+Corrections!$AY$8</f>
        <v>Stocking</v>
      </c>
      <c r="AA124" s="440" t="str">
        <f>+Corrections!$BE$8</f>
        <v>Other</v>
      </c>
      <c r="AB124" s="269" t="s">
        <v>141</v>
      </c>
      <c r="AC124" s="269" t="str">
        <f>+$AC$7</f>
        <v>Daily Corr / Inspected Checkout</v>
      </c>
      <c r="AD124" s="889" t="s">
        <v>143</v>
      </c>
      <c r="AE124" s="890"/>
      <c r="AF124" s="890"/>
      <c r="AG124" s="890"/>
      <c r="AH124" s="890"/>
      <c r="AI124" s="891"/>
    </row>
    <row r="125" spans="1:35" x14ac:dyDescent="0.25">
      <c r="A125" s="638"/>
      <c r="C125" s="369"/>
      <c r="D125" s="369"/>
      <c r="E125" s="369"/>
      <c r="F125" s="369"/>
      <c r="G125" s="264">
        <f t="shared" ref="G125:G130" si="73">+(D125-C125)+(F125-E125)</f>
        <v>0</v>
      </c>
      <c r="H125" s="442">
        <f t="shared" ref="H125:H130" si="74">+G125*1440</f>
        <v>0</v>
      </c>
      <c r="J125" s="630"/>
      <c r="K125" s="630"/>
      <c r="L125" s="630"/>
      <c r="M125" s="630"/>
      <c r="N125" s="1">
        <f>IF(C125&gt;0,((J125*Setup_and_Criteria!$F$13)+('M1_1-15th'!K125*Setup_and_Criteria!$F$14)+('M1_1-15th'!L125*Setup_and_Criteria!$F$15)+('M1_1-15th'!M125*Setup_and_Criteria!$F$16)+Setup_and_Criteria!$J$16),0)</f>
        <v>0</v>
      </c>
      <c r="O125" s="442">
        <f>+H125</f>
        <v>0</v>
      </c>
      <c r="P125" s="443">
        <f t="shared" ref="P125:P131" si="75">+N125-O125</f>
        <v>0</v>
      </c>
      <c r="Q125" s="357" t="e">
        <f t="shared" ref="Q125:Q131" si="76">O125/_xlfn.SINGLE(SUM(J125:M125))</f>
        <v>#DIV/0!</v>
      </c>
      <c r="R125" s="630"/>
      <c r="S125" s="630"/>
      <c r="T125" s="630"/>
      <c r="U125" s="630"/>
      <c r="V125" s="630"/>
      <c r="W125" s="630"/>
      <c r="X125" s="630"/>
      <c r="Y125" s="630"/>
      <c r="Z125" s="630"/>
      <c r="AA125" s="630"/>
      <c r="AB125" s="1">
        <f t="shared" ref="AB125:AB131" si="77">SUM(R125:AA125)</f>
        <v>0</v>
      </c>
      <c r="AC125" s="357" t="e">
        <f t="shared" ref="AC125:AC131" si="78">+AB125/(J125+K125+L125)</f>
        <v>#DIV/0!</v>
      </c>
      <c r="AD125" s="864" t="s">
        <v>144</v>
      </c>
      <c r="AE125" s="865"/>
      <c r="AF125" s="865"/>
      <c r="AG125" s="866"/>
      <c r="AH125" s="866"/>
      <c r="AI125" s="867"/>
    </row>
    <row r="126" spans="1:35" x14ac:dyDescent="0.25">
      <c r="A126" s="638"/>
      <c r="C126" s="630"/>
      <c r="D126" s="630"/>
      <c r="E126" s="630"/>
      <c r="F126" s="630"/>
      <c r="G126" s="264">
        <f t="shared" si="73"/>
        <v>0</v>
      </c>
      <c r="H126" s="442">
        <f t="shared" si="74"/>
        <v>0</v>
      </c>
      <c r="J126" s="630"/>
      <c r="K126" s="630"/>
      <c r="L126" s="630"/>
      <c r="M126" s="630"/>
      <c r="N126" s="1">
        <f>IF(C126&gt;0,((J126*Setup_and_Criteria!$F$13)+('M1_1-15th'!K126*Setup_and_Criteria!$F$14)+('M1_1-15th'!L126*Setup_and_Criteria!$F$15)+('M1_1-15th'!M126*Setup_and_Criteria!$F$16)+Setup_and_Criteria!$J$16),0)</f>
        <v>0</v>
      </c>
      <c r="O126" s="442">
        <f t="shared" ref="O126:O131" si="79">+H126</f>
        <v>0</v>
      </c>
      <c r="P126" s="443">
        <f t="shared" si="75"/>
        <v>0</v>
      </c>
      <c r="Q126" s="357" t="e">
        <f t="shared" si="76"/>
        <v>#DIV/0!</v>
      </c>
      <c r="R126" s="630"/>
      <c r="S126" s="630"/>
      <c r="T126" s="630"/>
      <c r="U126" s="630"/>
      <c r="V126" s="630"/>
      <c r="W126" s="630"/>
      <c r="X126" s="630"/>
      <c r="Y126" s="630"/>
      <c r="Z126" s="630"/>
      <c r="AA126" s="630"/>
      <c r="AB126" s="1">
        <f t="shared" si="77"/>
        <v>0</v>
      </c>
      <c r="AC126" s="357" t="e">
        <f t="shared" si="78"/>
        <v>#DIV/0!</v>
      </c>
      <c r="AD126" s="864"/>
      <c r="AE126" s="865"/>
      <c r="AF126" s="865"/>
      <c r="AG126" s="866"/>
      <c r="AH126" s="866"/>
      <c r="AI126" s="867"/>
    </row>
    <row r="127" spans="1:35" x14ac:dyDescent="0.25">
      <c r="A127" s="638"/>
      <c r="C127" s="630"/>
      <c r="D127" s="630"/>
      <c r="E127" s="630"/>
      <c r="F127" s="630"/>
      <c r="G127" s="264">
        <f t="shared" si="73"/>
        <v>0</v>
      </c>
      <c r="H127" s="442">
        <f t="shared" si="74"/>
        <v>0</v>
      </c>
      <c r="J127" s="630"/>
      <c r="K127" s="630"/>
      <c r="L127" s="630"/>
      <c r="M127" s="630"/>
      <c r="N127" s="1">
        <f>IF(C127&gt;0,((J127*Setup_and_Criteria!$F$13)+('M1_1-15th'!K127*Setup_and_Criteria!$F$14)+('M1_1-15th'!L127*Setup_and_Criteria!$F$15)+('M1_1-15th'!M127*Setup_and_Criteria!$F$16)+Setup_and_Criteria!$J$16),0)</f>
        <v>0</v>
      </c>
      <c r="O127" s="442">
        <f t="shared" si="79"/>
        <v>0</v>
      </c>
      <c r="P127" s="443">
        <f t="shared" si="75"/>
        <v>0</v>
      </c>
      <c r="Q127" s="357" t="e">
        <f t="shared" si="76"/>
        <v>#DIV/0!</v>
      </c>
      <c r="R127" s="630"/>
      <c r="S127" s="630"/>
      <c r="T127" s="630"/>
      <c r="U127" s="630"/>
      <c r="V127" s="630"/>
      <c r="W127" s="630"/>
      <c r="X127" s="630"/>
      <c r="Y127" s="630"/>
      <c r="Z127" s="630"/>
      <c r="AA127" s="630"/>
      <c r="AB127" s="1">
        <f t="shared" si="77"/>
        <v>0</v>
      </c>
      <c r="AC127" s="357" t="e">
        <f t="shared" si="78"/>
        <v>#DIV/0!</v>
      </c>
      <c r="AD127" s="864"/>
      <c r="AE127" s="865"/>
      <c r="AF127" s="865"/>
      <c r="AG127" s="866"/>
      <c r="AH127" s="866"/>
      <c r="AI127" s="867"/>
    </row>
    <row r="128" spans="1:35" x14ac:dyDescent="0.25">
      <c r="A128" s="638"/>
      <c r="C128" s="630"/>
      <c r="D128" s="630"/>
      <c r="E128" s="630"/>
      <c r="F128" s="630"/>
      <c r="G128" s="264">
        <f t="shared" si="73"/>
        <v>0</v>
      </c>
      <c r="H128" s="442">
        <f t="shared" si="74"/>
        <v>0</v>
      </c>
      <c r="J128" s="630"/>
      <c r="K128" s="630"/>
      <c r="L128" s="630"/>
      <c r="M128" s="630"/>
      <c r="N128" s="1">
        <f>IF(C128&gt;0,((J128*Setup_and_Criteria!$F$13)+('M1_1-15th'!K128*Setup_and_Criteria!$F$14)+('M1_1-15th'!L128*Setup_and_Criteria!$F$15)+('M1_1-15th'!M128*Setup_and_Criteria!$F$16)+Setup_and_Criteria!$J$16),0)</f>
        <v>0</v>
      </c>
      <c r="O128" s="442">
        <f t="shared" si="79"/>
        <v>0</v>
      </c>
      <c r="P128" s="443">
        <f t="shared" si="75"/>
        <v>0</v>
      </c>
      <c r="Q128" s="357" t="e">
        <f t="shared" si="76"/>
        <v>#DIV/0!</v>
      </c>
      <c r="R128" s="630"/>
      <c r="S128" s="630"/>
      <c r="T128" s="630"/>
      <c r="U128" s="630"/>
      <c r="V128" s="630"/>
      <c r="W128" s="630"/>
      <c r="X128" s="630"/>
      <c r="Y128" s="630"/>
      <c r="Z128" s="630"/>
      <c r="AA128" s="630"/>
      <c r="AB128" s="1">
        <f t="shared" si="77"/>
        <v>0</v>
      </c>
      <c r="AC128" s="357" t="e">
        <f t="shared" si="78"/>
        <v>#DIV/0!</v>
      </c>
      <c r="AD128" s="864"/>
      <c r="AE128" s="865"/>
      <c r="AF128" s="865"/>
      <c r="AG128" s="866"/>
      <c r="AH128" s="866"/>
      <c r="AI128" s="867"/>
    </row>
    <row r="129" spans="1:35" x14ac:dyDescent="0.25">
      <c r="A129" s="638"/>
      <c r="C129" s="630"/>
      <c r="D129" s="630"/>
      <c r="E129" s="630"/>
      <c r="F129" s="630"/>
      <c r="G129" s="264">
        <f t="shared" si="73"/>
        <v>0</v>
      </c>
      <c r="H129" s="442">
        <f t="shared" si="74"/>
        <v>0</v>
      </c>
      <c r="J129" s="630"/>
      <c r="K129" s="630"/>
      <c r="L129" s="630"/>
      <c r="M129" s="630"/>
      <c r="N129" s="1">
        <f>IF(C129&gt;0,((J129*Setup_and_Criteria!$F$13)+('M1_1-15th'!K129*Setup_and_Criteria!$F$14)+('M1_1-15th'!L129*Setup_and_Criteria!$F$15)+('M1_1-15th'!M129*Setup_and_Criteria!$F$16)+Setup_and_Criteria!$J$16),0)</f>
        <v>0</v>
      </c>
      <c r="O129" s="442">
        <f t="shared" si="79"/>
        <v>0</v>
      </c>
      <c r="P129" s="443">
        <f t="shared" si="75"/>
        <v>0</v>
      </c>
      <c r="Q129" s="357" t="e">
        <f t="shared" si="76"/>
        <v>#DIV/0!</v>
      </c>
      <c r="R129" s="630"/>
      <c r="S129" s="630"/>
      <c r="T129" s="630"/>
      <c r="U129" s="630"/>
      <c r="V129" s="630"/>
      <c r="W129" s="630"/>
      <c r="X129" s="630"/>
      <c r="Y129" s="630"/>
      <c r="Z129" s="630"/>
      <c r="AA129" s="630"/>
      <c r="AB129" s="1">
        <f t="shared" si="77"/>
        <v>0</v>
      </c>
      <c r="AC129" s="357" t="e">
        <f t="shared" si="78"/>
        <v>#DIV/0!</v>
      </c>
      <c r="AD129" s="864"/>
      <c r="AE129" s="865"/>
      <c r="AF129" s="865"/>
      <c r="AG129" s="866"/>
      <c r="AH129" s="866"/>
      <c r="AI129" s="867"/>
    </row>
    <row r="130" spans="1:35" ht="15.75" thickBot="1" x14ac:dyDescent="0.3">
      <c r="A130" s="638"/>
      <c r="C130" s="370"/>
      <c r="D130" s="370"/>
      <c r="E130" s="630"/>
      <c r="F130" s="630"/>
      <c r="G130" s="264">
        <f t="shared" si="73"/>
        <v>0</v>
      </c>
      <c r="H130" s="442">
        <f t="shared" si="74"/>
        <v>0</v>
      </c>
      <c r="J130" s="371"/>
      <c r="K130" s="371"/>
      <c r="L130" s="371"/>
      <c r="M130" s="371"/>
      <c r="N130" s="358">
        <f>IF(C130&gt;0,((J130*Setup_and_Criteria!$F$13)+('M1_1-15th'!K130*Setup_and_Criteria!$F$14)+('M1_1-15th'!L130*Setup_and_Criteria!$F$15)+('M1_1-15th'!M130*Setup_and_Criteria!$F$16)+Setup_and_Criteria!$J$16),0)</f>
        <v>0</v>
      </c>
      <c r="O130" s="359">
        <f t="shared" si="79"/>
        <v>0</v>
      </c>
      <c r="P130" s="383">
        <f t="shared" si="75"/>
        <v>0</v>
      </c>
      <c r="Q130" s="360" t="e">
        <f t="shared" si="76"/>
        <v>#DIV/0!</v>
      </c>
      <c r="R130" s="511"/>
      <c r="S130" s="511"/>
      <c r="T130" s="511"/>
      <c r="U130" s="511"/>
      <c r="V130" s="511"/>
      <c r="W130" s="511"/>
      <c r="X130" s="511"/>
      <c r="Y130" s="511"/>
      <c r="Z130" s="511"/>
      <c r="AA130" s="511"/>
      <c r="AB130" s="1">
        <f t="shared" si="77"/>
        <v>0</v>
      </c>
      <c r="AC130" s="357" t="e">
        <f t="shared" si="78"/>
        <v>#DIV/0!</v>
      </c>
      <c r="AD130" s="864"/>
      <c r="AE130" s="865"/>
      <c r="AF130" s="865"/>
      <c r="AG130" s="866"/>
      <c r="AH130" s="866"/>
      <c r="AI130" s="867"/>
    </row>
    <row r="131" spans="1:35" ht="15.75" thickTop="1" x14ac:dyDescent="0.25">
      <c r="A131" s="58"/>
      <c r="H131" s="442">
        <f>SUM(H125:H130)</f>
        <v>0</v>
      </c>
      <c r="J131" s="1">
        <f>SUM(J125:J130)</f>
        <v>0</v>
      </c>
      <c r="K131" s="1">
        <f>SUM(K125:K130)</f>
        <v>0</v>
      </c>
      <c r="L131" s="1">
        <f>SUM(L125:L130)</f>
        <v>0</v>
      </c>
      <c r="M131" s="1">
        <f>SUM(M125:M130)</f>
        <v>0</v>
      </c>
      <c r="N131" s="1">
        <f>SUM(N125:N130)</f>
        <v>0</v>
      </c>
      <c r="O131" s="1">
        <f t="shared" si="79"/>
        <v>0</v>
      </c>
      <c r="P131" s="443">
        <f t="shared" si="75"/>
        <v>0</v>
      </c>
      <c r="Q131" s="357" t="e">
        <f t="shared" si="76"/>
        <v>#DIV/0!</v>
      </c>
      <c r="R131" s="1">
        <f t="shared" ref="R131:AA131" si="80">SUM(R125:R130)</f>
        <v>0</v>
      </c>
      <c r="S131" s="1">
        <f t="shared" si="80"/>
        <v>0</v>
      </c>
      <c r="T131" s="1">
        <f t="shared" si="80"/>
        <v>0</v>
      </c>
      <c r="U131" s="1">
        <f t="shared" si="80"/>
        <v>0</v>
      </c>
      <c r="V131" s="1">
        <f t="shared" si="80"/>
        <v>0</v>
      </c>
      <c r="W131" s="1">
        <f t="shared" si="80"/>
        <v>0</v>
      </c>
      <c r="X131" s="1">
        <f t="shared" si="80"/>
        <v>0</v>
      </c>
      <c r="Y131" s="1">
        <f t="shared" si="80"/>
        <v>0</v>
      </c>
      <c r="Z131" s="1">
        <f t="shared" si="80"/>
        <v>0</v>
      </c>
      <c r="AA131" s="1">
        <f t="shared" si="80"/>
        <v>0</v>
      </c>
      <c r="AB131" s="1">
        <f t="shared" si="77"/>
        <v>0</v>
      </c>
      <c r="AC131" s="357" t="e">
        <f t="shared" si="78"/>
        <v>#DIV/0!</v>
      </c>
      <c r="AD131" s="877"/>
      <c r="AE131" s="878"/>
      <c r="AF131" s="878"/>
      <c r="AG131" s="749"/>
      <c r="AH131" s="749"/>
      <c r="AI131" s="879"/>
    </row>
    <row r="132" spans="1:35" ht="21" customHeight="1" x14ac:dyDescent="0.35">
      <c r="A132" s="58"/>
      <c r="H132" s="442"/>
      <c r="N132" s="888" t="s">
        <v>145</v>
      </c>
      <c r="O132" s="888"/>
      <c r="P132" s="888"/>
      <c r="Q132" s="888"/>
      <c r="R132" s="431" t="s">
        <v>146</v>
      </c>
      <c r="S132" s="431"/>
      <c r="T132" s="431"/>
      <c r="U132" s="431"/>
      <c r="V132" s="431"/>
      <c r="W132" s="431"/>
      <c r="X132" s="431"/>
      <c r="Y132" s="431"/>
      <c r="Z132" s="431"/>
      <c r="AA132" s="431"/>
      <c r="AB132" s="431"/>
      <c r="AC132" s="431"/>
      <c r="AD132" s="880" t="s">
        <v>132</v>
      </c>
      <c r="AE132" s="881"/>
      <c r="AF132" s="881"/>
      <c r="AG132" s="881"/>
      <c r="AH132" s="881"/>
      <c r="AI132" s="882"/>
    </row>
    <row r="133" spans="1:35" ht="31.5" customHeight="1" x14ac:dyDescent="0.35">
      <c r="A133" s="617" t="s">
        <v>147</v>
      </c>
      <c r="C133" s="885" t="s">
        <v>128</v>
      </c>
      <c r="D133" s="885"/>
      <c r="E133" s="885"/>
      <c r="F133" s="885"/>
      <c r="H133" s="442"/>
      <c r="J133" s="444"/>
      <c r="K133" s="445" t="s">
        <v>35</v>
      </c>
      <c r="L133" s="445" t="s">
        <v>148</v>
      </c>
      <c r="N133" s="446" t="s">
        <v>149</v>
      </c>
      <c r="O133" s="447" t="s">
        <v>150</v>
      </c>
      <c r="P133" s="447" t="s">
        <v>138</v>
      </c>
      <c r="Q133" s="447" t="s">
        <v>151</v>
      </c>
      <c r="R133" s="749" t="s">
        <v>152</v>
      </c>
      <c r="S133" s="749"/>
      <c r="T133" s="883" t="s">
        <v>153</v>
      </c>
      <c r="U133" s="883"/>
      <c r="W133" s="425" t="s">
        <v>154</v>
      </c>
      <c r="X133" s="425"/>
      <c r="Y133" s="425"/>
      <c r="Z133" s="425"/>
      <c r="AA133" s="425"/>
      <c r="AB133" s="425"/>
      <c r="AC133" s="425"/>
      <c r="AD133" s="868" t="s">
        <v>160</v>
      </c>
      <c r="AE133" s="869"/>
      <c r="AF133" s="869"/>
      <c r="AG133" s="869"/>
      <c r="AH133" s="869"/>
      <c r="AI133" s="870"/>
    </row>
    <row r="134" spans="1:35" ht="18" customHeight="1" thickBot="1" x14ac:dyDescent="0.3">
      <c r="A134" s="639"/>
      <c r="B134" s="375"/>
      <c r="C134" s="372"/>
      <c r="D134" s="372"/>
      <c r="E134" s="372"/>
      <c r="F134" s="372"/>
      <c r="G134" s="366">
        <f>+(D134-C134)+(F134-E134)</f>
        <v>0</v>
      </c>
      <c r="H134" s="367">
        <f>+G134*1440</f>
        <v>0</v>
      </c>
      <c r="I134" s="859" t="s">
        <v>155</v>
      </c>
      <c r="J134" s="860"/>
      <c r="K134" s="373"/>
      <c r="L134" s="374"/>
      <c r="M134" s="423"/>
      <c r="N134" s="629">
        <f>+J131+L131+K131+K134+L134</f>
        <v>0</v>
      </c>
      <c r="O134" s="368">
        <f>+(Setup_and_Criteria!$K$31+(J131*Setup_and_Criteria!$F$20)+('M1_1-15th'!K131*Setup_and_Criteria!$F$21)+('M1_1-15th'!L131*Setup_and_Criteria!$F$20))+T134+(K134*Setup_and_Criteria!$F$21)+(Setup_and_Criteria!$F$22*'M1_1-15th'!L134)</f>
        <v>75</v>
      </c>
      <c r="P134" s="367">
        <f>+H134</f>
        <v>0</v>
      </c>
      <c r="Q134" s="367">
        <f>+O134-P134</f>
        <v>75</v>
      </c>
      <c r="R134" s="861" t="s">
        <v>252</v>
      </c>
      <c r="S134" s="861"/>
      <c r="T134" s="862"/>
      <c r="U134" s="863"/>
      <c r="V134" s="265" t="s">
        <v>156</v>
      </c>
      <c r="W134" s="854"/>
      <c r="X134" s="855"/>
      <c r="Y134" s="855"/>
      <c r="Z134" s="855"/>
      <c r="AA134" s="855"/>
      <c r="AB134" s="855"/>
      <c r="AC134" s="855"/>
      <c r="AD134" s="868"/>
      <c r="AE134" s="869"/>
      <c r="AF134" s="869"/>
      <c r="AG134" s="869"/>
      <c r="AH134" s="869"/>
      <c r="AI134" s="870"/>
    </row>
    <row r="135" spans="1:35" ht="15.75" thickBot="1" x14ac:dyDescent="0.3">
      <c r="A135" s="449" t="str">
        <f>+A122</f>
        <v>Password to enter data = "Enter Info"</v>
      </c>
      <c r="B135" s="450"/>
      <c r="C135" s="451"/>
      <c r="D135" s="451"/>
      <c r="E135" s="451"/>
      <c r="F135" s="451"/>
      <c r="G135" s="451"/>
      <c r="H135" s="451"/>
      <c r="I135" s="450"/>
      <c r="J135" s="451"/>
      <c r="K135" s="451"/>
      <c r="L135" s="451"/>
      <c r="M135" s="451"/>
      <c r="N135" s="451"/>
      <c r="O135" s="451"/>
      <c r="P135" s="451"/>
      <c r="Q135" s="450"/>
      <c r="R135" s="451"/>
      <c r="S135" s="451"/>
      <c r="T135" s="451"/>
      <c r="U135" s="451"/>
      <c r="V135" s="451"/>
      <c r="W135" s="451"/>
      <c r="X135" s="451"/>
      <c r="Y135" s="451"/>
      <c r="Z135" s="451"/>
      <c r="AA135" s="451"/>
      <c r="AB135" s="450"/>
      <c r="AC135" s="450"/>
      <c r="AD135" s="871"/>
      <c r="AE135" s="872"/>
      <c r="AF135" s="872"/>
      <c r="AG135" s="872"/>
      <c r="AH135" s="872"/>
      <c r="AI135" s="873"/>
    </row>
    <row r="136" spans="1:35" ht="35.25" customHeight="1" x14ac:dyDescent="0.4">
      <c r="A136" s="434" t="str">
        <f>+A123</f>
        <v>May</v>
      </c>
      <c r="B136" s="624">
        <f>+B123+1</f>
        <v>11</v>
      </c>
      <c r="C136" s="884" t="s">
        <v>128</v>
      </c>
      <c r="D136" s="884"/>
      <c r="E136" s="884"/>
      <c r="F136" s="884"/>
      <c r="G136" s="377"/>
      <c r="H136" s="377"/>
      <c r="I136" s="21"/>
      <c r="J136" s="874" t="s">
        <v>129</v>
      </c>
      <c r="K136" s="875"/>
      <c r="L136" s="875"/>
      <c r="M136" s="875"/>
      <c r="N136" s="876" t="s">
        <v>130</v>
      </c>
      <c r="O136" s="876"/>
      <c r="P136" s="876"/>
      <c r="Q136" s="876"/>
      <c r="R136" s="424" t="str">
        <f>+R123</f>
        <v xml:space="preserve"> Corrections Tracking - Check out rooms</v>
      </c>
      <c r="S136" s="424"/>
      <c r="T136" s="424"/>
      <c r="U136" s="424"/>
      <c r="V136" s="424"/>
      <c r="W136" s="424"/>
      <c r="X136" s="424"/>
      <c r="Y136" s="424"/>
      <c r="Z136" s="424"/>
      <c r="AA136" s="424"/>
      <c r="AB136" s="424"/>
      <c r="AC136" s="424"/>
      <c r="AD136" s="461" t="s">
        <v>132</v>
      </c>
      <c r="AE136" s="426"/>
      <c r="AF136" s="426"/>
      <c r="AG136" s="426"/>
      <c r="AH136" s="426"/>
      <c r="AI136" s="427"/>
    </row>
    <row r="137" spans="1:35" ht="59.25" customHeight="1" x14ac:dyDescent="0.25">
      <c r="A137" s="378" t="s">
        <v>133</v>
      </c>
      <c r="C137" s="435" t="s">
        <v>134</v>
      </c>
      <c r="D137" s="435" t="s">
        <v>135</v>
      </c>
      <c r="E137" s="435" t="s">
        <v>134</v>
      </c>
      <c r="F137" s="435" t="s">
        <v>135</v>
      </c>
      <c r="G137" s="1" t="s">
        <v>136</v>
      </c>
      <c r="H137" s="1" t="s">
        <v>108</v>
      </c>
      <c r="I137" s="436"/>
      <c r="J137" s="437" t="str">
        <f>+Setup_and_Criteria!$B$13</f>
        <v>Checkouts</v>
      </c>
      <c r="K137" s="437" t="str">
        <f>+Setup_and_Criteria!$B$14</f>
        <v>Pet Rooms</v>
      </c>
      <c r="L137" s="437" t="str">
        <f>+Setup_and_Criteria!$B$15</f>
        <v>2 Rm &amp; Jac Stes</v>
      </c>
      <c r="M137" s="438" t="str">
        <f>+Setup_and_Criteria!$B$16</f>
        <v>Stayovers</v>
      </c>
      <c r="N137" s="269" t="s">
        <v>137</v>
      </c>
      <c r="O137" s="269" t="s">
        <v>138</v>
      </c>
      <c r="P137" s="439" t="s">
        <v>139</v>
      </c>
      <c r="Q137" s="439" t="s">
        <v>140</v>
      </c>
      <c r="R137" s="440" t="str">
        <f>+Corrections!$C$8</f>
        <v>Vanity</v>
      </c>
      <c r="S137" s="440" t="str">
        <f>+Corrections!$I$8</f>
        <v>Toilet</v>
      </c>
      <c r="T137" s="440" t="str">
        <f>+Corrections!$O$8</f>
        <v>Bed/Pillows</v>
      </c>
      <c r="U137" s="440" t="str">
        <f>+Corrections!$U$8</f>
        <v>Floor</v>
      </c>
      <c r="V137" s="440" t="str">
        <f>+Corrections!$AA$8</f>
        <v>Dusting</v>
      </c>
      <c r="W137" s="440" t="str">
        <f>+Corrections!$AG$8</f>
        <v>Fridge/Micro</v>
      </c>
      <c r="X137" s="440" t="str">
        <f>+Corrections!$AM$8</f>
        <v>Tub</v>
      </c>
      <c r="Y137" s="441" t="str">
        <f>+Corrections!$AS$8</f>
        <v>Mirrors/Glass</v>
      </c>
      <c r="Z137" s="440" t="str">
        <f>+Corrections!$AY$8</f>
        <v>Stocking</v>
      </c>
      <c r="AA137" s="440" t="str">
        <f>+Corrections!$BE$8</f>
        <v>Other</v>
      </c>
      <c r="AB137" s="269" t="s">
        <v>141</v>
      </c>
      <c r="AC137" s="269" t="str">
        <f>+$AC$7</f>
        <v>Daily Corr / Inspected Checkout</v>
      </c>
      <c r="AD137" s="889" t="s">
        <v>143</v>
      </c>
      <c r="AE137" s="890"/>
      <c r="AF137" s="890"/>
      <c r="AG137" s="890"/>
      <c r="AH137" s="890"/>
      <c r="AI137" s="891"/>
    </row>
    <row r="138" spans="1:35" x14ac:dyDescent="0.25">
      <c r="A138" s="638"/>
      <c r="C138" s="369"/>
      <c r="D138" s="369"/>
      <c r="E138" s="369"/>
      <c r="F138" s="369"/>
      <c r="G138" s="264">
        <f t="shared" ref="G138:G143" si="81">+(D138-C138)+(F138-E138)</f>
        <v>0</v>
      </c>
      <c r="H138" s="442">
        <f t="shared" ref="H138:H143" si="82">+G138*1440</f>
        <v>0</v>
      </c>
      <c r="J138" s="630"/>
      <c r="K138" s="630"/>
      <c r="L138" s="630"/>
      <c r="M138" s="630"/>
      <c r="N138" s="1">
        <f>IF(C138&gt;0,((J138*Setup_and_Criteria!$F$13)+('M1_1-15th'!K138*Setup_and_Criteria!$F$14)+('M1_1-15th'!L138*Setup_and_Criteria!$F$15)+('M1_1-15th'!M138*Setup_and_Criteria!$F$16)+Setup_and_Criteria!$J$16),0)</f>
        <v>0</v>
      </c>
      <c r="O138" s="442">
        <f>+H138</f>
        <v>0</v>
      </c>
      <c r="P138" s="443">
        <f t="shared" ref="P138:P144" si="83">+N138-O138</f>
        <v>0</v>
      </c>
      <c r="Q138" s="357" t="e">
        <f t="shared" ref="Q138:Q144" si="84">O138/_xlfn.SINGLE(SUM(J138:M138))</f>
        <v>#DIV/0!</v>
      </c>
      <c r="R138" s="630"/>
      <c r="S138" s="630"/>
      <c r="T138" s="630"/>
      <c r="U138" s="630"/>
      <c r="V138" s="630"/>
      <c r="W138" s="630"/>
      <c r="X138" s="630"/>
      <c r="Y138" s="630"/>
      <c r="Z138" s="630"/>
      <c r="AA138" s="630"/>
      <c r="AB138" s="1">
        <f t="shared" ref="AB138:AB144" si="85">SUM(R138:AA138)</f>
        <v>0</v>
      </c>
      <c r="AC138" s="357" t="e">
        <f t="shared" ref="AC138:AC144" si="86">+AB138/(J138+K138+L138)</f>
        <v>#DIV/0!</v>
      </c>
      <c r="AD138" s="864" t="s">
        <v>144</v>
      </c>
      <c r="AE138" s="865"/>
      <c r="AF138" s="865"/>
      <c r="AG138" s="866"/>
      <c r="AH138" s="866"/>
      <c r="AI138" s="867"/>
    </row>
    <row r="139" spans="1:35" x14ac:dyDescent="0.25">
      <c r="A139" s="638"/>
      <c r="C139" s="630"/>
      <c r="D139" s="630"/>
      <c r="E139" s="630"/>
      <c r="F139" s="630"/>
      <c r="G139" s="264">
        <f t="shared" si="81"/>
        <v>0</v>
      </c>
      <c r="H139" s="442">
        <f t="shared" si="82"/>
        <v>0</v>
      </c>
      <c r="J139" s="630"/>
      <c r="K139" s="630"/>
      <c r="L139" s="630"/>
      <c r="M139" s="630"/>
      <c r="N139" s="1">
        <f>IF(C139&gt;0,((J139*Setup_and_Criteria!$F$13)+('M1_1-15th'!K139*Setup_and_Criteria!$F$14)+('M1_1-15th'!L139*Setup_and_Criteria!$F$15)+('M1_1-15th'!M139*Setup_and_Criteria!$F$16)+Setup_and_Criteria!$J$16),0)</f>
        <v>0</v>
      </c>
      <c r="O139" s="442">
        <f t="shared" ref="O139:O144" si="87">+H139</f>
        <v>0</v>
      </c>
      <c r="P139" s="443">
        <f t="shared" si="83"/>
        <v>0</v>
      </c>
      <c r="Q139" s="357" t="e">
        <f t="shared" si="84"/>
        <v>#DIV/0!</v>
      </c>
      <c r="R139" s="630"/>
      <c r="S139" s="630"/>
      <c r="T139" s="630"/>
      <c r="U139" s="630"/>
      <c r="V139" s="630"/>
      <c r="W139" s="630"/>
      <c r="X139" s="630"/>
      <c r="Y139" s="630"/>
      <c r="Z139" s="630"/>
      <c r="AA139" s="630"/>
      <c r="AB139" s="1">
        <f t="shared" si="85"/>
        <v>0</v>
      </c>
      <c r="AC139" s="357" t="e">
        <f t="shared" si="86"/>
        <v>#DIV/0!</v>
      </c>
      <c r="AD139" s="864"/>
      <c r="AE139" s="865"/>
      <c r="AF139" s="865"/>
      <c r="AG139" s="866"/>
      <c r="AH139" s="866"/>
      <c r="AI139" s="867"/>
    </row>
    <row r="140" spans="1:35" x14ac:dyDescent="0.25">
      <c r="A140" s="638"/>
      <c r="C140" s="630"/>
      <c r="D140" s="630"/>
      <c r="E140" s="630"/>
      <c r="F140" s="630"/>
      <c r="G140" s="264">
        <f t="shared" si="81"/>
        <v>0</v>
      </c>
      <c r="H140" s="442">
        <f t="shared" si="82"/>
        <v>0</v>
      </c>
      <c r="J140" s="630"/>
      <c r="K140" s="630"/>
      <c r="L140" s="630"/>
      <c r="M140" s="630"/>
      <c r="N140" s="1">
        <f>IF(C140&gt;0,((J140*Setup_and_Criteria!$F$13)+('M1_1-15th'!K140*Setup_and_Criteria!$F$14)+('M1_1-15th'!L140*Setup_and_Criteria!$F$15)+('M1_1-15th'!M140*Setup_and_Criteria!$F$16)+Setup_and_Criteria!$J$16),0)</f>
        <v>0</v>
      </c>
      <c r="O140" s="442">
        <f t="shared" si="87"/>
        <v>0</v>
      </c>
      <c r="P140" s="443">
        <f t="shared" si="83"/>
        <v>0</v>
      </c>
      <c r="Q140" s="357" t="e">
        <f t="shared" si="84"/>
        <v>#DIV/0!</v>
      </c>
      <c r="R140" s="630"/>
      <c r="S140" s="630"/>
      <c r="T140" s="630"/>
      <c r="U140" s="630"/>
      <c r="V140" s="630"/>
      <c r="W140" s="630"/>
      <c r="X140" s="630"/>
      <c r="Y140" s="630"/>
      <c r="Z140" s="630"/>
      <c r="AA140" s="630"/>
      <c r="AB140" s="1">
        <f t="shared" si="85"/>
        <v>0</v>
      </c>
      <c r="AC140" s="357" t="e">
        <f t="shared" si="86"/>
        <v>#DIV/0!</v>
      </c>
      <c r="AD140" s="864"/>
      <c r="AE140" s="865"/>
      <c r="AF140" s="865"/>
      <c r="AG140" s="866"/>
      <c r="AH140" s="866"/>
      <c r="AI140" s="867"/>
    </row>
    <row r="141" spans="1:35" x14ac:dyDescent="0.25">
      <c r="A141" s="638"/>
      <c r="C141" s="630"/>
      <c r="D141" s="630"/>
      <c r="E141" s="630"/>
      <c r="F141" s="630"/>
      <c r="G141" s="264">
        <f t="shared" si="81"/>
        <v>0</v>
      </c>
      <c r="H141" s="442">
        <f t="shared" si="82"/>
        <v>0</v>
      </c>
      <c r="J141" s="630"/>
      <c r="K141" s="630"/>
      <c r="L141" s="630"/>
      <c r="M141" s="630"/>
      <c r="N141" s="1">
        <f>IF(C141&gt;0,((J141*Setup_and_Criteria!$F$13)+('M1_1-15th'!K141*Setup_and_Criteria!$F$14)+('M1_1-15th'!L141*Setup_and_Criteria!$F$15)+('M1_1-15th'!M141*Setup_and_Criteria!$F$16)+Setup_and_Criteria!$J$16),0)</f>
        <v>0</v>
      </c>
      <c r="O141" s="442">
        <f t="shared" si="87"/>
        <v>0</v>
      </c>
      <c r="P141" s="443">
        <f t="shared" si="83"/>
        <v>0</v>
      </c>
      <c r="Q141" s="357" t="e">
        <f t="shared" si="84"/>
        <v>#DIV/0!</v>
      </c>
      <c r="R141" s="630"/>
      <c r="S141" s="630"/>
      <c r="T141" s="630"/>
      <c r="U141" s="630"/>
      <c r="V141" s="630"/>
      <c r="W141" s="630"/>
      <c r="X141" s="630"/>
      <c r="Y141" s="630"/>
      <c r="Z141" s="630"/>
      <c r="AA141" s="630"/>
      <c r="AB141" s="1">
        <f t="shared" si="85"/>
        <v>0</v>
      </c>
      <c r="AC141" s="357" t="e">
        <f t="shared" si="86"/>
        <v>#DIV/0!</v>
      </c>
      <c r="AD141" s="864"/>
      <c r="AE141" s="865"/>
      <c r="AF141" s="865"/>
      <c r="AG141" s="866"/>
      <c r="AH141" s="866"/>
      <c r="AI141" s="867"/>
    </row>
    <row r="142" spans="1:35" x14ac:dyDescent="0.25">
      <c r="A142" s="638"/>
      <c r="C142" s="630"/>
      <c r="D142" s="630"/>
      <c r="E142" s="630"/>
      <c r="F142" s="630"/>
      <c r="G142" s="264">
        <f t="shared" si="81"/>
        <v>0</v>
      </c>
      <c r="H142" s="442">
        <f t="shared" si="82"/>
        <v>0</v>
      </c>
      <c r="J142" s="630"/>
      <c r="K142" s="630"/>
      <c r="L142" s="630"/>
      <c r="M142" s="630"/>
      <c r="N142" s="1">
        <f>IF(C142&gt;0,((J142*Setup_and_Criteria!$F$13)+('M1_1-15th'!K142*Setup_and_Criteria!$F$14)+('M1_1-15th'!L142*Setup_and_Criteria!$F$15)+('M1_1-15th'!M142*Setup_and_Criteria!$F$16)+Setup_and_Criteria!$J$16),0)</f>
        <v>0</v>
      </c>
      <c r="O142" s="442">
        <f t="shared" si="87"/>
        <v>0</v>
      </c>
      <c r="P142" s="443">
        <f t="shared" si="83"/>
        <v>0</v>
      </c>
      <c r="Q142" s="357" t="e">
        <f t="shared" si="84"/>
        <v>#DIV/0!</v>
      </c>
      <c r="R142" s="630"/>
      <c r="S142" s="630"/>
      <c r="T142" s="630"/>
      <c r="U142" s="630"/>
      <c r="V142" s="630"/>
      <c r="W142" s="630"/>
      <c r="X142" s="630"/>
      <c r="Y142" s="630"/>
      <c r="Z142" s="630"/>
      <c r="AA142" s="630"/>
      <c r="AB142" s="1">
        <f t="shared" si="85"/>
        <v>0</v>
      </c>
      <c r="AC142" s="357" t="e">
        <f t="shared" si="86"/>
        <v>#DIV/0!</v>
      </c>
      <c r="AD142" s="864"/>
      <c r="AE142" s="865"/>
      <c r="AF142" s="865"/>
      <c r="AG142" s="866"/>
      <c r="AH142" s="866"/>
      <c r="AI142" s="867"/>
    </row>
    <row r="143" spans="1:35" ht="15.75" thickBot="1" x14ac:dyDescent="0.3">
      <c r="A143" s="638"/>
      <c r="C143" s="370"/>
      <c r="D143" s="370"/>
      <c r="E143" s="630"/>
      <c r="F143" s="630"/>
      <c r="G143" s="264">
        <f t="shared" si="81"/>
        <v>0</v>
      </c>
      <c r="H143" s="442">
        <f t="shared" si="82"/>
        <v>0</v>
      </c>
      <c r="J143" s="371"/>
      <c r="K143" s="371"/>
      <c r="L143" s="371"/>
      <c r="M143" s="371"/>
      <c r="N143" s="358">
        <f>IF(C143&gt;0,((J143*Setup_and_Criteria!$F$13)+('M1_1-15th'!K143*Setup_and_Criteria!$F$14)+('M1_1-15th'!L143*Setup_and_Criteria!$F$15)+('M1_1-15th'!M143*Setup_and_Criteria!$F$16)+Setup_and_Criteria!$J$16),0)</f>
        <v>0</v>
      </c>
      <c r="O143" s="359">
        <f t="shared" si="87"/>
        <v>0</v>
      </c>
      <c r="P143" s="383">
        <f t="shared" si="83"/>
        <v>0</v>
      </c>
      <c r="Q143" s="360" t="e">
        <f t="shared" si="84"/>
        <v>#DIV/0!</v>
      </c>
      <c r="R143" s="511"/>
      <c r="S143" s="511"/>
      <c r="T143" s="511"/>
      <c r="U143" s="511"/>
      <c r="V143" s="511"/>
      <c r="W143" s="511"/>
      <c r="X143" s="511"/>
      <c r="Y143" s="511"/>
      <c r="Z143" s="511"/>
      <c r="AA143" s="511"/>
      <c r="AB143" s="1">
        <f t="shared" si="85"/>
        <v>0</v>
      </c>
      <c r="AC143" s="357" t="e">
        <f t="shared" si="86"/>
        <v>#DIV/0!</v>
      </c>
      <c r="AD143" s="864"/>
      <c r="AE143" s="865"/>
      <c r="AF143" s="865"/>
      <c r="AG143" s="866"/>
      <c r="AH143" s="866"/>
      <c r="AI143" s="867"/>
    </row>
    <row r="144" spans="1:35" ht="15.75" thickTop="1" x14ac:dyDescent="0.25">
      <c r="A144" s="58"/>
      <c r="H144" s="442">
        <f>SUM(H138:H143)</f>
        <v>0</v>
      </c>
      <c r="J144" s="1">
        <f>SUM(J138:J143)</f>
        <v>0</v>
      </c>
      <c r="K144" s="1">
        <f>SUM(K138:K143)</f>
        <v>0</v>
      </c>
      <c r="L144" s="1">
        <f>SUM(L138:L143)</f>
        <v>0</v>
      </c>
      <c r="M144" s="1">
        <f>SUM(M138:M143)</f>
        <v>0</v>
      </c>
      <c r="N144" s="1">
        <f>SUM(N138:N143)</f>
        <v>0</v>
      </c>
      <c r="O144" s="1">
        <f t="shared" si="87"/>
        <v>0</v>
      </c>
      <c r="P144" s="443">
        <f t="shared" si="83"/>
        <v>0</v>
      </c>
      <c r="Q144" s="357" t="e">
        <f t="shared" si="84"/>
        <v>#DIV/0!</v>
      </c>
      <c r="R144" s="1">
        <f t="shared" ref="R144:AA144" si="88">SUM(R138:R143)</f>
        <v>0</v>
      </c>
      <c r="S144" s="1">
        <f t="shared" si="88"/>
        <v>0</v>
      </c>
      <c r="T144" s="1">
        <f t="shared" si="88"/>
        <v>0</v>
      </c>
      <c r="U144" s="1">
        <f t="shared" si="88"/>
        <v>0</v>
      </c>
      <c r="V144" s="1">
        <f t="shared" si="88"/>
        <v>0</v>
      </c>
      <c r="W144" s="1">
        <f t="shared" si="88"/>
        <v>0</v>
      </c>
      <c r="X144" s="1">
        <f t="shared" si="88"/>
        <v>0</v>
      </c>
      <c r="Y144" s="1">
        <f t="shared" si="88"/>
        <v>0</v>
      </c>
      <c r="Z144" s="1">
        <f t="shared" si="88"/>
        <v>0</v>
      </c>
      <c r="AA144" s="1">
        <f t="shared" si="88"/>
        <v>0</v>
      </c>
      <c r="AB144" s="1">
        <f t="shared" si="85"/>
        <v>0</v>
      </c>
      <c r="AC144" s="357" t="e">
        <f t="shared" si="86"/>
        <v>#DIV/0!</v>
      </c>
      <c r="AD144" s="877"/>
      <c r="AE144" s="878"/>
      <c r="AF144" s="878"/>
      <c r="AG144" s="749"/>
      <c r="AH144" s="749"/>
      <c r="AI144" s="879"/>
    </row>
    <row r="145" spans="1:35" ht="21" customHeight="1" x14ac:dyDescent="0.35">
      <c r="A145" s="58"/>
      <c r="H145" s="442"/>
      <c r="N145" s="888" t="s">
        <v>145</v>
      </c>
      <c r="O145" s="888"/>
      <c r="P145" s="888"/>
      <c r="Q145" s="888"/>
      <c r="R145" s="431" t="s">
        <v>146</v>
      </c>
      <c r="S145" s="431"/>
      <c r="T145" s="431"/>
      <c r="U145" s="431"/>
      <c r="V145" s="431"/>
      <c r="W145" s="431"/>
      <c r="X145" s="431"/>
      <c r="Y145" s="431"/>
      <c r="Z145" s="431"/>
      <c r="AA145" s="431"/>
      <c r="AB145" s="431"/>
      <c r="AC145" s="431"/>
      <c r="AD145" s="880" t="s">
        <v>132</v>
      </c>
      <c r="AE145" s="881"/>
      <c r="AF145" s="881"/>
      <c r="AG145" s="881"/>
      <c r="AH145" s="881"/>
      <c r="AI145" s="882"/>
    </row>
    <row r="146" spans="1:35" ht="31.5" customHeight="1" x14ac:dyDescent="0.35">
      <c r="A146" s="617" t="s">
        <v>147</v>
      </c>
      <c r="C146" s="885" t="s">
        <v>128</v>
      </c>
      <c r="D146" s="885"/>
      <c r="E146" s="885"/>
      <c r="F146" s="885"/>
      <c r="H146" s="442"/>
      <c r="J146" s="444"/>
      <c r="K146" s="445" t="s">
        <v>35</v>
      </c>
      <c r="L146" s="445" t="s">
        <v>148</v>
      </c>
      <c r="N146" s="446" t="s">
        <v>149</v>
      </c>
      <c r="O146" s="447" t="s">
        <v>150</v>
      </c>
      <c r="P146" s="447" t="s">
        <v>138</v>
      </c>
      <c r="Q146" s="447" t="s">
        <v>151</v>
      </c>
      <c r="R146" s="749" t="s">
        <v>152</v>
      </c>
      <c r="S146" s="749"/>
      <c r="T146" s="883" t="s">
        <v>153</v>
      </c>
      <c r="U146" s="883"/>
      <c r="W146" s="425" t="s">
        <v>154</v>
      </c>
      <c r="X146" s="425"/>
      <c r="Y146" s="425"/>
      <c r="Z146" s="425"/>
      <c r="AA146" s="425"/>
      <c r="AB146" s="425"/>
      <c r="AC146" s="425"/>
      <c r="AD146" s="868" t="s">
        <v>160</v>
      </c>
      <c r="AE146" s="869"/>
      <c r="AF146" s="869"/>
      <c r="AG146" s="869"/>
      <c r="AH146" s="869"/>
      <c r="AI146" s="870"/>
    </row>
    <row r="147" spans="1:35" ht="18" customHeight="1" thickBot="1" x14ac:dyDescent="0.3">
      <c r="A147" s="639"/>
      <c r="B147" s="375"/>
      <c r="C147" s="372"/>
      <c r="D147" s="372"/>
      <c r="E147" s="372"/>
      <c r="F147" s="372"/>
      <c r="G147" s="366">
        <f>+(D147-C147)+(F147-E147)</f>
        <v>0</v>
      </c>
      <c r="H147" s="367">
        <f>+G147*1440</f>
        <v>0</v>
      </c>
      <c r="I147" s="859" t="s">
        <v>155</v>
      </c>
      <c r="J147" s="860"/>
      <c r="K147" s="373"/>
      <c r="L147" s="374"/>
      <c r="M147" s="423"/>
      <c r="N147" s="629">
        <f>+J144+L144+K144+K147+L147</f>
        <v>0</v>
      </c>
      <c r="O147" s="368">
        <f>+(Setup_and_Criteria!$K$31+(J144*Setup_and_Criteria!$F$20)+('M1_1-15th'!K144*Setup_and_Criteria!$F$21)+('M1_1-15th'!L144*Setup_and_Criteria!$F$20))+T147+(K147*Setup_and_Criteria!$F$21)+(Setup_and_Criteria!$F$22*'M1_1-15th'!L147)</f>
        <v>75</v>
      </c>
      <c r="P147" s="367">
        <f>+H147</f>
        <v>0</v>
      </c>
      <c r="Q147" s="367">
        <f>+O147-P147</f>
        <v>75</v>
      </c>
      <c r="R147" s="861" t="s">
        <v>252</v>
      </c>
      <c r="S147" s="861"/>
      <c r="T147" s="862"/>
      <c r="U147" s="863"/>
      <c r="V147" s="265" t="s">
        <v>156</v>
      </c>
      <c r="W147" s="854"/>
      <c r="X147" s="855"/>
      <c r="Y147" s="855"/>
      <c r="Z147" s="855"/>
      <c r="AA147" s="855"/>
      <c r="AB147" s="855"/>
      <c r="AC147" s="855"/>
      <c r="AD147" s="868"/>
      <c r="AE147" s="869"/>
      <c r="AF147" s="869"/>
      <c r="AG147" s="869"/>
      <c r="AH147" s="869"/>
      <c r="AI147" s="870"/>
    </row>
    <row r="148" spans="1:35" ht="15.75" thickBot="1" x14ac:dyDescent="0.3">
      <c r="A148" s="449" t="str">
        <f>+A135</f>
        <v>Password to enter data = "Enter Info"</v>
      </c>
      <c r="B148" s="450"/>
      <c r="C148" s="451"/>
      <c r="D148" s="451"/>
      <c r="E148" s="451"/>
      <c r="F148" s="451"/>
      <c r="G148" s="451"/>
      <c r="H148" s="451"/>
      <c r="I148" s="450"/>
      <c r="J148" s="451"/>
      <c r="K148" s="451"/>
      <c r="L148" s="451"/>
      <c r="M148" s="451"/>
      <c r="N148" s="451"/>
      <c r="O148" s="451"/>
      <c r="P148" s="451"/>
      <c r="Q148" s="450"/>
      <c r="R148" s="451"/>
      <c r="S148" s="451"/>
      <c r="T148" s="451"/>
      <c r="U148" s="451"/>
      <c r="V148" s="451"/>
      <c r="W148" s="451"/>
      <c r="X148" s="451"/>
      <c r="Y148" s="451"/>
      <c r="Z148" s="451"/>
      <c r="AA148" s="451"/>
      <c r="AB148" s="450"/>
      <c r="AC148" s="450"/>
      <c r="AD148" s="871"/>
      <c r="AE148" s="872"/>
      <c r="AF148" s="872"/>
      <c r="AG148" s="872"/>
      <c r="AH148" s="872"/>
      <c r="AI148" s="873"/>
    </row>
    <row r="149" spans="1:35" ht="35.25" customHeight="1" x14ac:dyDescent="0.4">
      <c r="A149" s="434" t="str">
        <f>+A136</f>
        <v>May</v>
      </c>
      <c r="B149" s="624">
        <f>+B136+1</f>
        <v>12</v>
      </c>
      <c r="C149" s="884" t="s">
        <v>128</v>
      </c>
      <c r="D149" s="884"/>
      <c r="E149" s="884"/>
      <c r="F149" s="884"/>
      <c r="G149" s="377"/>
      <c r="H149" s="377"/>
      <c r="I149" s="21"/>
      <c r="J149" s="874" t="s">
        <v>129</v>
      </c>
      <c r="K149" s="875"/>
      <c r="L149" s="875"/>
      <c r="M149" s="875"/>
      <c r="N149" s="876" t="s">
        <v>130</v>
      </c>
      <c r="O149" s="876"/>
      <c r="P149" s="876"/>
      <c r="Q149" s="876"/>
      <c r="R149" s="424" t="str">
        <f>+R136</f>
        <v xml:space="preserve"> Corrections Tracking - Check out rooms</v>
      </c>
      <c r="S149" s="424"/>
      <c r="T149" s="424"/>
      <c r="U149" s="424"/>
      <c r="V149" s="424"/>
      <c r="W149" s="424"/>
      <c r="X149" s="424"/>
      <c r="Y149" s="424"/>
      <c r="Z149" s="424"/>
      <c r="AA149" s="424"/>
      <c r="AB149" s="424"/>
      <c r="AC149" s="424"/>
      <c r="AD149" s="461" t="s">
        <v>132</v>
      </c>
      <c r="AE149" s="426"/>
      <c r="AF149" s="426"/>
      <c r="AG149" s="426"/>
      <c r="AH149" s="426"/>
      <c r="AI149" s="427"/>
    </row>
    <row r="150" spans="1:35" ht="59.25" customHeight="1" x14ac:dyDescent="0.25">
      <c r="A150" s="378" t="s">
        <v>133</v>
      </c>
      <c r="C150" s="435" t="s">
        <v>134</v>
      </c>
      <c r="D150" s="435" t="s">
        <v>135</v>
      </c>
      <c r="E150" s="435" t="s">
        <v>134</v>
      </c>
      <c r="F150" s="435" t="s">
        <v>135</v>
      </c>
      <c r="G150" s="1" t="s">
        <v>136</v>
      </c>
      <c r="H150" s="1" t="s">
        <v>108</v>
      </c>
      <c r="I150" s="436"/>
      <c r="J150" s="437" t="str">
        <f>+Setup_and_Criteria!$B$13</f>
        <v>Checkouts</v>
      </c>
      <c r="K150" s="437" t="str">
        <f>+Setup_and_Criteria!$B$14</f>
        <v>Pet Rooms</v>
      </c>
      <c r="L150" s="437" t="str">
        <f>+Setup_and_Criteria!$B$15</f>
        <v>2 Rm &amp; Jac Stes</v>
      </c>
      <c r="M150" s="438" t="str">
        <f>+Setup_and_Criteria!$B$16</f>
        <v>Stayovers</v>
      </c>
      <c r="N150" s="269" t="s">
        <v>137</v>
      </c>
      <c r="O150" s="269" t="s">
        <v>138</v>
      </c>
      <c r="P150" s="439" t="s">
        <v>139</v>
      </c>
      <c r="Q150" s="439" t="s">
        <v>140</v>
      </c>
      <c r="R150" s="440" t="str">
        <f>+Corrections!$C$8</f>
        <v>Vanity</v>
      </c>
      <c r="S150" s="440" t="str">
        <f>+Corrections!$I$8</f>
        <v>Toilet</v>
      </c>
      <c r="T150" s="440" t="str">
        <f>+Corrections!$O$8</f>
        <v>Bed/Pillows</v>
      </c>
      <c r="U150" s="440" t="str">
        <f>+Corrections!$U$8</f>
        <v>Floor</v>
      </c>
      <c r="V150" s="440" t="str">
        <f>+Corrections!$AA$8</f>
        <v>Dusting</v>
      </c>
      <c r="W150" s="440" t="str">
        <f>+Corrections!$AG$8</f>
        <v>Fridge/Micro</v>
      </c>
      <c r="X150" s="440" t="str">
        <f>+Corrections!$AM$8</f>
        <v>Tub</v>
      </c>
      <c r="Y150" s="441" t="str">
        <f>+Corrections!$AS$8</f>
        <v>Mirrors/Glass</v>
      </c>
      <c r="Z150" s="440" t="str">
        <f>+Corrections!$AY$8</f>
        <v>Stocking</v>
      </c>
      <c r="AA150" s="440" t="str">
        <f>+Corrections!$BE$8</f>
        <v>Other</v>
      </c>
      <c r="AB150" s="269" t="s">
        <v>141</v>
      </c>
      <c r="AC150" s="269" t="str">
        <f>+$AC$7</f>
        <v>Daily Corr / Inspected Checkout</v>
      </c>
      <c r="AD150" s="889" t="s">
        <v>143</v>
      </c>
      <c r="AE150" s="890"/>
      <c r="AF150" s="890"/>
      <c r="AG150" s="890"/>
      <c r="AH150" s="890"/>
      <c r="AI150" s="891"/>
    </row>
    <row r="151" spans="1:35" x14ac:dyDescent="0.25">
      <c r="A151" s="638"/>
      <c r="C151" s="369"/>
      <c r="D151" s="369"/>
      <c r="E151" s="369"/>
      <c r="F151" s="369"/>
      <c r="G151" s="264">
        <f t="shared" ref="G151:G156" si="89">+(D151-C151)+(F151-E151)</f>
        <v>0</v>
      </c>
      <c r="H151" s="442">
        <f t="shared" ref="H151:H156" si="90">+G151*1440</f>
        <v>0</v>
      </c>
      <c r="J151" s="630"/>
      <c r="K151" s="630"/>
      <c r="L151" s="630"/>
      <c r="M151" s="630"/>
      <c r="N151" s="1">
        <f>IF(C151&gt;0,((J151*Setup_and_Criteria!$F$13)+('M1_1-15th'!K151*Setup_and_Criteria!$F$14)+('M1_1-15th'!L151*Setup_and_Criteria!$F$15)+('M1_1-15th'!M151*Setup_and_Criteria!$F$16)+Setup_and_Criteria!$J$16),0)</f>
        <v>0</v>
      </c>
      <c r="O151" s="442">
        <f>+H151</f>
        <v>0</v>
      </c>
      <c r="P151" s="443">
        <f t="shared" ref="P151:P157" si="91">+N151-O151</f>
        <v>0</v>
      </c>
      <c r="Q151" s="357" t="e">
        <f t="shared" ref="Q151:Q157" si="92">O151/_xlfn.SINGLE(SUM(J151:M151))</f>
        <v>#DIV/0!</v>
      </c>
      <c r="R151" s="630"/>
      <c r="S151" s="630"/>
      <c r="T151" s="630"/>
      <c r="U151" s="630"/>
      <c r="V151" s="630"/>
      <c r="W151" s="630"/>
      <c r="X151" s="630"/>
      <c r="Y151" s="630"/>
      <c r="Z151" s="630"/>
      <c r="AA151" s="630"/>
      <c r="AB151" s="1">
        <f t="shared" ref="AB151:AB157" si="93">SUM(R151:AA151)</f>
        <v>0</v>
      </c>
      <c r="AC151" s="357" t="e">
        <f t="shared" ref="AC151:AC157" si="94">+AB151/(J151+K151+L151)</f>
        <v>#DIV/0!</v>
      </c>
      <c r="AD151" s="864" t="s">
        <v>144</v>
      </c>
      <c r="AE151" s="865"/>
      <c r="AF151" s="865"/>
      <c r="AG151" s="866"/>
      <c r="AH151" s="866"/>
      <c r="AI151" s="867"/>
    </row>
    <row r="152" spans="1:35" x14ac:dyDescent="0.25">
      <c r="A152" s="638"/>
      <c r="C152" s="630"/>
      <c r="D152" s="630"/>
      <c r="E152" s="630"/>
      <c r="F152" s="630"/>
      <c r="G152" s="264">
        <f t="shared" si="89"/>
        <v>0</v>
      </c>
      <c r="H152" s="442">
        <f t="shared" si="90"/>
        <v>0</v>
      </c>
      <c r="J152" s="630"/>
      <c r="K152" s="630"/>
      <c r="L152" s="630"/>
      <c r="M152" s="630"/>
      <c r="N152" s="1">
        <f>IF(C152&gt;0,((J152*Setup_and_Criteria!$F$13)+('M1_1-15th'!K152*Setup_and_Criteria!$F$14)+('M1_1-15th'!L152*Setup_and_Criteria!$F$15)+('M1_1-15th'!M152*Setup_and_Criteria!$F$16)+Setup_and_Criteria!$J$16),0)</f>
        <v>0</v>
      </c>
      <c r="O152" s="442">
        <f t="shared" ref="O152:O157" si="95">+H152</f>
        <v>0</v>
      </c>
      <c r="P152" s="443">
        <f t="shared" si="91"/>
        <v>0</v>
      </c>
      <c r="Q152" s="357" t="e">
        <f t="shared" si="92"/>
        <v>#DIV/0!</v>
      </c>
      <c r="R152" s="630"/>
      <c r="S152" s="630"/>
      <c r="T152" s="630"/>
      <c r="U152" s="630"/>
      <c r="V152" s="630"/>
      <c r="W152" s="630"/>
      <c r="X152" s="630"/>
      <c r="Y152" s="630"/>
      <c r="Z152" s="630"/>
      <c r="AA152" s="630"/>
      <c r="AB152" s="1">
        <f t="shared" si="93"/>
        <v>0</v>
      </c>
      <c r="AC152" s="357" t="e">
        <f t="shared" si="94"/>
        <v>#DIV/0!</v>
      </c>
      <c r="AD152" s="864"/>
      <c r="AE152" s="865"/>
      <c r="AF152" s="865"/>
      <c r="AG152" s="866"/>
      <c r="AH152" s="866"/>
      <c r="AI152" s="867"/>
    </row>
    <row r="153" spans="1:35" x14ac:dyDescent="0.25">
      <c r="A153" s="638"/>
      <c r="C153" s="630"/>
      <c r="D153" s="630"/>
      <c r="E153" s="630"/>
      <c r="F153" s="630"/>
      <c r="G153" s="264">
        <f t="shared" si="89"/>
        <v>0</v>
      </c>
      <c r="H153" s="442">
        <f t="shared" si="90"/>
        <v>0</v>
      </c>
      <c r="J153" s="630"/>
      <c r="K153" s="630"/>
      <c r="L153" s="630"/>
      <c r="M153" s="630"/>
      <c r="N153" s="1">
        <f>IF(C153&gt;0,((J153*Setup_and_Criteria!$F$13)+('M1_1-15th'!K153*Setup_and_Criteria!$F$14)+('M1_1-15th'!L153*Setup_and_Criteria!$F$15)+('M1_1-15th'!M153*Setup_and_Criteria!$F$16)+Setup_and_Criteria!$J$16),0)</f>
        <v>0</v>
      </c>
      <c r="O153" s="442">
        <f t="shared" si="95"/>
        <v>0</v>
      </c>
      <c r="P153" s="443">
        <f t="shared" si="91"/>
        <v>0</v>
      </c>
      <c r="Q153" s="357" t="e">
        <f t="shared" si="92"/>
        <v>#DIV/0!</v>
      </c>
      <c r="R153" s="630"/>
      <c r="S153" s="630"/>
      <c r="T153" s="630"/>
      <c r="U153" s="630"/>
      <c r="V153" s="630"/>
      <c r="W153" s="630"/>
      <c r="X153" s="630"/>
      <c r="Y153" s="630"/>
      <c r="Z153" s="630"/>
      <c r="AA153" s="630"/>
      <c r="AB153" s="1">
        <f t="shared" si="93"/>
        <v>0</v>
      </c>
      <c r="AC153" s="357" t="e">
        <f t="shared" si="94"/>
        <v>#DIV/0!</v>
      </c>
      <c r="AD153" s="864"/>
      <c r="AE153" s="865"/>
      <c r="AF153" s="865"/>
      <c r="AG153" s="866"/>
      <c r="AH153" s="866"/>
      <c r="AI153" s="867"/>
    </row>
    <row r="154" spans="1:35" x14ac:dyDescent="0.25">
      <c r="A154" s="638"/>
      <c r="C154" s="630"/>
      <c r="D154" s="630"/>
      <c r="E154" s="630"/>
      <c r="F154" s="630"/>
      <c r="G154" s="264">
        <f t="shared" si="89"/>
        <v>0</v>
      </c>
      <c r="H154" s="442">
        <f t="shared" si="90"/>
        <v>0</v>
      </c>
      <c r="J154" s="630"/>
      <c r="K154" s="630"/>
      <c r="L154" s="630"/>
      <c r="M154" s="630"/>
      <c r="N154" s="1">
        <f>IF(C154&gt;0,((J154*Setup_and_Criteria!$F$13)+('M1_1-15th'!K154*Setup_and_Criteria!$F$14)+('M1_1-15th'!L154*Setup_and_Criteria!$F$15)+('M1_1-15th'!M154*Setup_and_Criteria!$F$16)+Setup_and_Criteria!$J$16),0)</f>
        <v>0</v>
      </c>
      <c r="O154" s="442">
        <f t="shared" si="95"/>
        <v>0</v>
      </c>
      <c r="P154" s="443">
        <f t="shared" si="91"/>
        <v>0</v>
      </c>
      <c r="Q154" s="357" t="e">
        <f t="shared" si="92"/>
        <v>#DIV/0!</v>
      </c>
      <c r="R154" s="630"/>
      <c r="S154" s="630"/>
      <c r="T154" s="630"/>
      <c r="U154" s="630"/>
      <c r="V154" s="630"/>
      <c r="W154" s="630"/>
      <c r="X154" s="630"/>
      <c r="Y154" s="630"/>
      <c r="Z154" s="630"/>
      <c r="AA154" s="630"/>
      <c r="AB154" s="1">
        <f t="shared" si="93"/>
        <v>0</v>
      </c>
      <c r="AC154" s="357" t="e">
        <f t="shared" si="94"/>
        <v>#DIV/0!</v>
      </c>
      <c r="AD154" s="864"/>
      <c r="AE154" s="865"/>
      <c r="AF154" s="865"/>
      <c r="AG154" s="866"/>
      <c r="AH154" s="866"/>
      <c r="AI154" s="867"/>
    </row>
    <row r="155" spans="1:35" x14ac:dyDescent="0.25">
      <c r="A155" s="638"/>
      <c r="C155" s="630"/>
      <c r="D155" s="630"/>
      <c r="E155" s="630"/>
      <c r="F155" s="630"/>
      <c r="G155" s="264">
        <f t="shared" si="89"/>
        <v>0</v>
      </c>
      <c r="H155" s="442">
        <f t="shared" si="90"/>
        <v>0</v>
      </c>
      <c r="J155" s="630"/>
      <c r="K155" s="630"/>
      <c r="L155" s="630"/>
      <c r="M155" s="630"/>
      <c r="N155" s="1">
        <f>IF(C155&gt;0,((J155*Setup_and_Criteria!$F$13)+('M1_1-15th'!K155*Setup_and_Criteria!$F$14)+('M1_1-15th'!L155*Setup_and_Criteria!$F$15)+('M1_1-15th'!M155*Setup_and_Criteria!$F$16)+Setup_and_Criteria!$J$16),0)</f>
        <v>0</v>
      </c>
      <c r="O155" s="442">
        <f t="shared" si="95"/>
        <v>0</v>
      </c>
      <c r="P155" s="443">
        <f t="shared" si="91"/>
        <v>0</v>
      </c>
      <c r="Q155" s="357" t="e">
        <f t="shared" si="92"/>
        <v>#DIV/0!</v>
      </c>
      <c r="R155" s="630"/>
      <c r="S155" s="630"/>
      <c r="T155" s="630"/>
      <c r="U155" s="630"/>
      <c r="V155" s="630"/>
      <c r="W155" s="630"/>
      <c r="X155" s="630"/>
      <c r="Y155" s="630"/>
      <c r="Z155" s="630"/>
      <c r="AA155" s="630"/>
      <c r="AB155" s="1">
        <f t="shared" si="93"/>
        <v>0</v>
      </c>
      <c r="AC155" s="357" t="e">
        <f t="shared" si="94"/>
        <v>#DIV/0!</v>
      </c>
      <c r="AD155" s="864"/>
      <c r="AE155" s="865"/>
      <c r="AF155" s="865"/>
      <c r="AG155" s="866"/>
      <c r="AH155" s="866"/>
      <c r="AI155" s="867"/>
    </row>
    <row r="156" spans="1:35" ht="15.75" thickBot="1" x14ac:dyDescent="0.3">
      <c r="A156" s="638"/>
      <c r="C156" s="370"/>
      <c r="D156" s="370"/>
      <c r="E156" s="630"/>
      <c r="F156" s="630"/>
      <c r="G156" s="264">
        <f t="shared" si="89"/>
        <v>0</v>
      </c>
      <c r="H156" s="442">
        <f t="shared" si="90"/>
        <v>0</v>
      </c>
      <c r="J156" s="371"/>
      <c r="K156" s="371"/>
      <c r="L156" s="371"/>
      <c r="M156" s="371"/>
      <c r="N156" s="358">
        <f>IF(C156&gt;0,((J156*Setup_and_Criteria!$F$13)+('M1_1-15th'!K156*Setup_and_Criteria!$F$14)+('M1_1-15th'!L156*Setup_and_Criteria!$F$15)+('M1_1-15th'!M156*Setup_and_Criteria!$F$16)+Setup_and_Criteria!$J$16),0)</f>
        <v>0</v>
      </c>
      <c r="O156" s="359">
        <f t="shared" si="95"/>
        <v>0</v>
      </c>
      <c r="P156" s="383">
        <f t="shared" si="91"/>
        <v>0</v>
      </c>
      <c r="Q156" s="360" t="e">
        <f t="shared" si="92"/>
        <v>#DIV/0!</v>
      </c>
      <c r="R156" s="511"/>
      <c r="S156" s="511"/>
      <c r="T156" s="511"/>
      <c r="U156" s="511"/>
      <c r="V156" s="511"/>
      <c r="W156" s="511"/>
      <c r="X156" s="511"/>
      <c r="Y156" s="511"/>
      <c r="Z156" s="511"/>
      <c r="AA156" s="511"/>
      <c r="AB156" s="1">
        <f t="shared" si="93"/>
        <v>0</v>
      </c>
      <c r="AC156" s="357" t="e">
        <f t="shared" si="94"/>
        <v>#DIV/0!</v>
      </c>
      <c r="AD156" s="864"/>
      <c r="AE156" s="865"/>
      <c r="AF156" s="865"/>
      <c r="AG156" s="866"/>
      <c r="AH156" s="866"/>
      <c r="AI156" s="867"/>
    </row>
    <row r="157" spans="1:35" ht="15.75" thickTop="1" x14ac:dyDescent="0.25">
      <c r="A157" s="58"/>
      <c r="H157" s="442">
        <f>SUM(H151:H156)</f>
        <v>0</v>
      </c>
      <c r="J157" s="1">
        <f>SUM(J151:J156)</f>
        <v>0</v>
      </c>
      <c r="K157" s="1">
        <f>SUM(K151:K156)</f>
        <v>0</v>
      </c>
      <c r="L157" s="1">
        <f>SUM(L151:L156)</f>
        <v>0</v>
      </c>
      <c r="M157" s="1">
        <f>SUM(M151:M156)</f>
        <v>0</v>
      </c>
      <c r="N157" s="1">
        <f>SUM(N151:N156)</f>
        <v>0</v>
      </c>
      <c r="O157" s="1">
        <f t="shared" si="95"/>
        <v>0</v>
      </c>
      <c r="P157" s="443">
        <f t="shared" si="91"/>
        <v>0</v>
      </c>
      <c r="Q157" s="357" t="e">
        <f t="shared" si="92"/>
        <v>#DIV/0!</v>
      </c>
      <c r="R157" s="1">
        <f t="shared" ref="R157:AA157" si="96">SUM(R151:R156)</f>
        <v>0</v>
      </c>
      <c r="S157" s="1">
        <f t="shared" si="96"/>
        <v>0</v>
      </c>
      <c r="T157" s="1">
        <f t="shared" si="96"/>
        <v>0</v>
      </c>
      <c r="U157" s="1">
        <f t="shared" si="96"/>
        <v>0</v>
      </c>
      <c r="V157" s="1">
        <f t="shared" si="96"/>
        <v>0</v>
      </c>
      <c r="W157" s="1">
        <f t="shared" si="96"/>
        <v>0</v>
      </c>
      <c r="X157" s="1">
        <f t="shared" si="96"/>
        <v>0</v>
      </c>
      <c r="Y157" s="1">
        <f t="shared" si="96"/>
        <v>0</v>
      </c>
      <c r="Z157" s="1">
        <f t="shared" si="96"/>
        <v>0</v>
      </c>
      <c r="AA157" s="1">
        <f t="shared" si="96"/>
        <v>0</v>
      </c>
      <c r="AB157" s="1">
        <f t="shared" si="93"/>
        <v>0</v>
      </c>
      <c r="AC157" s="357" t="e">
        <f t="shared" si="94"/>
        <v>#DIV/0!</v>
      </c>
      <c r="AD157" s="877"/>
      <c r="AE157" s="878"/>
      <c r="AF157" s="878"/>
      <c r="AG157" s="749"/>
      <c r="AH157" s="749"/>
      <c r="AI157" s="879"/>
    </row>
    <row r="158" spans="1:35" ht="21" customHeight="1" x14ac:dyDescent="0.35">
      <c r="A158" s="58"/>
      <c r="H158" s="442"/>
      <c r="N158" s="888" t="s">
        <v>145</v>
      </c>
      <c r="O158" s="888"/>
      <c r="P158" s="888"/>
      <c r="Q158" s="888"/>
      <c r="R158" s="431" t="s">
        <v>146</v>
      </c>
      <c r="S158" s="431"/>
      <c r="T158" s="431"/>
      <c r="U158" s="431"/>
      <c r="V158" s="431"/>
      <c r="W158" s="431"/>
      <c r="X158" s="431"/>
      <c r="Y158" s="431"/>
      <c r="Z158" s="431"/>
      <c r="AA158" s="431"/>
      <c r="AB158" s="431"/>
      <c r="AC158" s="431"/>
      <c r="AD158" s="880" t="s">
        <v>132</v>
      </c>
      <c r="AE158" s="881"/>
      <c r="AF158" s="881"/>
      <c r="AG158" s="881"/>
      <c r="AH158" s="881"/>
      <c r="AI158" s="882"/>
    </row>
    <row r="159" spans="1:35" ht="31.5" customHeight="1" x14ac:dyDescent="0.35">
      <c r="A159" s="617" t="s">
        <v>147</v>
      </c>
      <c r="C159" s="885" t="s">
        <v>128</v>
      </c>
      <c r="D159" s="885"/>
      <c r="E159" s="885"/>
      <c r="F159" s="885"/>
      <c r="H159" s="442"/>
      <c r="J159" s="444"/>
      <c r="K159" s="445" t="s">
        <v>35</v>
      </c>
      <c r="L159" s="445" t="s">
        <v>148</v>
      </c>
      <c r="N159" s="446" t="s">
        <v>149</v>
      </c>
      <c r="O159" s="447" t="s">
        <v>150</v>
      </c>
      <c r="P159" s="447" t="s">
        <v>138</v>
      </c>
      <c r="Q159" s="447" t="s">
        <v>151</v>
      </c>
      <c r="R159" s="749" t="s">
        <v>152</v>
      </c>
      <c r="S159" s="749"/>
      <c r="T159" s="883" t="s">
        <v>153</v>
      </c>
      <c r="U159" s="883"/>
      <c r="W159" s="425" t="s">
        <v>154</v>
      </c>
      <c r="X159" s="425"/>
      <c r="Y159" s="425"/>
      <c r="Z159" s="425"/>
      <c r="AA159" s="425"/>
      <c r="AB159" s="425"/>
      <c r="AC159" s="425"/>
      <c r="AD159" s="868" t="s">
        <v>160</v>
      </c>
      <c r="AE159" s="869"/>
      <c r="AF159" s="869"/>
      <c r="AG159" s="869"/>
      <c r="AH159" s="869"/>
      <c r="AI159" s="870"/>
    </row>
    <row r="160" spans="1:35" ht="18" customHeight="1" thickBot="1" x14ac:dyDescent="0.3">
      <c r="A160" s="639"/>
      <c r="B160" s="375"/>
      <c r="C160" s="372"/>
      <c r="D160" s="372"/>
      <c r="E160" s="372"/>
      <c r="F160" s="372"/>
      <c r="G160" s="366">
        <f>+(D160-C160)+(F160-E160)</f>
        <v>0</v>
      </c>
      <c r="H160" s="367">
        <f>+G160*1440</f>
        <v>0</v>
      </c>
      <c r="I160" s="859" t="s">
        <v>155</v>
      </c>
      <c r="J160" s="860"/>
      <c r="K160" s="373"/>
      <c r="L160" s="374"/>
      <c r="M160" s="423"/>
      <c r="N160" s="629">
        <f>+J157+L157+K157+K160+L160</f>
        <v>0</v>
      </c>
      <c r="O160" s="368">
        <f>+(Setup_and_Criteria!$K$31+(J157*Setup_and_Criteria!$F$20)+('M1_1-15th'!K157*Setup_and_Criteria!$F$21)+('M1_1-15th'!L157*Setup_and_Criteria!$F$20))+T160+(K160*Setup_and_Criteria!$F$21)+(Setup_and_Criteria!$F$22*'M1_1-15th'!L160)</f>
        <v>75</v>
      </c>
      <c r="P160" s="367">
        <f>+H160</f>
        <v>0</v>
      </c>
      <c r="Q160" s="367">
        <f>+O160-P160</f>
        <v>75</v>
      </c>
      <c r="R160" s="861" t="s">
        <v>252</v>
      </c>
      <c r="S160" s="861"/>
      <c r="T160" s="862"/>
      <c r="U160" s="863"/>
      <c r="V160" s="265" t="s">
        <v>156</v>
      </c>
      <c r="W160" s="854"/>
      <c r="X160" s="855"/>
      <c r="Y160" s="855"/>
      <c r="Z160" s="855"/>
      <c r="AA160" s="855"/>
      <c r="AB160" s="855"/>
      <c r="AC160" s="855"/>
      <c r="AD160" s="868"/>
      <c r="AE160" s="869"/>
      <c r="AF160" s="869"/>
      <c r="AG160" s="869"/>
      <c r="AH160" s="869"/>
      <c r="AI160" s="870"/>
    </row>
    <row r="161" spans="1:35" ht="15.75" thickBot="1" x14ac:dyDescent="0.3">
      <c r="A161" s="449" t="str">
        <f>+A148</f>
        <v>Password to enter data = "Enter Info"</v>
      </c>
      <c r="B161" s="450"/>
      <c r="C161" s="451"/>
      <c r="D161" s="451"/>
      <c r="E161" s="451"/>
      <c r="F161" s="451"/>
      <c r="G161" s="451"/>
      <c r="H161" s="451"/>
      <c r="I161" s="450"/>
      <c r="J161" s="451"/>
      <c r="K161" s="451"/>
      <c r="L161" s="451"/>
      <c r="M161" s="451"/>
      <c r="N161" s="451"/>
      <c r="O161" s="451"/>
      <c r="P161" s="451"/>
      <c r="Q161" s="450"/>
      <c r="R161" s="451"/>
      <c r="S161" s="451"/>
      <c r="T161" s="451"/>
      <c r="U161" s="451"/>
      <c r="V161" s="451"/>
      <c r="W161" s="451"/>
      <c r="X161" s="451"/>
      <c r="Y161" s="451"/>
      <c r="Z161" s="451"/>
      <c r="AA161" s="451"/>
      <c r="AB161" s="450"/>
      <c r="AC161" s="450"/>
      <c r="AD161" s="871"/>
      <c r="AE161" s="872"/>
      <c r="AF161" s="872"/>
      <c r="AG161" s="872"/>
      <c r="AH161" s="872"/>
      <c r="AI161" s="873"/>
    </row>
    <row r="162" spans="1:35" ht="35.25" customHeight="1" x14ac:dyDescent="0.4">
      <c r="A162" s="434" t="str">
        <f>+A149</f>
        <v>May</v>
      </c>
      <c r="B162" s="624">
        <f>+B149+1</f>
        <v>13</v>
      </c>
      <c r="C162" s="884" t="s">
        <v>128</v>
      </c>
      <c r="D162" s="884"/>
      <c r="E162" s="884"/>
      <c r="F162" s="884"/>
      <c r="G162" s="377"/>
      <c r="H162" s="377"/>
      <c r="I162" s="21"/>
      <c r="J162" s="874" t="s">
        <v>129</v>
      </c>
      <c r="K162" s="875"/>
      <c r="L162" s="875"/>
      <c r="M162" s="875"/>
      <c r="N162" s="876" t="s">
        <v>130</v>
      </c>
      <c r="O162" s="876"/>
      <c r="P162" s="876"/>
      <c r="Q162" s="876"/>
      <c r="R162" s="424" t="str">
        <f>+R149</f>
        <v xml:space="preserve"> Corrections Tracking - Check out rooms</v>
      </c>
      <c r="S162" s="424"/>
      <c r="T162" s="424"/>
      <c r="U162" s="424"/>
      <c r="V162" s="424"/>
      <c r="W162" s="424"/>
      <c r="X162" s="424"/>
      <c r="Y162" s="424"/>
      <c r="Z162" s="424"/>
      <c r="AA162" s="424"/>
      <c r="AB162" s="424"/>
      <c r="AC162" s="424"/>
      <c r="AD162" s="461" t="s">
        <v>132</v>
      </c>
      <c r="AE162" s="426"/>
      <c r="AF162" s="426"/>
      <c r="AG162" s="426"/>
      <c r="AH162" s="426"/>
      <c r="AI162" s="427"/>
    </row>
    <row r="163" spans="1:35" ht="59.25" customHeight="1" x14ac:dyDescent="0.25">
      <c r="A163" s="378" t="s">
        <v>133</v>
      </c>
      <c r="C163" s="435" t="s">
        <v>134</v>
      </c>
      <c r="D163" s="435" t="s">
        <v>135</v>
      </c>
      <c r="E163" s="435" t="s">
        <v>134</v>
      </c>
      <c r="F163" s="435" t="s">
        <v>135</v>
      </c>
      <c r="G163" s="1" t="s">
        <v>136</v>
      </c>
      <c r="H163" s="1" t="s">
        <v>108</v>
      </c>
      <c r="I163" s="436"/>
      <c r="J163" s="437" t="str">
        <f>+Setup_and_Criteria!$B$13</f>
        <v>Checkouts</v>
      </c>
      <c r="K163" s="437" t="str">
        <f>+Setup_and_Criteria!$B$14</f>
        <v>Pet Rooms</v>
      </c>
      <c r="L163" s="437" t="str">
        <f>+Setup_and_Criteria!$B$15</f>
        <v>2 Rm &amp; Jac Stes</v>
      </c>
      <c r="M163" s="438" t="str">
        <f>+Setup_and_Criteria!$B$16</f>
        <v>Stayovers</v>
      </c>
      <c r="N163" s="269" t="s">
        <v>137</v>
      </c>
      <c r="O163" s="269" t="s">
        <v>138</v>
      </c>
      <c r="P163" s="439" t="s">
        <v>139</v>
      </c>
      <c r="Q163" s="439" t="s">
        <v>140</v>
      </c>
      <c r="R163" s="440" t="str">
        <f>+Corrections!$C$8</f>
        <v>Vanity</v>
      </c>
      <c r="S163" s="440" t="str">
        <f>+Corrections!$I$8</f>
        <v>Toilet</v>
      </c>
      <c r="T163" s="440" t="str">
        <f>+Corrections!$O$8</f>
        <v>Bed/Pillows</v>
      </c>
      <c r="U163" s="440" t="str">
        <f>+Corrections!$U$8</f>
        <v>Floor</v>
      </c>
      <c r="V163" s="440" t="str">
        <f>+Corrections!$AA$8</f>
        <v>Dusting</v>
      </c>
      <c r="W163" s="440" t="str">
        <f>+Corrections!$AG$8</f>
        <v>Fridge/Micro</v>
      </c>
      <c r="X163" s="440" t="str">
        <f>+Corrections!$AM$8</f>
        <v>Tub</v>
      </c>
      <c r="Y163" s="441" t="str">
        <f>+Corrections!$AS$8</f>
        <v>Mirrors/Glass</v>
      </c>
      <c r="Z163" s="440" t="str">
        <f>+Corrections!$AY$8</f>
        <v>Stocking</v>
      </c>
      <c r="AA163" s="440" t="str">
        <f>+Corrections!$BE$8</f>
        <v>Other</v>
      </c>
      <c r="AB163" s="269" t="s">
        <v>141</v>
      </c>
      <c r="AC163" s="269" t="str">
        <f>+$AC$7</f>
        <v>Daily Corr / Inspected Checkout</v>
      </c>
      <c r="AD163" s="889" t="s">
        <v>143</v>
      </c>
      <c r="AE163" s="890"/>
      <c r="AF163" s="890"/>
      <c r="AG163" s="890"/>
      <c r="AH163" s="890"/>
      <c r="AI163" s="891"/>
    </row>
    <row r="164" spans="1:35" x14ac:dyDescent="0.25">
      <c r="A164" s="638"/>
      <c r="C164" s="369"/>
      <c r="D164" s="369"/>
      <c r="E164" s="369"/>
      <c r="F164" s="369"/>
      <c r="G164" s="264">
        <f t="shared" ref="G164:G169" si="97">+(D164-C164)+(F164-E164)</f>
        <v>0</v>
      </c>
      <c r="H164" s="442">
        <f t="shared" ref="H164:H169" si="98">+G164*1440</f>
        <v>0</v>
      </c>
      <c r="J164" s="630"/>
      <c r="K164" s="630"/>
      <c r="L164" s="630"/>
      <c r="M164" s="630"/>
      <c r="N164" s="1">
        <f>IF(C164&gt;0,((J164*Setup_and_Criteria!$F$13)+('M1_1-15th'!K164*Setup_and_Criteria!$F$14)+('M1_1-15th'!L164*Setup_and_Criteria!$F$15)+('M1_1-15th'!M164*Setup_and_Criteria!$F$16)+Setup_and_Criteria!$J$16),0)</f>
        <v>0</v>
      </c>
      <c r="O164" s="442">
        <f>+H164</f>
        <v>0</v>
      </c>
      <c r="P164" s="443">
        <f t="shared" ref="P164:P170" si="99">+N164-O164</f>
        <v>0</v>
      </c>
      <c r="Q164" s="357" t="e">
        <f t="shared" ref="Q164:Q170" si="100">O164/_xlfn.SINGLE(SUM(J164:M164))</f>
        <v>#DIV/0!</v>
      </c>
      <c r="R164" s="630"/>
      <c r="S164" s="630"/>
      <c r="T164" s="630"/>
      <c r="U164" s="630"/>
      <c r="V164" s="630"/>
      <c r="W164" s="630"/>
      <c r="X164" s="630"/>
      <c r="Y164" s="630"/>
      <c r="Z164" s="630"/>
      <c r="AA164" s="630"/>
      <c r="AB164" s="1">
        <f t="shared" ref="AB164:AB170" si="101">SUM(R164:AA164)</f>
        <v>0</v>
      </c>
      <c r="AC164" s="357" t="e">
        <f t="shared" ref="AC164:AC170" si="102">+AB164/(J164+K164+L164)</f>
        <v>#DIV/0!</v>
      </c>
      <c r="AD164" s="864" t="s">
        <v>144</v>
      </c>
      <c r="AE164" s="865"/>
      <c r="AF164" s="865"/>
      <c r="AG164" s="866"/>
      <c r="AH164" s="866"/>
      <c r="AI164" s="867"/>
    </row>
    <row r="165" spans="1:35" x14ac:dyDescent="0.25">
      <c r="A165" s="638"/>
      <c r="C165" s="630"/>
      <c r="D165" s="630"/>
      <c r="E165" s="630"/>
      <c r="F165" s="630"/>
      <c r="G165" s="264">
        <f t="shared" si="97"/>
        <v>0</v>
      </c>
      <c r="H165" s="442">
        <f t="shared" si="98"/>
        <v>0</v>
      </c>
      <c r="J165" s="630"/>
      <c r="K165" s="630"/>
      <c r="L165" s="630"/>
      <c r="M165" s="630"/>
      <c r="N165" s="1">
        <f>IF(C165&gt;0,((J165*Setup_and_Criteria!$F$13)+('M1_1-15th'!K165*Setup_and_Criteria!$F$14)+('M1_1-15th'!L165*Setup_and_Criteria!$F$15)+('M1_1-15th'!M165*Setup_and_Criteria!$F$16)+Setup_and_Criteria!$J$16),0)</f>
        <v>0</v>
      </c>
      <c r="O165" s="442">
        <f t="shared" ref="O165:O170" si="103">+H165</f>
        <v>0</v>
      </c>
      <c r="P165" s="443">
        <f t="shared" si="99"/>
        <v>0</v>
      </c>
      <c r="Q165" s="357" t="e">
        <f t="shared" si="100"/>
        <v>#DIV/0!</v>
      </c>
      <c r="R165" s="630"/>
      <c r="S165" s="630"/>
      <c r="T165" s="630"/>
      <c r="U165" s="630"/>
      <c r="V165" s="630"/>
      <c r="W165" s="630"/>
      <c r="X165" s="630"/>
      <c r="Y165" s="630"/>
      <c r="Z165" s="630"/>
      <c r="AA165" s="630"/>
      <c r="AB165" s="1">
        <f t="shared" si="101"/>
        <v>0</v>
      </c>
      <c r="AC165" s="357" t="e">
        <f t="shared" si="102"/>
        <v>#DIV/0!</v>
      </c>
      <c r="AD165" s="864"/>
      <c r="AE165" s="865"/>
      <c r="AF165" s="865"/>
      <c r="AG165" s="866"/>
      <c r="AH165" s="866"/>
      <c r="AI165" s="867"/>
    </row>
    <row r="166" spans="1:35" x14ac:dyDescent="0.25">
      <c r="A166" s="638"/>
      <c r="C166" s="630"/>
      <c r="D166" s="630"/>
      <c r="E166" s="630"/>
      <c r="F166" s="630"/>
      <c r="G166" s="264">
        <f t="shared" si="97"/>
        <v>0</v>
      </c>
      <c r="H166" s="442">
        <f t="shared" si="98"/>
        <v>0</v>
      </c>
      <c r="J166" s="630"/>
      <c r="K166" s="630"/>
      <c r="L166" s="630"/>
      <c r="M166" s="630"/>
      <c r="N166" s="1">
        <f>IF(C166&gt;0,((J166*Setup_and_Criteria!$F$13)+('M1_1-15th'!K166*Setup_and_Criteria!$F$14)+('M1_1-15th'!L166*Setup_and_Criteria!$F$15)+('M1_1-15th'!M166*Setup_and_Criteria!$F$16)+Setup_and_Criteria!$J$16),0)</f>
        <v>0</v>
      </c>
      <c r="O166" s="442">
        <f t="shared" si="103"/>
        <v>0</v>
      </c>
      <c r="P166" s="443">
        <f t="shared" si="99"/>
        <v>0</v>
      </c>
      <c r="Q166" s="357" t="e">
        <f t="shared" si="100"/>
        <v>#DIV/0!</v>
      </c>
      <c r="R166" s="630"/>
      <c r="S166" s="630"/>
      <c r="T166" s="630"/>
      <c r="U166" s="630"/>
      <c r="V166" s="630"/>
      <c r="W166" s="630"/>
      <c r="X166" s="630"/>
      <c r="Y166" s="630"/>
      <c r="Z166" s="630"/>
      <c r="AA166" s="630"/>
      <c r="AB166" s="1">
        <f t="shared" si="101"/>
        <v>0</v>
      </c>
      <c r="AC166" s="357" t="e">
        <f t="shared" si="102"/>
        <v>#DIV/0!</v>
      </c>
      <c r="AD166" s="864"/>
      <c r="AE166" s="865"/>
      <c r="AF166" s="865"/>
      <c r="AG166" s="866"/>
      <c r="AH166" s="866"/>
      <c r="AI166" s="867"/>
    </row>
    <row r="167" spans="1:35" x14ac:dyDescent="0.25">
      <c r="A167" s="638"/>
      <c r="C167" s="630"/>
      <c r="D167" s="630"/>
      <c r="E167" s="630"/>
      <c r="F167" s="630"/>
      <c r="G167" s="264">
        <f t="shared" si="97"/>
        <v>0</v>
      </c>
      <c r="H167" s="442">
        <f t="shared" si="98"/>
        <v>0</v>
      </c>
      <c r="J167" s="630"/>
      <c r="K167" s="630"/>
      <c r="L167" s="630"/>
      <c r="M167" s="630"/>
      <c r="N167" s="1">
        <f>IF(C167&gt;0,((J167*Setup_and_Criteria!$F$13)+('M1_1-15th'!K167*Setup_and_Criteria!$F$14)+('M1_1-15th'!L167*Setup_and_Criteria!$F$15)+('M1_1-15th'!M167*Setup_and_Criteria!$F$16)+Setup_and_Criteria!$J$16),0)</f>
        <v>0</v>
      </c>
      <c r="O167" s="442">
        <f t="shared" si="103"/>
        <v>0</v>
      </c>
      <c r="P167" s="443">
        <f t="shared" si="99"/>
        <v>0</v>
      </c>
      <c r="Q167" s="357" t="e">
        <f t="shared" si="100"/>
        <v>#DIV/0!</v>
      </c>
      <c r="R167" s="630"/>
      <c r="S167" s="630"/>
      <c r="T167" s="630"/>
      <c r="U167" s="630"/>
      <c r="V167" s="630"/>
      <c r="W167" s="630"/>
      <c r="X167" s="630"/>
      <c r="Y167" s="630"/>
      <c r="Z167" s="630"/>
      <c r="AA167" s="630"/>
      <c r="AB167" s="1">
        <f t="shared" si="101"/>
        <v>0</v>
      </c>
      <c r="AC167" s="357" t="e">
        <f t="shared" si="102"/>
        <v>#DIV/0!</v>
      </c>
      <c r="AD167" s="864"/>
      <c r="AE167" s="865"/>
      <c r="AF167" s="865"/>
      <c r="AG167" s="866"/>
      <c r="AH167" s="866"/>
      <c r="AI167" s="867"/>
    </row>
    <row r="168" spans="1:35" x14ac:dyDescent="0.25">
      <c r="A168" s="638"/>
      <c r="C168" s="630"/>
      <c r="D168" s="630"/>
      <c r="E168" s="630"/>
      <c r="F168" s="630"/>
      <c r="G168" s="264">
        <f t="shared" si="97"/>
        <v>0</v>
      </c>
      <c r="H168" s="442">
        <f t="shared" si="98"/>
        <v>0</v>
      </c>
      <c r="J168" s="630"/>
      <c r="K168" s="630"/>
      <c r="L168" s="630"/>
      <c r="M168" s="630"/>
      <c r="N168" s="1">
        <f>IF(C168&gt;0,((J168*Setup_and_Criteria!$F$13)+('M1_1-15th'!K168*Setup_and_Criteria!$F$14)+('M1_1-15th'!L168*Setup_and_Criteria!$F$15)+('M1_1-15th'!M168*Setup_and_Criteria!$F$16)+Setup_and_Criteria!$J$16),0)</f>
        <v>0</v>
      </c>
      <c r="O168" s="442">
        <f t="shared" si="103"/>
        <v>0</v>
      </c>
      <c r="P168" s="443">
        <f t="shared" si="99"/>
        <v>0</v>
      </c>
      <c r="Q168" s="357" t="e">
        <f t="shared" si="100"/>
        <v>#DIV/0!</v>
      </c>
      <c r="R168" s="630"/>
      <c r="S168" s="630"/>
      <c r="T168" s="630"/>
      <c r="U168" s="630"/>
      <c r="V168" s="630"/>
      <c r="W168" s="630"/>
      <c r="X168" s="630"/>
      <c r="Y168" s="630"/>
      <c r="Z168" s="630"/>
      <c r="AA168" s="630"/>
      <c r="AB168" s="1">
        <f t="shared" si="101"/>
        <v>0</v>
      </c>
      <c r="AC168" s="357" t="e">
        <f t="shared" si="102"/>
        <v>#DIV/0!</v>
      </c>
      <c r="AD168" s="864"/>
      <c r="AE168" s="865"/>
      <c r="AF168" s="865"/>
      <c r="AG168" s="866"/>
      <c r="AH168" s="866"/>
      <c r="AI168" s="867"/>
    </row>
    <row r="169" spans="1:35" ht="15.75" thickBot="1" x14ac:dyDescent="0.3">
      <c r="A169" s="638"/>
      <c r="C169" s="370"/>
      <c r="D169" s="370"/>
      <c r="E169" s="630"/>
      <c r="F169" s="630"/>
      <c r="G169" s="264">
        <f t="shared" si="97"/>
        <v>0</v>
      </c>
      <c r="H169" s="442">
        <f t="shared" si="98"/>
        <v>0</v>
      </c>
      <c r="J169" s="371"/>
      <c r="K169" s="371"/>
      <c r="L169" s="371"/>
      <c r="M169" s="371"/>
      <c r="N169" s="358">
        <f>IF(C169&gt;0,((J169*Setup_and_Criteria!$F$13)+('M1_1-15th'!K169*Setup_and_Criteria!$F$14)+('M1_1-15th'!L169*Setup_and_Criteria!$F$15)+('M1_1-15th'!M169*Setup_and_Criteria!$F$16)+Setup_and_Criteria!$J$16),0)</f>
        <v>0</v>
      </c>
      <c r="O169" s="359">
        <f t="shared" si="103"/>
        <v>0</v>
      </c>
      <c r="P169" s="383">
        <f t="shared" si="99"/>
        <v>0</v>
      </c>
      <c r="Q169" s="360" t="e">
        <f t="shared" si="100"/>
        <v>#DIV/0!</v>
      </c>
      <c r="R169" s="511"/>
      <c r="S169" s="511"/>
      <c r="T169" s="511"/>
      <c r="U169" s="511"/>
      <c r="V169" s="511"/>
      <c r="W169" s="511"/>
      <c r="X169" s="511"/>
      <c r="Y169" s="511"/>
      <c r="Z169" s="511"/>
      <c r="AA169" s="511"/>
      <c r="AB169" s="1">
        <f t="shared" si="101"/>
        <v>0</v>
      </c>
      <c r="AC169" s="357" t="e">
        <f t="shared" si="102"/>
        <v>#DIV/0!</v>
      </c>
      <c r="AD169" s="864"/>
      <c r="AE169" s="865"/>
      <c r="AF169" s="865"/>
      <c r="AG169" s="866"/>
      <c r="AH169" s="866"/>
      <c r="AI169" s="867"/>
    </row>
    <row r="170" spans="1:35" ht="15.75" thickTop="1" x14ac:dyDescent="0.25">
      <c r="A170" s="58"/>
      <c r="H170" s="442">
        <f>SUM(H164:H169)</f>
        <v>0</v>
      </c>
      <c r="J170" s="1">
        <f>SUM(J164:J169)</f>
        <v>0</v>
      </c>
      <c r="K170" s="1">
        <f>SUM(K164:K169)</f>
        <v>0</v>
      </c>
      <c r="L170" s="1">
        <f>SUM(L164:L169)</f>
        <v>0</v>
      </c>
      <c r="M170" s="1">
        <f>SUM(M164:M169)</f>
        <v>0</v>
      </c>
      <c r="N170" s="1">
        <f>SUM(N164:N169)</f>
        <v>0</v>
      </c>
      <c r="O170" s="1">
        <f t="shared" si="103"/>
        <v>0</v>
      </c>
      <c r="P170" s="443">
        <f t="shared" si="99"/>
        <v>0</v>
      </c>
      <c r="Q170" s="357" t="e">
        <f t="shared" si="100"/>
        <v>#DIV/0!</v>
      </c>
      <c r="R170" s="1">
        <f t="shared" ref="R170:AA170" si="104">SUM(R164:R169)</f>
        <v>0</v>
      </c>
      <c r="S170" s="1">
        <f t="shared" si="104"/>
        <v>0</v>
      </c>
      <c r="T170" s="1">
        <f t="shared" si="104"/>
        <v>0</v>
      </c>
      <c r="U170" s="1">
        <f t="shared" si="104"/>
        <v>0</v>
      </c>
      <c r="V170" s="1">
        <f t="shared" si="104"/>
        <v>0</v>
      </c>
      <c r="W170" s="1">
        <f t="shared" si="104"/>
        <v>0</v>
      </c>
      <c r="X170" s="1">
        <f t="shared" si="104"/>
        <v>0</v>
      </c>
      <c r="Y170" s="1">
        <f t="shared" si="104"/>
        <v>0</v>
      </c>
      <c r="Z170" s="1">
        <f t="shared" si="104"/>
        <v>0</v>
      </c>
      <c r="AA170" s="1">
        <f t="shared" si="104"/>
        <v>0</v>
      </c>
      <c r="AB170" s="1">
        <f t="shared" si="101"/>
        <v>0</v>
      </c>
      <c r="AC170" s="357" t="e">
        <f t="shared" si="102"/>
        <v>#DIV/0!</v>
      </c>
      <c r="AD170" s="877"/>
      <c r="AE170" s="878"/>
      <c r="AF170" s="878"/>
      <c r="AG170" s="749"/>
      <c r="AH170" s="749"/>
      <c r="AI170" s="879"/>
    </row>
    <row r="171" spans="1:35" ht="21" customHeight="1" x14ac:dyDescent="0.35">
      <c r="A171" s="58"/>
      <c r="H171" s="442"/>
      <c r="N171" s="888" t="s">
        <v>145</v>
      </c>
      <c r="O171" s="888"/>
      <c r="P171" s="888"/>
      <c r="Q171" s="888"/>
      <c r="R171" s="431" t="s">
        <v>146</v>
      </c>
      <c r="S171" s="431"/>
      <c r="T171" s="431"/>
      <c r="U171" s="431"/>
      <c r="V171" s="431"/>
      <c r="W171" s="431"/>
      <c r="X171" s="431"/>
      <c r="Y171" s="431"/>
      <c r="Z171" s="431"/>
      <c r="AA171" s="431"/>
      <c r="AB171" s="431"/>
      <c r="AC171" s="431"/>
      <c r="AD171" s="880" t="s">
        <v>132</v>
      </c>
      <c r="AE171" s="881"/>
      <c r="AF171" s="881"/>
      <c r="AG171" s="881"/>
      <c r="AH171" s="881"/>
      <c r="AI171" s="882"/>
    </row>
    <row r="172" spans="1:35" ht="31.5" customHeight="1" x14ac:dyDescent="0.35">
      <c r="A172" s="617" t="s">
        <v>147</v>
      </c>
      <c r="C172" s="885" t="s">
        <v>128</v>
      </c>
      <c r="D172" s="885"/>
      <c r="E172" s="885"/>
      <c r="F172" s="885"/>
      <c r="H172" s="442"/>
      <c r="J172" s="444"/>
      <c r="K172" s="445" t="s">
        <v>35</v>
      </c>
      <c r="L172" s="445" t="s">
        <v>148</v>
      </c>
      <c r="N172" s="446" t="s">
        <v>149</v>
      </c>
      <c r="O172" s="447" t="s">
        <v>150</v>
      </c>
      <c r="P172" s="447" t="s">
        <v>138</v>
      </c>
      <c r="Q172" s="447" t="s">
        <v>151</v>
      </c>
      <c r="R172" s="749" t="s">
        <v>152</v>
      </c>
      <c r="S172" s="749"/>
      <c r="T172" s="883" t="s">
        <v>153</v>
      </c>
      <c r="U172" s="883"/>
      <c r="W172" s="425" t="s">
        <v>154</v>
      </c>
      <c r="X172" s="425"/>
      <c r="Y172" s="425"/>
      <c r="Z172" s="425"/>
      <c r="AA172" s="425"/>
      <c r="AB172" s="425"/>
      <c r="AC172" s="425"/>
      <c r="AD172" s="868" t="s">
        <v>160</v>
      </c>
      <c r="AE172" s="869"/>
      <c r="AF172" s="869"/>
      <c r="AG172" s="869"/>
      <c r="AH172" s="869"/>
      <c r="AI172" s="870"/>
    </row>
    <row r="173" spans="1:35" ht="18" customHeight="1" thickBot="1" x14ac:dyDescent="0.3">
      <c r="A173" s="639"/>
      <c r="B173" s="375"/>
      <c r="C173" s="372"/>
      <c r="D173" s="372"/>
      <c r="E173" s="372"/>
      <c r="F173" s="372"/>
      <c r="G173" s="366">
        <f>+(D173-C173)+(F173-E173)</f>
        <v>0</v>
      </c>
      <c r="H173" s="367">
        <f>+G173*1440</f>
        <v>0</v>
      </c>
      <c r="I173" s="859" t="s">
        <v>155</v>
      </c>
      <c r="J173" s="860"/>
      <c r="K173" s="373"/>
      <c r="L173" s="374"/>
      <c r="M173" s="423"/>
      <c r="N173" s="629">
        <f>+J170+L170+K170+K173+L173</f>
        <v>0</v>
      </c>
      <c r="O173" s="368">
        <f>+(Setup_and_Criteria!$K$31+(J170*Setup_and_Criteria!$F$20)+('M1_1-15th'!K170*Setup_and_Criteria!$F$21)+('M1_1-15th'!L170*Setup_and_Criteria!$F$20))+T173+(K173*Setup_and_Criteria!$F$21)+(Setup_and_Criteria!$F$22*'M1_1-15th'!L173)</f>
        <v>75</v>
      </c>
      <c r="P173" s="367">
        <f>+H173</f>
        <v>0</v>
      </c>
      <c r="Q173" s="367">
        <f>+O173-P173</f>
        <v>75</v>
      </c>
      <c r="R173" s="861" t="s">
        <v>252</v>
      </c>
      <c r="S173" s="861"/>
      <c r="T173" s="862"/>
      <c r="U173" s="863"/>
      <c r="V173" s="265" t="s">
        <v>156</v>
      </c>
      <c r="W173" s="854"/>
      <c r="X173" s="855"/>
      <c r="Y173" s="855"/>
      <c r="Z173" s="855"/>
      <c r="AA173" s="855"/>
      <c r="AB173" s="855"/>
      <c r="AC173" s="855"/>
      <c r="AD173" s="868"/>
      <c r="AE173" s="869"/>
      <c r="AF173" s="869"/>
      <c r="AG173" s="869"/>
      <c r="AH173" s="869"/>
      <c r="AI173" s="870"/>
    </row>
    <row r="174" spans="1:35" ht="15.75" thickBot="1" x14ac:dyDescent="0.3">
      <c r="A174" s="449" t="str">
        <f>+A161</f>
        <v>Password to enter data = "Enter Info"</v>
      </c>
      <c r="B174" s="450"/>
      <c r="C174" s="451"/>
      <c r="D174" s="451"/>
      <c r="E174" s="451"/>
      <c r="F174" s="451"/>
      <c r="G174" s="451"/>
      <c r="H174" s="451"/>
      <c r="I174" s="450"/>
      <c r="J174" s="451"/>
      <c r="K174" s="451"/>
      <c r="L174" s="451"/>
      <c r="M174" s="451"/>
      <c r="N174" s="451"/>
      <c r="O174" s="451"/>
      <c r="P174" s="451"/>
      <c r="Q174" s="450"/>
      <c r="R174" s="451"/>
      <c r="S174" s="451"/>
      <c r="T174" s="451"/>
      <c r="U174" s="451"/>
      <c r="V174" s="451"/>
      <c r="W174" s="451"/>
      <c r="X174" s="451"/>
      <c r="Y174" s="451"/>
      <c r="Z174" s="451"/>
      <c r="AA174" s="451"/>
      <c r="AB174" s="450"/>
      <c r="AC174" s="450"/>
      <c r="AD174" s="871"/>
      <c r="AE174" s="872"/>
      <c r="AF174" s="872"/>
      <c r="AG174" s="872"/>
      <c r="AH174" s="872"/>
      <c r="AI174" s="873"/>
    </row>
    <row r="175" spans="1:35" ht="35.25" customHeight="1" x14ac:dyDescent="0.4">
      <c r="A175" s="434" t="str">
        <f>+A162</f>
        <v>May</v>
      </c>
      <c r="B175" s="624">
        <f>+B162+1</f>
        <v>14</v>
      </c>
      <c r="C175" s="884" t="s">
        <v>128</v>
      </c>
      <c r="D175" s="884"/>
      <c r="E175" s="884"/>
      <c r="F175" s="884"/>
      <c r="G175" s="377"/>
      <c r="H175" s="377"/>
      <c r="I175" s="21"/>
      <c r="J175" s="874" t="s">
        <v>129</v>
      </c>
      <c r="K175" s="875"/>
      <c r="L175" s="875"/>
      <c r="M175" s="875"/>
      <c r="N175" s="876" t="s">
        <v>130</v>
      </c>
      <c r="O175" s="876"/>
      <c r="P175" s="876"/>
      <c r="Q175" s="876"/>
      <c r="R175" s="424" t="str">
        <f>+R162</f>
        <v xml:space="preserve"> Corrections Tracking - Check out rooms</v>
      </c>
      <c r="S175" s="424"/>
      <c r="T175" s="424"/>
      <c r="U175" s="424"/>
      <c r="V175" s="424"/>
      <c r="W175" s="424"/>
      <c r="X175" s="424"/>
      <c r="Y175" s="424"/>
      <c r="Z175" s="424"/>
      <c r="AA175" s="424"/>
      <c r="AB175" s="424"/>
      <c r="AC175" s="424"/>
      <c r="AD175" s="461" t="s">
        <v>132</v>
      </c>
      <c r="AE175" s="426"/>
      <c r="AF175" s="426"/>
      <c r="AG175" s="426"/>
      <c r="AH175" s="426"/>
      <c r="AI175" s="427"/>
    </row>
    <row r="176" spans="1:35" ht="59.25" customHeight="1" x14ac:dyDescent="0.25">
      <c r="A176" s="378" t="s">
        <v>133</v>
      </c>
      <c r="C176" s="435" t="s">
        <v>134</v>
      </c>
      <c r="D176" s="435" t="s">
        <v>135</v>
      </c>
      <c r="E176" s="435" t="s">
        <v>134</v>
      </c>
      <c r="F176" s="435" t="s">
        <v>135</v>
      </c>
      <c r="G176" s="1" t="s">
        <v>136</v>
      </c>
      <c r="H176" s="1" t="s">
        <v>108</v>
      </c>
      <c r="I176" s="436"/>
      <c r="J176" s="437" t="str">
        <f>+Setup_and_Criteria!$B$13</f>
        <v>Checkouts</v>
      </c>
      <c r="K176" s="437" t="str">
        <f>+Setup_and_Criteria!$B$14</f>
        <v>Pet Rooms</v>
      </c>
      <c r="L176" s="437" t="str">
        <f>+Setup_and_Criteria!$B$15</f>
        <v>2 Rm &amp; Jac Stes</v>
      </c>
      <c r="M176" s="438" t="str">
        <f>+Setup_and_Criteria!$B$16</f>
        <v>Stayovers</v>
      </c>
      <c r="N176" s="269" t="s">
        <v>137</v>
      </c>
      <c r="O176" s="269" t="s">
        <v>138</v>
      </c>
      <c r="P176" s="439" t="s">
        <v>139</v>
      </c>
      <c r="Q176" s="439" t="s">
        <v>140</v>
      </c>
      <c r="R176" s="440" t="str">
        <f>+Corrections!$C$8</f>
        <v>Vanity</v>
      </c>
      <c r="S176" s="440" t="str">
        <f>+Corrections!$I$8</f>
        <v>Toilet</v>
      </c>
      <c r="T176" s="440" t="str">
        <f>+Corrections!$O$8</f>
        <v>Bed/Pillows</v>
      </c>
      <c r="U176" s="440" t="str">
        <f>+Corrections!$U$8</f>
        <v>Floor</v>
      </c>
      <c r="V176" s="440" t="str">
        <f>+Corrections!$AA$8</f>
        <v>Dusting</v>
      </c>
      <c r="W176" s="440" t="str">
        <f>+Corrections!$AG$8</f>
        <v>Fridge/Micro</v>
      </c>
      <c r="X176" s="440" t="str">
        <f>+Corrections!$AM$8</f>
        <v>Tub</v>
      </c>
      <c r="Y176" s="441" t="str">
        <f>+Corrections!$AS$8</f>
        <v>Mirrors/Glass</v>
      </c>
      <c r="Z176" s="440" t="str">
        <f>+Corrections!$AY$8</f>
        <v>Stocking</v>
      </c>
      <c r="AA176" s="440" t="str">
        <f>+Corrections!$BE$8</f>
        <v>Other</v>
      </c>
      <c r="AB176" s="269" t="s">
        <v>141</v>
      </c>
      <c r="AC176" s="269" t="str">
        <f>+$AC$7</f>
        <v>Daily Corr / Inspected Checkout</v>
      </c>
      <c r="AD176" s="889" t="s">
        <v>143</v>
      </c>
      <c r="AE176" s="890"/>
      <c r="AF176" s="890"/>
      <c r="AG176" s="890"/>
      <c r="AH176" s="890"/>
      <c r="AI176" s="891"/>
    </row>
    <row r="177" spans="1:35" x14ac:dyDescent="0.25">
      <c r="A177" s="638"/>
      <c r="C177" s="369"/>
      <c r="D177" s="369"/>
      <c r="E177" s="369"/>
      <c r="F177" s="369"/>
      <c r="G177" s="264">
        <f t="shared" ref="G177:G182" si="105">+(D177-C177)+(F177-E177)</f>
        <v>0</v>
      </c>
      <c r="H177" s="442">
        <f t="shared" ref="H177:H182" si="106">+G177*1440</f>
        <v>0</v>
      </c>
      <c r="J177" s="630"/>
      <c r="K177" s="630"/>
      <c r="L177" s="630"/>
      <c r="M177" s="630"/>
      <c r="N177" s="1">
        <f>IF(C177&gt;0,((J177*Setup_and_Criteria!$F$13)+('M1_1-15th'!K177*Setup_and_Criteria!$F$14)+('M1_1-15th'!L177*Setup_and_Criteria!$F$15)+('M1_1-15th'!M177*Setup_and_Criteria!$F$16)+Setup_and_Criteria!$J$16),0)</f>
        <v>0</v>
      </c>
      <c r="O177" s="442">
        <f>+H177</f>
        <v>0</v>
      </c>
      <c r="P177" s="443">
        <f t="shared" ref="P177:P183" si="107">+N177-O177</f>
        <v>0</v>
      </c>
      <c r="Q177" s="357" t="e">
        <f t="shared" ref="Q177:Q183" si="108">O177/_xlfn.SINGLE(SUM(J177:M177))</f>
        <v>#DIV/0!</v>
      </c>
      <c r="R177" s="630"/>
      <c r="S177" s="630"/>
      <c r="T177" s="630"/>
      <c r="U177" s="630"/>
      <c r="V177" s="630"/>
      <c r="W177" s="630"/>
      <c r="X177" s="630"/>
      <c r="Y177" s="630"/>
      <c r="Z177" s="630"/>
      <c r="AA177" s="630"/>
      <c r="AB177" s="1">
        <f t="shared" ref="AB177:AB183" si="109">SUM(R177:AA177)</f>
        <v>0</v>
      </c>
      <c r="AC177" s="357" t="e">
        <f t="shared" ref="AC177:AC183" si="110">+AB177/(J177+K177+L177)</f>
        <v>#DIV/0!</v>
      </c>
      <c r="AD177" s="864" t="s">
        <v>144</v>
      </c>
      <c r="AE177" s="865"/>
      <c r="AF177" s="865"/>
      <c r="AG177" s="866"/>
      <c r="AH177" s="866"/>
      <c r="AI177" s="867"/>
    </row>
    <row r="178" spans="1:35" x14ac:dyDescent="0.25">
      <c r="A178" s="638"/>
      <c r="C178" s="630"/>
      <c r="D178" s="630"/>
      <c r="E178" s="630"/>
      <c r="F178" s="630"/>
      <c r="G178" s="264">
        <f t="shared" si="105"/>
        <v>0</v>
      </c>
      <c r="H178" s="442">
        <f t="shared" si="106"/>
        <v>0</v>
      </c>
      <c r="J178" s="630"/>
      <c r="K178" s="630"/>
      <c r="L178" s="630"/>
      <c r="M178" s="630"/>
      <c r="N178" s="1">
        <f>IF(C178&gt;0,((J178*Setup_and_Criteria!$F$13)+('M1_1-15th'!K178*Setup_and_Criteria!$F$14)+('M1_1-15th'!L178*Setup_and_Criteria!$F$15)+('M1_1-15th'!M178*Setup_and_Criteria!$F$16)+Setup_and_Criteria!$J$16),0)</f>
        <v>0</v>
      </c>
      <c r="O178" s="442">
        <f t="shared" ref="O178:O183" si="111">+H178</f>
        <v>0</v>
      </c>
      <c r="P178" s="443">
        <f t="shared" si="107"/>
        <v>0</v>
      </c>
      <c r="Q178" s="357" t="e">
        <f t="shared" si="108"/>
        <v>#DIV/0!</v>
      </c>
      <c r="R178" s="630"/>
      <c r="S178" s="630"/>
      <c r="T178" s="630"/>
      <c r="U178" s="630"/>
      <c r="V178" s="630"/>
      <c r="W178" s="630"/>
      <c r="X178" s="630"/>
      <c r="Y178" s="630"/>
      <c r="Z178" s="630"/>
      <c r="AA178" s="630"/>
      <c r="AB178" s="1">
        <f t="shared" si="109"/>
        <v>0</v>
      </c>
      <c r="AC178" s="357" t="e">
        <f t="shared" si="110"/>
        <v>#DIV/0!</v>
      </c>
      <c r="AD178" s="864"/>
      <c r="AE178" s="865"/>
      <c r="AF178" s="865"/>
      <c r="AG178" s="866"/>
      <c r="AH178" s="866"/>
      <c r="AI178" s="867"/>
    </row>
    <row r="179" spans="1:35" x14ac:dyDescent="0.25">
      <c r="A179" s="638"/>
      <c r="C179" s="630"/>
      <c r="D179" s="630"/>
      <c r="E179" s="630"/>
      <c r="F179" s="630"/>
      <c r="G179" s="264">
        <f t="shared" si="105"/>
        <v>0</v>
      </c>
      <c r="H179" s="442">
        <f t="shared" si="106"/>
        <v>0</v>
      </c>
      <c r="J179" s="630"/>
      <c r="K179" s="630"/>
      <c r="L179" s="630"/>
      <c r="M179" s="630"/>
      <c r="N179" s="1">
        <f>IF(C179&gt;0,((J179*Setup_and_Criteria!$F$13)+('M1_1-15th'!K179*Setup_and_Criteria!$F$14)+('M1_1-15th'!L179*Setup_and_Criteria!$F$15)+('M1_1-15th'!M179*Setup_and_Criteria!$F$16)+Setup_and_Criteria!$J$16),0)</f>
        <v>0</v>
      </c>
      <c r="O179" s="442">
        <f t="shared" si="111"/>
        <v>0</v>
      </c>
      <c r="P179" s="443">
        <f t="shared" si="107"/>
        <v>0</v>
      </c>
      <c r="Q179" s="357" t="e">
        <f t="shared" si="108"/>
        <v>#DIV/0!</v>
      </c>
      <c r="R179" s="630"/>
      <c r="S179" s="630"/>
      <c r="T179" s="630"/>
      <c r="U179" s="630"/>
      <c r="V179" s="630"/>
      <c r="W179" s="630"/>
      <c r="X179" s="630"/>
      <c r="Y179" s="630"/>
      <c r="Z179" s="630"/>
      <c r="AA179" s="630"/>
      <c r="AB179" s="1">
        <f t="shared" si="109"/>
        <v>0</v>
      </c>
      <c r="AC179" s="357" t="e">
        <f t="shared" si="110"/>
        <v>#DIV/0!</v>
      </c>
      <c r="AD179" s="864"/>
      <c r="AE179" s="865"/>
      <c r="AF179" s="865"/>
      <c r="AG179" s="866"/>
      <c r="AH179" s="866"/>
      <c r="AI179" s="867"/>
    </row>
    <row r="180" spans="1:35" x14ac:dyDescent="0.25">
      <c r="A180" s="638"/>
      <c r="C180" s="630"/>
      <c r="D180" s="630"/>
      <c r="E180" s="630"/>
      <c r="F180" s="630"/>
      <c r="G180" s="264">
        <f t="shared" si="105"/>
        <v>0</v>
      </c>
      <c r="H180" s="442">
        <f t="shared" si="106"/>
        <v>0</v>
      </c>
      <c r="J180" s="630"/>
      <c r="K180" s="630"/>
      <c r="L180" s="630"/>
      <c r="M180" s="630"/>
      <c r="N180" s="1">
        <f>IF(C180&gt;0,((J180*Setup_and_Criteria!$F$13)+('M1_1-15th'!K180*Setup_and_Criteria!$F$14)+('M1_1-15th'!L180*Setup_and_Criteria!$F$15)+('M1_1-15th'!M180*Setup_and_Criteria!$F$16)+Setup_and_Criteria!$J$16),0)</f>
        <v>0</v>
      </c>
      <c r="O180" s="442">
        <f t="shared" si="111"/>
        <v>0</v>
      </c>
      <c r="P180" s="443">
        <f t="shared" si="107"/>
        <v>0</v>
      </c>
      <c r="Q180" s="357" t="e">
        <f t="shared" si="108"/>
        <v>#DIV/0!</v>
      </c>
      <c r="R180" s="630"/>
      <c r="S180" s="630"/>
      <c r="T180" s="630"/>
      <c r="U180" s="630"/>
      <c r="V180" s="630"/>
      <c r="W180" s="630"/>
      <c r="X180" s="630"/>
      <c r="Y180" s="630"/>
      <c r="Z180" s="630"/>
      <c r="AA180" s="630"/>
      <c r="AB180" s="1">
        <f t="shared" si="109"/>
        <v>0</v>
      </c>
      <c r="AC180" s="357" t="e">
        <f t="shared" si="110"/>
        <v>#DIV/0!</v>
      </c>
      <c r="AD180" s="864"/>
      <c r="AE180" s="865"/>
      <c r="AF180" s="865"/>
      <c r="AG180" s="866"/>
      <c r="AH180" s="866"/>
      <c r="AI180" s="867"/>
    </row>
    <row r="181" spans="1:35" x14ac:dyDescent="0.25">
      <c r="A181" s="638"/>
      <c r="C181" s="630"/>
      <c r="D181" s="630"/>
      <c r="E181" s="630"/>
      <c r="F181" s="630"/>
      <c r="G181" s="264">
        <f t="shared" si="105"/>
        <v>0</v>
      </c>
      <c r="H181" s="442">
        <f t="shared" si="106"/>
        <v>0</v>
      </c>
      <c r="J181" s="630"/>
      <c r="K181" s="630"/>
      <c r="L181" s="630"/>
      <c r="M181" s="630"/>
      <c r="N181" s="1">
        <f>IF(C181&gt;0,((J181*Setup_and_Criteria!$F$13)+('M1_1-15th'!K181*Setup_and_Criteria!$F$14)+('M1_1-15th'!L181*Setup_and_Criteria!$F$15)+('M1_1-15th'!M181*Setup_and_Criteria!$F$16)+Setup_and_Criteria!$J$16),0)</f>
        <v>0</v>
      </c>
      <c r="O181" s="442">
        <f t="shared" si="111"/>
        <v>0</v>
      </c>
      <c r="P181" s="443">
        <f t="shared" si="107"/>
        <v>0</v>
      </c>
      <c r="Q181" s="357" t="e">
        <f t="shared" si="108"/>
        <v>#DIV/0!</v>
      </c>
      <c r="R181" s="630"/>
      <c r="S181" s="630"/>
      <c r="T181" s="630"/>
      <c r="U181" s="630"/>
      <c r="V181" s="630"/>
      <c r="W181" s="630"/>
      <c r="X181" s="630"/>
      <c r="Y181" s="630"/>
      <c r="Z181" s="630"/>
      <c r="AA181" s="630"/>
      <c r="AB181" s="1">
        <f t="shared" si="109"/>
        <v>0</v>
      </c>
      <c r="AC181" s="357" t="e">
        <f t="shared" si="110"/>
        <v>#DIV/0!</v>
      </c>
      <c r="AD181" s="864"/>
      <c r="AE181" s="865"/>
      <c r="AF181" s="865"/>
      <c r="AG181" s="866"/>
      <c r="AH181" s="866"/>
      <c r="AI181" s="867"/>
    </row>
    <row r="182" spans="1:35" ht="15.75" thickBot="1" x14ac:dyDescent="0.3">
      <c r="A182" s="638"/>
      <c r="C182" s="370"/>
      <c r="D182" s="370"/>
      <c r="E182" s="630"/>
      <c r="F182" s="630"/>
      <c r="G182" s="264">
        <f t="shared" si="105"/>
        <v>0</v>
      </c>
      <c r="H182" s="442">
        <f t="shared" si="106"/>
        <v>0</v>
      </c>
      <c r="J182" s="371"/>
      <c r="K182" s="371"/>
      <c r="L182" s="371"/>
      <c r="M182" s="371"/>
      <c r="N182" s="358">
        <f>IF(C182&gt;0,((J182*Setup_and_Criteria!$F$13)+('M1_1-15th'!K182*Setup_and_Criteria!$F$14)+('M1_1-15th'!L182*Setup_and_Criteria!$F$15)+('M1_1-15th'!M182*Setup_and_Criteria!$F$16)+Setup_and_Criteria!$J$16),0)</f>
        <v>0</v>
      </c>
      <c r="O182" s="359">
        <f t="shared" si="111"/>
        <v>0</v>
      </c>
      <c r="P182" s="383">
        <f t="shared" si="107"/>
        <v>0</v>
      </c>
      <c r="Q182" s="360" t="e">
        <f t="shared" si="108"/>
        <v>#DIV/0!</v>
      </c>
      <c r="R182" s="511"/>
      <c r="S182" s="511"/>
      <c r="T182" s="511"/>
      <c r="U182" s="511"/>
      <c r="V182" s="511"/>
      <c r="W182" s="511"/>
      <c r="X182" s="511"/>
      <c r="Y182" s="511"/>
      <c r="Z182" s="511"/>
      <c r="AA182" s="511"/>
      <c r="AB182" s="1">
        <f t="shared" si="109"/>
        <v>0</v>
      </c>
      <c r="AC182" s="357" t="e">
        <f t="shared" si="110"/>
        <v>#DIV/0!</v>
      </c>
      <c r="AD182" s="864"/>
      <c r="AE182" s="865"/>
      <c r="AF182" s="865"/>
      <c r="AG182" s="866"/>
      <c r="AH182" s="866"/>
      <c r="AI182" s="867"/>
    </row>
    <row r="183" spans="1:35" ht="15.75" thickTop="1" x14ac:dyDescent="0.25">
      <c r="A183" s="58"/>
      <c r="H183" s="442">
        <f>SUM(H177:H182)</f>
        <v>0</v>
      </c>
      <c r="J183" s="1">
        <f>SUM(J177:J182)</f>
        <v>0</v>
      </c>
      <c r="K183" s="1">
        <f>SUM(K177:K182)</f>
        <v>0</v>
      </c>
      <c r="L183" s="1">
        <f>SUM(L177:L182)</f>
        <v>0</v>
      </c>
      <c r="M183" s="1">
        <f>SUM(M177:M182)</f>
        <v>0</v>
      </c>
      <c r="N183" s="1">
        <f>SUM(N177:N182)</f>
        <v>0</v>
      </c>
      <c r="O183" s="1">
        <f t="shared" si="111"/>
        <v>0</v>
      </c>
      <c r="P183" s="443">
        <f t="shared" si="107"/>
        <v>0</v>
      </c>
      <c r="Q183" s="357" t="e">
        <f t="shared" si="108"/>
        <v>#DIV/0!</v>
      </c>
      <c r="R183" s="1">
        <f t="shared" ref="R183:AA183" si="112">SUM(R177:R182)</f>
        <v>0</v>
      </c>
      <c r="S183" s="1">
        <f t="shared" si="112"/>
        <v>0</v>
      </c>
      <c r="T183" s="1">
        <f t="shared" si="112"/>
        <v>0</v>
      </c>
      <c r="U183" s="1">
        <f t="shared" si="112"/>
        <v>0</v>
      </c>
      <c r="V183" s="1">
        <f t="shared" si="112"/>
        <v>0</v>
      </c>
      <c r="W183" s="1">
        <f t="shared" si="112"/>
        <v>0</v>
      </c>
      <c r="X183" s="1">
        <f t="shared" si="112"/>
        <v>0</v>
      </c>
      <c r="Y183" s="1">
        <f t="shared" si="112"/>
        <v>0</v>
      </c>
      <c r="Z183" s="1">
        <f t="shared" si="112"/>
        <v>0</v>
      </c>
      <c r="AA183" s="1">
        <f t="shared" si="112"/>
        <v>0</v>
      </c>
      <c r="AB183" s="1">
        <f t="shared" si="109"/>
        <v>0</v>
      </c>
      <c r="AC183" s="357" t="e">
        <f t="shared" si="110"/>
        <v>#DIV/0!</v>
      </c>
      <c r="AD183" s="877"/>
      <c r="AE183" s="878"/>
      <c r="AF183" s="878"/>
      <c r="AG183" s="749"/>
      <c r="AH183" s="749"/>
      <c r="AI183" s="879"/>
    </row>
    <row r="184" spans="1:35" ht="21" customHeight="1" x14ac:dyDescent="0.35">
      <c r="A184" s="58"/>
      <c r="H184" s="442"/>
      <c r="N184" s="888" t="s">
        <v>145</v>
      </c>
      <c r="O184" s="888"/>
      <c r="P184" s="888"/>
      <c r="Q184" s="888"/>
      <c r="R184" s="431" t="s">
        <v>146</v>
      </c>
      <c r="S184" s="431"/>
      <c r="T184" s="431"/>
      <c r="U184" s="431"/>
      <c r="V184" s="431"/>
      <c r="W184" s="431"/>
      <c r="X184" s="431"/>
      <c r="Y184" s="431"/>
      <c r="Z184" s="431"/>
      <c r="AA184" s="431"/>
      <c r="AB184" s="431"/>
      <c r="AC184" s="431"/>
      <c r="AD184" s="880" t="s">
        <v>132</v>
      </c>
      <c r="AE184" s="881"/>
      <c r="AF184" s="881"/>
      <c r="AG184" s="881"/>
      <c r="AH184" s="881"/>
      <c r="AI184" s="882"/>
    </row>
    <row r="185" spans="1:35" ht="31.5" customHeight="1" x14ac:dyDescent="0.35">
      <c r="A185" s="617" t="s">
        <v>147</v>
      </c>
      <c r="C185" s="885" t="s">
        <v>128</v>
      </c>
      <c r="D185" s="885"/>
      <c r="E185" s="885"/>
      <c r="F185" s="885"/>
      <c r="H185" s="442"/>
      <c r="J185" s="444"/>
      <c r="K185" s="445" t="s">
        <v>35</v>
      </c>
      <c r="L185" s="445" t="s">
        <v>148</v>
      </c>
      <c r="N185" s="446" t="s">
        <v>149</v>
      </c>
      <c r="O185" s="447" t="s">
        <v>150</v>
      </c>
      <c r="P185" s="447" t="s">
        <v>138</v>
      </c>
      <c r="Q185" s="447" t="s">
        <v>151</v>
      </c>
      <c r="R185" s="749" t="s">
        <v>152</v>
      </c>
      <c r="S185" s="749"/>
      <c r="T185" s="883" t="s">
        <v>153</v>
      </c>
      <c r="U185" s="883"/>
      <c r="W185" s="425" t="s">
        <v>154</v>
      </c>
      <c r="X185" s="425"/>
      <c r="Y185" s="425"/>
      <c r="Z185" s="425"/>
      <c r="AA185" s="425"/>
      <c r="AB185" s="425"/>
      <c r="AC185" s="425"/>
      <c r="AD185" s="868" t="s">
        <v>160</v>
      </c>
      <c r="AE185" s="869"/>
      <c r="AF185" s="869"/>
      <c r="AG185" s="869"/>
      <c r="AH185" s="869"/>
      <c r="AI185" s="870"/>
    </row>
    <row r="186" spans="1:35" ht="18" customHeight="1" thickBot="1" x14ac:dyDescent="0.3">
      <c r="A186" s="639"/>
      <c r="B186" s="375"/>
      <c r="C186" s="372"/>
      <c r="D186" s="372"/>
      <c r="E186" s="372"/>
      <c r="F186" s="372"/>
      <c r="G186" s="366">
        <f>+(D186-C186)+(F186-E186)</f>
        <v>0</v>
      </c>
      <c r="H186" s="367">
        <f>+G186*1440</f>
        <v>0</v>
      </c>
      <c r="I186" s="859" t="s">
        <v>155</v>
      </c>
      <c r="J186" s="860"/>
      <c r="K186" s="373"/>
      <c r="L186" s="374"/>
      <c r="M186" s="423"/>
      <c r="N186" s="629">
        <f>+J183+L183+K183+K186+L186</f>
        <v>0</v>
      </c>
      <c r="O186" s="368">
        <f>+(Setup_and_Criteria!$K$31+(J183*Setup_and_Criteria!$F$20)+('M1_1-15th'!K183*Setup_and_Criteria!$F$21)+('M1_1-15th'!L183*Setup_and_Criteria!$F$20))+T186+(K186*Setup_and_Criteria!$F$21)+(Setup_and_Criteria!$F$22*'M1_1-15th'!L186)</f>
        <v>75</v>
      </c>
      <c r="P186" s="367">
        <f>+H186</f>
        <v>0</v>
      </c>
      <c r="Q186" s="367">
        <f>+O186-P186</f>
        <v>75</v>
      </c>
      <c r="R186" s="861" t="s">
        <v>252</v>
      </c>
      <c r="S186" s="861"/>
      <c r="T186" s="862"/>
      <c r="U186" s="863"/>
      <c r="V186" s="265" t="s">
        <v>156</v>
      </c>
      <c r="W186" s="854"/>
      <c r="X186" s="855"/>
      <c r="Y186" s="855"/>
      <c r="Z186" s="855"/>
      <c r="AA186" s="855"/>
      <c r="AB186" s="855"/>
      <c r="AC186" s="855"/>
      <c r="AD186" s="868"/>
      <c r="AE186" s="869"/>
      <c r="AF186" s="869"/>
      <c r="AG186" s="869"/>
      <c r="AH186" s="869"/>
      <c r="AI186" s="870"/>
    </row>
    <row r="187" spans="1:35" ht="15.75" thickBot="1" x14ac:dyDescent="0.3">
      <c r="A187" s="449" t="str">
        <f>+A174</f>
        <v>Password to enter data = "Enter Info"</v>
      </c>
      <c r="B187" s="450"/>
      <c r="C187" s="451"/>
      <c r="D187" s="451"/>
      <c r="E187" s="451"/>
      <c r="F187" s="451"/>
      <c r="G187" s="451"/>
      <c r="H187" s="451"/>
      <c r="I187" s="450"/>
      <c r="J187" s="451"/>
      <c r="K187" s="451"/>
      <c r="L187" s="451"/>
      <c r="M187" s="451"/>
      <c r="N187" s="451"/>
      <c r="O187" s="451"/>
      <c r="P187" s="451"/>
      <c r="Q187" s="450"/>
      <c r="R187" s="451"/>
      <c r="S187" s="451"/>
      <c r="T187" s="451"/>
      <c r="U187" s="451"/>
      <c r="V187" s="451"/>
      <c r="W187" s="451"/>
      <c r="X187" s="451"/>
      <c r="Y187" s="451"/>
      <c r="Z187" s="451"/>
      <c r="AA187" s="451"/>
      <c r="AB187" s="450"/>
      <c r="AC187" s="450"/>
      <c r="AD187" s="871"/>
      <c r="AE187" s="872"/>
      <c r="AF187" s="872"/>
      <c r="AG187" s="872"/>
      <c r="AH187" s="872"/>
      <c r="AI187" s="873"/>
    </row>
    <row r="188" spans="1:35" ht="35.25" customHeight="1" x14ac:dyDescent="0.4">
      <c r="A188" s="434" t="str">
        <f>+A175</f>
        <v>May</v>
      </c>
      <c r="B188" s="624">
        <f>+B175+1</f>
        <v>15</v>
      </c>
      <c r="C188" s="884" t="s">
        <v>128</v>
      </c>
      <c r="D188" s="884"/>
      <c r="E188" s="884"/>
      <c r="F188" s="884"/>
      <c r="G188" s="377"/>
      <c r="H188" s="377"/>
      <c r="I188" s="21"/>
      <c r="J188" s="874" t="s">
        <v>129</v>
      </c>
      <c r="K188" s="875"/>
      <c r="L188" s="875"/>
      <c r="M188" s="875"/>
      <c r="N188" s="876" t="s">
        <v>130</v>
      </c>
      <c r="O188" s="876"/>
      <c r="P188" s="876"/>
      <c r="Q188" s="876"/>
      <c r="R188" s="424" t="str">
        <f>+R175</f>
        <v xml:space="preserve"> Corrections Tracking - Check out rooms</v>
      </c>
      <c r="S188" s="424"/>
      <c r="T188" s="424"/>
      <c r="U188" s="424"/>
      <c r="V188" s="424"/>
      <c r="W188" s="424"/>
      <c r="X188" s="424"/>
      <c r="Y188" s="424"/>
      <c r="Z188" s="424"/>
      <c r="AA188" s="424"/>
      <c r="AB188" s="424"/>
      <c r="AC188" s="424"/>
      <c r="AD188" s="461" t="s">
        <v>132</v>
      </c>
      <c r="AE188" s="426"/>
      <c r="AF188" s="426"/>
      <c r="AG188" s="426"/>
      <c r="AH188" s="426"/>
      <c r="AI188" s="427"/>
    </row>
    <row r="189" spans="1:35" ht="59.25" customHeight="1" x14ac:dyDescent="0.25">
      <c r="A189" s="378" t="s">
        <v>133</v>
      </c>
      <c r="C189" s="435" t="s">
        <v>134</v>
      </c>
      <c r="D189" s="435" t="s">
        <v>135</v>
      </c>
      <c r="E189" s="435" t="s">
        <v>134</v>
      </c>
      <c r="F189" s="435" t="s">
        <v>135</v>
      </c>
      <c r="G189" s="1" t="s">
        <v>136</v>
      </c>
      <c r="H189" s="1" t="s">
        <v>108</v>
      </c>
      <c r="I189" s="436"/>
      <c r="J189" s="437" t="str">
        <f>+Setup_and_Criteria!$B$13</f>
        <v>Checkouts</v>
      </c>
      <c r="K189" s="437" t="str">
        <f>+Setup_and_Criteria!$B$14</f>
        <v>Pet Rooms</v>
      </c>
      <c r="L189" s="437" t="str">
        <f>+Setup_and_Criteria!$B$15</f>
        <v>2 Rm &amp; Jac Stes</v>
      </c>
      <c r="M189" s="438" t="str">
        <f>+Setup_and_Criteria!$B$16</f>
        <v>Stayovers</v>
      </c>
      <c r="N189" s="269" t="s">
        <v>137</v>
      </c>
      <c r="O189" s="269" t="s">
        <v>138</v>
      </c>
      <c r="P189" s="439" t="s">
        <v>139</v>
      </c>
      <c r="Q189" s="439" t="s">
        <v>140</v>
      </c>
      <c r="R189" s="440" t="str">
        <f>+Corrections!$C$8</f>
        <v>Vanity</v>
      </c>
      <c r="S189" s="440" t="str">
        <f>+Corrections!$I$8</f>
        <v>Toilet</v>
      </c>
      <c r="T189" s="440" t="str">
        <f>+Corrections!$O$8</f>
        <v>Bed/Pillows</v>
      </c>
      <c r="U189" s="440" t="str">
        <f>+Corrections!$U$8</f>
        <v>Floor</v>
      </c>
      <c r="V189" s="440" t="str">
        <f>+Corrections!$AA$8</f>
        <v>Dusting</v>
      </c>
      <c r="W189" s="440" t="str">
        <f>+Corrections!$AG$8</f>
        <v>Fridge/Micro</v>
      </c>
      <c r="X189" s="440" t="str">
        <f>+Corrections!$AM$8</f>
        <v>Tub</v>
      </c>
      <c r="Y189" s="441" t="str">
        <f>+Corrections!$AS$8</f>
        <v>Mirrors/Glass</v>
      </c>
      <c r="Z189" s="440" t="str">
        <f>+Corrections!$AY$8</f>
        <v>Stocking</v>
      </c>
      <c r="AA189" s="440" t="str">
        <f>+Corrections!$BE$8</f>
        <v>Other</v>
      </c>
      <c r="AB189" s="269" t="s">
        <v>141</v>
      </c>
      <c r="AC189" s="269" t="str">
        <f>+$AC$7</f>
        <v>Daily Corr / Inspected Checkout</v>
      </c>
      <c r="AD189" s="889" t="s">
        <v>143</v>
      </c>
      <c r="AE189" s="890"/>
      <c r="AF189" s="890"/>
      <c r="AG189" s="890"/>
      <c r="AH189" s="890"/>
      <c r="AI189" s="891"/>
    </row>
    <row r="190" spans="1:35" x14ac:dyDescent="0.25">
      <c r="A190" s="638"/>
      <c r="C190" s="369"/>
      <c r="D190" s="369"/>
      <c r="E190" s="369"/>
      <c r="F190" s="369"/>
      <c r="G190" s="264">
        <f t="shared" ref="G190:G195" si="113">+(D190-C190)+(F190-E190)</f>
        <v>0</v>
      </c>
      <c r="H190" s="442">
        <f t="shared" ref="H190:H195" si="114">+G190*1440</f>
        <v>0</v>
      </c>
      <c r="J190" s="630"/>
      <c r="K190" s="630"/>
      <c r="L190" s="630"/>
      <c r="M190" s="630"/>
      <c r="N190" s="1">
        <f>IF(C190&gt;0,((J190*Setup_and_Criteria!$F$13)+('M1_1-15th'!K190*Setup_and_Criteria!$F$14)+('M1_1-15th'!L190*Setup_and_Criteria!$F$15)+('M1_1-15th'!M190*Setup_and_Criteria!$F$16)+Setup_and_Criteria!$J$16),0)</f>
        <v>0</v>
      </c>
      <c r="O190" s="442">
        <f>+H190</f>
        <v>0</v>
      </c>
      <c r="P190" s="443">
        <f t="shared" ref="P190:P196" si="115">+N190-O190</f>
        <v>0</v>
      </c>
      <c r="Q190" s="357" t="e">
        <f t="shared" ref="Q190:Q196" si="116">O190/_xlfn.SINGLE(SUM(J190:M190))</f>
        <v>#DIV/0!</v>
      </c>
      <c r="R190" s="630"/>
      <c r="S190" s="630"/>
      <c r="T190" s="630"/>
      <c r="U190" s="630"/>
      <c r="V190" s="630"/>
      <c r="W190" s="630"/>
      <c r="X190" s="630"/>
      <c r="Y190" s="630"/>
      <c r="Z190" s="630"/>
      <c r="AA190" s="630"/>
      <c r="AB190" s="1">
        <f t="shared" ref="AB190:AB196" si="117">SUM(R190:AA190)</f>
        <v>0</v>
      </c>
      <c r="AC190" s="357" t="e">
        <f t="shared" ref="AC190:AC196" si="118">+AB190/(J190+K190+L190)</f>
        <v>#DIV/0!</v>
      </c>
      <c r="AD190" s="864" t="s">
        <v>144</v>
      </c>
      <c r="AE190" s="865"/>
      <c r="AF190" s="865"/>
      <c r="AG190" s="866"/>
      <c r="AH190" s="866"/>
      <c r="AI190" s="867"/>
    </row>
    <row r="191" spans="1:35" x14ac:dyDescent="0.25">
      <c r="A191" s="638"/>
      <c r="C191" s="630"/>
      <c r="D191" s="630"/>
      <c r="E191" s="630"/>
      <c r="F191" s="630"/>
      <c r="G191" s="264">
        <f t="shared" si="113"/>
        <v>0</v>
      </c>
      <c r="H191" s="442">
        <f t="shared" si="114"/>
        <v>0</v>
      </c>
      <c r="J191" s="630"/>
      <c r="K191" s="630"/>
      <c r="L191" s="630"/>
      <c r="M191" s="630"/>
      <c r="N191" s="1">
        <f>IF(C191&gt;0,((J191*Setup_and_Criteria!$F$13)+('M1_1-15th'!K191*Setup_and_Criteria!$F$14)+('M1_1-15th'!L191*Setup_and_Criteria!$F$15)+('M1_1-15th'!M191*Setup_and_Criteria!$F$16)+Setup_and_Criteria!$J$16),0)</f>
        <v>0</v>
      </c>
      <c r="O191" s="442">
        <f t="shared" ref="O191:O196" si="119">+H191</f>
        <v>0</v>
      </c>
      <c r="P191" s="443">
        <f t="shared" si="115"/>
        <v>0</v>
      </c>
      <c r="Q191" s="357" t="e">
        <f t="shared" si="116"/>
        <v>#DIV/0!</v>
      </c>
      <c r="R191" s="630"/>
      <c r="S191" s="630"/>
      <c r="T191" s="630"/>
      <c r="U191" s="630"/>
      <c r="V191" s="630"/>
      <c r="W191" s="630"/>
      <c r="X191" s="630"/>
      <c r="Y191" s="630"/>
      <c r="Z191" s="630"/>
      <c r="AA191" s="630"/>
      <c r="AB191" s="1">
        <f t="shared" si="117"/>
        <v>0</v>
      </c>
      <c r="AC191" s="357" t="e">
        <f t="shared" si="118"/>
        <v>#DIV/0!</v>
      </c>
      <c r="AD191" s="864"/>
      <c r="AE191" s="865"/>
      <c r="AF191" s="865"/>
      <c r="AG191" s="866"/>
      <c r="AH191" s="866"/>
      <c r="AI191" s="867"/>
    </row>
    <row r="192" spans="1:35" x14ac:dyDescent="0.25">
      <c r="A192" s="638"/>
      <c r="C192" s="630"/>
      <c r="D192" s="630"/>
      <c r="E192" s="630"/>
      <c r="F192" s="630"/>
      <c r="G192" s="264">
        <f t="shared" si="113"/>
        <v>0</v>
      </c>
      <c r="H192" s="442">
        <f t="shared" si="114"/>
        <v>0</v>
      </c>
      <c r="J192" s="630"/>
      <c r="K192" s="630"/>
      <c r="L192" s="630"/>
      <c r="M192" s="630"/>
      <c r="N192" s="1">
        <f>IF(C192&gt;0,((J192*Setup_and_Criteria!$F$13)+('M1_1-15th'!K192*Setup_and_Criteria!$F$14)+('M1_1-15th'!L192*Setup_and_Criteria!$F$15)+('M1_1-15th'!M192*Setup_and_Criteria!$F$16)+Setup_and_Criteria!$J$16),0)</f>
        <v>0</v>
      </c>
      <c r="O192" s="442">
        <f t="shared" si="119"/>
        <v>0</v>
      </c>
      <c r="P192" s="443">
        <f t="shared" si="115"/>
        <v>0</v>
      </c>
      <c r="Q192" s="357" t="e">
        <f t="shared" si="116"/>
        <v>#DIV/0!</v>
      </c>
      <c r="R192" s="630"/>
      <c r="S192" s="630"/>
      <c r="T192" s="630"/>
      <c r="U192" s="630"/>
      <c r="V192" s="630"/>
      <c r="W192" s="630"/>
      <c r="X192" s="630"/>
      <c r="Y192" s="630"/>
      <c r="Z192" s="630"/>
      <c r="AA192" s="630"/>
      <c r="AB192" s="1">
        <f t="shared" si="117"/>
        <v>0</v>
      </c>
      <c r="AC192" s="357" t="e">
        <f t="shared" si="118"/>
        <v>#DIV/0!</v>
      </c>
      <c r="AD192" s="864"/>
      <c r="AE192" s="865"/>
      <c r="AF192" s="865"/>
      <c r="AG192" s="866"/>
      <c r="AH192" s="866"/>
      <c r="AI192" s="867"/>
    </row>
    <row r="193" spans="1:35" x14ac:dyDescent="0.25">
      <c r="A193" s="638"/>
      <c r="C193" s="630"/>
      <c r="D193" s="630"/>
      <c r="E193" s="630"/>
      <c r="F193" s="630"/>
      <c r="G193" s="264">
        <f t="shared" si="113"/>
        <v>0</v>
      </c>
      <c r="H193" s="442">
        <f t="shared" si="114"/>
        <v>0</v>
      </c>
      <c r="J193" s="630"/>
      <c r="K193" s="630"/>
      <c r="L193" s="630"/>
      <c r="M193" s="630"/>
      <c r="N193" s="1">
        <f>IF(C193&gt;0,((J193*Setup_and_Criteria!$F$13)+('M1_1-15th'!K193*Setup_and_Criteria!$F$14)+('M1_1-15th'!L193*Setup_and_Criteria!$F$15)+('M1_1-15th'!M193*Setup_and_Criteria!$F$16)+Setup_and_Criteria!$J$16),0)</f>
        <v>0</v>
      </c>
      <c r="O193" s="442">
        <f t="shared" si="119"/>
        <v>0</v>
      </c>
      <c r="P193" s="443">
        <f t="shared" si="115"/>
        <v>0</v>
      </c>
      <c r="Q193" s="357" t="e">
        <f t="shared" si="116"/>
        <v>#DIV/0!</v>
      </c>
      <c r="R193" s="630"/>
      <c r="S193" s="630"/>
      <c r="T193" s="630"/>
      <c r="U193" s="630"/>
      <c r="V193" s="630"/>
      <c r="W193" s="630"/>
      <c r="X193" s="630"/>
      <c r="Y193" s="630"/>
      <c r="Z193" s="630"/>
      <c r="AA193" s="630"/>
      <c r="AB193" s="1">
        <f t="shared" si="117"/>
        <v>0</v>
      </c>
      <c r="AC193" s="357" t="e">
        <f t="shared" si="118"/>
        <v>#DIV/0!</v>
      </c>
      <c r="AD193" s="864"/>
      <c r="AE193" s="865"/>
      <c r="AF193" s="865"/>
      <c r="AG193" s="866"/>
      <c r="AH193" s="866"/>
      <c r="AI193" s="867"/>
    </row>
    <row r="194" spans="1:35" x14ac:dyDescent="0.25">
      <c r="A194" s="638"/>
      <c r="C194" s="630"/>
      <c r="D194" s="630"/>
      <c r="E194" s="630"/>
      <c r="F194" s="630"/>
      <c r="G194" s="264">
        <f t="shared" si="113"/>
        <v>0</v>
      </c>
      <c r="H194" s="442">
        <f t="shared" si="114"/>
        <v>0</v>
      </c>
      <c r="J194" s="630"/>
      <c r="K194" s="630"/>
      <c r="L194" s="630"/>
      <c r="M194" s="630"/>
      <c r="N194" s="1">
        <f>IF(C194&gt;0,((J194*Setup_and_Criteria!$F$13)+('M1_1-15th'!K194*Setup_and_Criteria!$F$14)+('M1_1-15th'!L194*Setup_and_Criteria!$F$15)+('M1_1-15th'!M194*Setup_and_Criteria!$F$16)+Setup_and_Criteria!$J$16),0)</f>
        <v>0</v>
      </c>
      <c r="O194" s="442">
        <f t="shared" si="119"/>
        <v>0</v>
      </c>
      <c r="P194" s="443">
        <f t="shared" si="115"/>
        <v>0</v>
      </c>
      <c r="Q194" s="357" t="e">
        <f t="shared" si="116"/>
        <v>#DIV/0!</v>
      </c>
      <c r="R194" s="630"/>
      <c r="S194" s="630"/>
      <c r="T194" s="630"/>
      <c r="U194" s="630"/>
      <c r="V194" s="630"/>
      <c r="W194" s="630"/>
      <c r="X194" s="630"/>
      <c r="Y194" s="630"/>
      <c r="Z194" s="630"/>
      <c r="AA194" s="630"/>
      <c r="AB194" s="1">
        <f t="shared" si="117"/>
        <v>0</v>
      </c>
      <c r="AC194" s="357" t="e">
        <f t="shared" si="118"/>
        <v>#DIV/0!</v>
      </c>
      <c r="AD194" s="864"/>
      <c r="AE194" s="865"/>
      <c r="AF194" s="865"/>
      <c r="AG194" s="866"/>
      <c r="AH194" s="866"/>
      <c r="AI194" s="867"/>
    </row>
    <row r="195" spans="1:35" ht="15.75" thickBot="1" x14ac:dyDescent="0.3">
      <c r="A195" s="638"/>
      <c r="C195" s="370"/>
      <c r="D195" s="370"/>
      <c r="E195" s="630"/>
      <c r="F195" s="630"/>
      <c r="G195" s="264">
        <f t="shared" si="113"/>
        <v>0</v>
      </c>
      <c r="H195" s="442">
        <f t="shared" si="114"/>
        <v>0</v>
      </c>
      <c r="J195" s="371"/>
      <c r="K195" s="371"/>
      <c r="L195" s="371"/>
      <c r="M195" s="371"/>
      <c r="N195" s="358">
        <f>IF(C195&gt;0,((J195*Setup_and_Criteria!$F$13)+('M1_1-15th'!K195*Setup_and_Criteria!$F$14)+('M1_1-15th'!L195*Setup_and_Criteria!$F$15)+('M1_1-15th'!M195*Setup_and_Criteria!$F$16)+Setup_and_Criteria!$J$16),0)</f>
        <v>0</v>
      </c>
      <c r="O195" s="359">
        <f t="shared" si="119"/>
        <v>0</v>
      </c>
      <c r="P195" s="383">
        <f t="shared" si="115"/>
        <v>0</v>
      </c>
      <c r="Q195" s="360" t="e">
        <f t="shared" si="116"/>
        <v>#DIV/0!</v>
      </c>
      <c r="R195" s="511"/>
      <c r="S195" s="511"/>
      <c r="T195" s="511"/>
      <c r="U195" s="511"/>
      <c r="V195" s="511"/>
      <c r="W195" s="511"/>
      <c r="X195" s="511"/>
      <c r="Y195" s="511"/>
      <c r="Z195" s="511"/>
      <c r="AA195" s="511"/>
      <c r="AB195" s="358">
        <f t="shared" si="117"/>
        <v>0</v>
      </c>
      <c r="AC195" s="357" t="e">
        <f t="shared" si="118"/>
        <v>#DIV/0!</v>
      </c>
      <c r="AD195" s="864"/>
      <c r="AE195" s="865"/>
      <c r="AF195" s="865"/>
      <c r="AG195" s="866"/>
      <c r="AH195" s="866"/>
      <c r="AI195" s="867"/>
    </row>
    <row r="196" spans="1:35" ht="15.75" thickTop="1" x14ac:dyDescent="0.25">
      <c r="A196" s="58"/>
      <c r="H196" s="442">
        <f>SUM(H190:H195)</f>
        <v>0</v>
      </c>
      <c r="J196" s="1">
        <f>SUM(J190:J195)</f>
        <v>0</v>
      </c>
      <c r="K196" s="1">
        <f>SUM(K190:K195)</f>
        <v>0</v>
      </c>
      <c r="L196" s="1">
        <f>SUM(L190:L195)</f>
        <v>0</v>
      </c>
      <c r="M196" s="1">
        <f>SUM(M190:M195)</f>
        <v>0</v>
      </c>
      <c r="N196" s="1">
        <f>SUM(N190:N195)</f>
        <v>0</v>
      </c>
      <c r="O196" s="1">
        <f t="shared" si="119"/>
        <v>0</v>
      </c>
      <c r="P196" s="443">
        <f t="shared" si="115"/>
        <v>0</v>
      </c>
      <c r="Q196" s="357" t="e">
        <f t="shared" si="116"/>
        <v>#DIV/0!</v>
      </c>
      <c r="R196" s="1">
        <f t="shared" ref="R196:AA196" si="120">SUM(R190:R195)</f>
        <v>0</v>
      </c>
      <c r="S196" s="1">
        <f t="shared" si="120"/>
        <v>0</v>
      </c>
      <c r="T196" s="1">
        <f t="shared" si="120"/>
        <v>0</v>
      </c>
      <c r="U196" s="1">
        <f t="shared" si="120"/>
        <v>0</v>
      </c>
      <c r="V196" s="1">
        <f t="shared" si="120"/>
        <v>0</v>
      </c>
      <c r="W196" s="1">
        <f t="shared" si="120"/>
        <v>0</v>
      </c>
      <c r="X196" s="1">
        <f t="shared" si="120"/>
        <v>0</v>
      </c>
      <c r="Y196" s="1">
        <f t="shared" si="120"/>
        <v>0</v>
      </c>
      <c r="Z196" s="1">
        <f t="shared" si="120"/>
        <v>0</v>
      </c>
      <c r="AA196" s="1">
        <f t="shared" si="120"/>
        <v>0</v>
      </c>
      <c r="AB196" s="1">
        <f t="shared" si="117"/>
        <v>0</v>
      </c>
      <c r="AC196" s="357" t="e">
        <f t="shared" si="118"/>
        <v>#DIV/0!</v>
      </c>
      <c r="AD196" s="877"/>
      <c r="AE196" s="878"/>
      <c r="AF196" s="878"/>
      <c r="AG196" s="749"/>
      <c r="AH196" s="749"/>
      <c r="AI196" s="879"/>
    </row>
    <row r="197" spans="1:35" ht="21" customHeight="1" x14ac:dyDescent="0.35">
      <c r="A197" s="58"/>
      <c r="H197" s="442"/>
      <c r="N197" s="888" t="s">
        <v>145</v>
      </c>
      <c r="O197" s="888"/>
      <c r="P197" s="888"/>
      <c r="Q197" s="888"/>
      <c r="R197" s="431" t="s">
        <v>146</v>
      </c>
      <c r="S197" s="431"/>
      <c r="T197" s="431"/>
      <c r="U197" s="431"/>
      <c r="V197" s="431"/>
      <c r="W197" s="431"/>
      <c r="X197" s="431"/>
      <c r="Y197" s="431"/>
      <c r="Z197" s="431"/>
      <c r="AA197" s="431"/>
      <c r="AB197" s="431"/>
      <c r="AC197" s="431"/>
      <c r="AD197" s="880" t="s">
        <v>132</v>
      </c>
      <c r="AE197" s="881"/>
      <c r="AF197" s="881"/>
      <c r="AG197" s="881"/>
      <c r="AH197" s="881"/>
      <c r="AI197" s="882"/>
    </row>
    <row r="198" spans="1:35" ht="31.5" customHeight="1" x14ac:dyDescent="0.35">
      <c r="A198" s="617" t="s">
        <v>147</v>
      </c>
      <c r="C198" s="885" t="s">
        <v>128</v>
      </c>
      <c r="D198" s="885"/>
      <c r="E198" s="885"/>
      <c r="F198" s="885"/>
      <c r="H198" s="442"/>
      <c r="J198" s="444"/>
      <c r="K198" s="445" t="s">
        <v>35</v>
      </c>
      <c r="L198" s="445" t="s">
        <v>148</v>
      </c>
      <c r="N198" s="446" t="s">
        <v>149</v>
      </c>
      <c r="O198" s="447" t="s">
        <v>150</v>
      </c>
      <c r="P198" s="447" t="s">
        <v>138</v>
      </c>
      <c r="Q198" s="447" t="s">
        <v>151</v>
      </c>
      <c r="R198" s="749" t="s">
        <v>152</v>
      </c>
      <c r="S198" s="749"/>
      <c r="T198" s="883" t="s">
        <v>153</v>
      </c>
      <c r="U198" s="883"/>
      <c r="W198" s="425" t="s">
        <v>154</v>
      </c>
      <c r="X198" s="425"/>
      <c r="Y198" s="425"/>
      <c r="Z198" s="425"/>
      <c r="AA198" s="425"/>
      <c r="AB198" s="425"/>
      <c r="AC198" s="425"/>
      <c r="AD198" s="868" t="s">
        <v>160</v>
      </c>
      <c r="AE198" s="869"/>
      <c r="AF198" s="869"/>
      <c r="AG198" s="869"/>
      <c r="AH198" s="869"/>
      <c r="AI198" s="870"/>
    </row>
    <row r="199" spans="1:35" ht="18" customHeight="1" thickBot="1" x14ac:dyDescent="0.3">
      <c r="A199" s="639"/>
      <c r="B199" s="375"/>
      <c r="C199" s="372"/>
      <c r="D199" s="372"/>
      <c r="E199" s="372"/>
      <c r="F199" s="372"/>
      <c r="G199" s="366">
        <f>+(D199-C199)+(F199-E199)</f>
        <v>0</v>
      </c>
      <c r="H199" s="367">
        <f>+G199*1440</f>
        <v>0</v>
      </c>
      <c r="I199" s="859" t="s">
        <v>155</v>
      </c>
      <c r="J199" s="860"/>
      <c r="K199" s="373"/>
      <c r="L199" s="374"/>
      <c r="M199" s="423"/>
      <c r="N199" s="629">
        <f>+J196+L196+K196+K199+L199</f>
        <v>0</v>
      </c>
      <c r="O199" s="368">
        <f>+(Setup_and_Criteria!$K$31+(J196*Setup_and_Criteria!$F$20)+('M1_1-15th'!K196*Setup_and_Criteria!$F$21)+('M1_1-15th'!L196*Setup_and_Criteria!$F$20))+T199+(K199*Setup_and_Criteria!$F$21)+(Setup_and_Criteria!$F$22*'M1_1-15th'!L199)</f>
        <v>75</v>
      </c>
      <c r="P199" s="367">
        <f>+H199</f>
        <v>0</v>
      </c>
      <c r="Q199" s="367">
        <f>+O199-P199</f>
        <v>75</v>
      </c>
      <c r="R199" s="861" t="s">
        <v>252</v>
      </c>
      <c r="S199" s="861"/>
      <c r="T199" s="862"/>
      <c r="U199" s="863"/>
      <c r="V199" s="265" t="s">
        <v>156</v>
      </c>
      <c r="W199" s="854"/>
      <c r="X199" s="855"/>
      <c r="Y199" s="855"/>
      <c r="Z199" s="855"/>
      <c r="AA199" s="855"/>
      <c r="AB199" s="855"/>
      <c r="AC199" s="855"/>
      <c r="AD199" s="868"/>
      <c r="AE199" s="869"/>
      <c r="AF199" s="869"/>
      <c r="AG199" s="869"/>
      <c r="AH199" s="869"/>
      <c r="AI199" s="870"/>
    </row>
    <row r="200" spans="1:35" ht="15.75" thickBot="1" x14ac:dyDescent="0.3">
      <c r="A200" s="449" t="str">
        <f>+A187</f>
        <v>Password to enter data = "Enter Info"</v>
      </c>
      <c r="B200" s="450"/>
      <c r="C200" s="451"/>
      <c r="D200" s="451"/>
      <c r="E200" s="451"/>
      <c r="F200" s="451"/>
      <c r="G200" s="451"/>
      <c r="H200" s="451"/>
      <c r="I200" s="450"/>
      <c r="J200" s="451"/>
      <c r="K200" s="451"/>
      <c r="L200" s="451"/>
      <c r="M200" s="451"/>
      <c r="N200" s="451"/>
      <c r="O200" s="451"/>
      <c r="P200" s="451"/>
      <c r="Q200" s="450"/>
      <c r="R200" s="451"/>
      <c r="S200" s="451"/>
      <c r="T200" s="451"/>
      <c r="U200" s="451"/>
      <c r="V200" s="451"/>
      <c r="W200" s="451"/>
      <c r="X200" s="451"/>
      <c r="Y200" s="451"/>
      <c r="Z200" s="451"/>
      <c r="AA200" s="451"/>
      <c r="AB200" s="450"/>
      <c r="AC200" s="450"/>
      <c r="AD200" s="871"/>
      <c r="AE200" s="872"/>
      <c r="AF200" s="872"/>
      <c r="AG200" s="872"/>
      <c r="AH200" s="872"/>
      <c r="AI200" s="873"/>
    </row>
    <row r="203" spans="1:35" x14ac:dyDescent="0.25">
      <c r="B203" s="748"/>
      <c r="C203" s="748"/>
      <c r="D203" s="406"/>
      <c r="I203" s="1"/>
      <c r="K203"/>
    </row>
  </sheetData>
  <protectedRanges>
    <protectedRange algorithmName="SHA-512" hashValue="MNkTBsZ4rVM+ofEUY+EYpagJA/7209Xnm6PXnEFDwIRLodHEWF77PgBtb3BR6WqNFs+MrgjZlN13RcYbfYLEXw==" saltValue="VkYABGZVa8zv4VyUr62lcw==" spinCount="100000" sqref="A8:A199" name="Names"/>
    <protectedRange algorithmName="SHA-512" hashValue="oRYh3bqazZl0ifIbEGeusFeaJ1jVvzub5wbEXUX8n7JGjjGyPR7sQAIVip279H9FGLsm5+EqC58eWrgzwkrBMA==" saltValue="BURQC5XW9ayCKHbGGG5JAw==" spinCount="100000" sqref="R8:AA16 T199:AA199 R187:AA198 T186:AA186 R174:AA185 T173:AA173 R161:AA172 T160:AA160 R148:AA159 T147:AA147 R135:AA146 T134:AA134 R122:AA133 T121:AA121 R109:AA120 T108:AA108 R96:AA107 T95:AA95 R83:AA94 T82:AA82 R70:AA81 T69:AA69 R57:AA68 T56:AA56 R44:AA55 T43:AA43 R31:AA42 T30:AA30 R18:AA29 T17:AA17" name="Corrections Tracking"/>
    <protectedRange algorithmName="SHA-512" hashValue="YWBRJAZI5q2Xrq+KyT3zVr15OX7uuRhfqBuj3B4Ey25Nx6lDVXf1yN1vQRpqL2Zb4U+ikOAI3N1kgYfpP/ETew==" saltValue="L+uE65ZdTMv6z8KX8mra4g==" spinCount="100000" sqref="I7:M199" name="Rooms Cleaned and Inspected"/>
    <protectedRange algorithmName="SHA-512" hashValue="HtLnHPcTxLat91gpx1RElzjAjyD8EelDKfcdJIzPzixUDC1bPqmHjcxA+Jf6905m/Q9mMHh30+0wh5BstdaTSg==" saltValue="TXG3+wylnBVSaSzjn+S+ow==" spinCount="100000" sqref="C8:F199" name="TimeClock"/>
    <protectedRange algorithmName="SHA-512" hashValue="9o5rmy+N3oLZkzVQ5nTS9aoa4tFWlXOirkshpCJSkqqBB2SCaDWSlY6k7YumLGAjuktGKWGtGOAoCXARLdbeUA==" saltValue="e7vCUb3fFCUrMQqNUPCqDQ==" spinCount="100000" sqref="AD6:AI200" name="Daily Notes"/>
    <protectedRange algorithmName="SHA-512" hashValue="oRYh3bqazZl0ifIbEGeusFeaJ1jVvzub5wbEXUX8n7JGjjGyPR7sQAIVip279H9FGLsm5+EqC58eWrgzwkrBMA==" saltValue="BURQC5XW9ayCKHbGGG5JAw==" spinCount="100000" sqref="R199:S199 R186:S186 R173:S173 R160:S160 R147:S147 R134:S134 R121:S121 R108:S108 R95:S95 R82:S82 R69:S69 R56:S56 R43:S43 R30:S30 R17:S17" name="Corrections Tracking_6"/>
  </protectedRanges>
  <mergeCells count="319">
    <mergeCell ref="B203:C203"/>
    <mergeCell ref="C198:F198"/>
    <mergeCell ref="R198:S198"/>
    <mergeCell ref="T198:U198"/>
    <mergeCell ref="AD198:AI200"/>
    <mergeCell ref="I199:J199"/>
    <mergeCell ref="R199:S199"/>
    <mergeCell ref="T199:U199"/>
    <mergeCell ref="W199:AC199"/>
    <mergeCell ref="AD192:AI192"/>
    <mergeCell ref="AD193:AI193"/>
    <mergeCell ref="AD194:AI194"/>
    <mergeCell ref="AD195:AI195"/>
    <mergeCell ref="AD196:AI196"/>
    <mergeCell ref="N197:Q197"/>
    <mergeCell ref="AD197:AI197"/>
    <mergeCell ref="C188:F188"/>
    <mergeCell ref="J188:M188"/>
    <mergeCell ref="N188:Q188"/>
    <mergeCell ref="AD189:AI189"/>
    <mergeCell ref="AD190:AI190"/>
    <mergeCell ref="AD191:AI191"/>
    <mergeCell ref="C185:F185"/>
    <mergeCell ref="R185:S185"/>
    <mergeCell ref="T185:U185"/>
    <mergeCell ref="AD185:AI187"/>
    <mergeCell ref="I186:J186"/>
    <mergeCell ref="R186:S186"/>
    <mergeCell ref="T186:U186"/>
    <mergeCell ref="W186:AC186"/>
    <mergeCell ref="AD179:AI179"/>
    <mergeCell ref="AD180:AI180"/>
    <mergeCell ref="AD181:AI181"/>
    <mergeCell ref="AD182:AI182"/>
    <mergeCell ref="AD183:AI183"/>
    <mergeCell ref="N184:Q184"/>
    <mergeCell ref="AD184:AI184"/>
    <mergeCell ref="C175:F175"/>
    <mergeCell ref="J175:M175"/>
    <mergeCell ref="N175:Q175"/>
    <mergeCell ref="AD176:AI176"/>
    <mergeCell ref="AD177:AI177"/>
    <mergeCell ref="AD178:AI178"/>
    <mergeCell ref="C172:F172"/>
    <mergeCell ref="R172:S172"/>
    <mergeCell ref="T172:U172"/>
    <mergeCell ref="AD172:AI174"/>
    <mergeCell ref="I173:J173"/>
    <mergeCell ref="R173:S173"/>
    <mergeCell ref="T173:U173"/>
    <mergeCell ref="W173:AC173"/>
    <mergeCell ref="AD166:AI166"/>
    <mergeCell ref="AD167:AI167"/>
    <mergeCell ref="AD168:AI168"/>
    <mergeCell ref="AD169:AI169"/>
    <mergeCell ref="AD170:AI170"/>
    <mergeCell ref="N171:Q171"/>
    <mergeCell ref="AD171:AI171"/>
    <mergeCell ref="C162:F162"/>
    <mergeCell ref="J162:M162"/>
    <mergeCell ref="N162:Q162"/>
    <mergeCell ref="AD163:AI163"/>
    <mergeCell ref="AD164:AI164"/>
    <mergeCell ref="AD165:AI165"/>
    <mergeCell ref="C159:F159"/>
    <mergeCell ref="R159:S159"/>
    <mergeCell ref="T159:U159"/>
    <mergeCell ref="AD159:AI161"/>
    <mergeCell ref="I160:J160"/>
    <mergeCell ref="R160:S160"/>
    <mergeCell ref="T160:U160"/>
    <mergeCell ref="W160:AC160"/>
    <mergeCell ref="AD153:AI153"/>
    <mergeCell ref="AD154:AI154"/>
    <mergeCell ref="AD155:AI155"/>
    <mergeCell ref="AD156:AI156"/>
    <mergeCell ref="AD157:AI157"/>
    <mergeCell ref="N158:Q158"/>
    <mergeCell ref="AD158:AI158"/>
    <mergeCell ref="C149:F149"/>
    <mergeCell ref="J149:M149"/>
    <mergeCell ref="N149:Q149"/>
    <mergeCell ref="AD150:AI150"/>
    <mergeCell ref="AD151:AI151"/>
    <mergeCell ref="AD152:AI152"/>
    <mergeCell ref="C146:F146"/>
    <mergeCell ref="R146:S146"/>
    <mergeCell ref="T146:U146"/>
    <mergeCell ref="AD146:AI148"/>
    <mergeCell ref="I147:J147"/>
    <mergeCell ref="R147:S147"/>
    <mergeCell ref="T147:U147"/>
    <mergeCell ref="W147:AC147"/>
    <mergeCell ref="AD140:AI140"/>
    <mergeCell ref="AD141:AI141"/>
    <mergeCell ref="AD142:AI142"/>
    <mergeCell ref="AD143:AI143"/>
    <mergeCell ref="AD144:AI144"/>
    <mergeCell ref="N145:Q145"/>
    <mergeCell ref="AD145:AI145"/>
    <mergeCell ref="C136:F136"/>
    <mergeCell ref="J136:M136"/>
    <mergeCell ref="N136:Q136"/>
    <mergeCell ref="AD137:AI137"/>
    <mergeCell ref="AD138:AI138"/>
    <mergeCell ref="AD139:AI139"/>
    <mergeCell ref="C133:F133"/>
    <mergeCell ref="R133:S133"/>
    <mergeCell ref="T133:U133"/>
    <mergeCell ref="AD133:AI135"/>
    <mergeCell ref="I134:J134"/>
    <mergeCell ref="R134:S134"/>
    <mergeCell ref="T134:U134"/>
    <mergeCell ref="W134:AC134"/>
    <mergeCell ref="AD127:AI127"/>
    <mergeCell ref="AD128:AI128"/>
    <mergeCell ref="AD129:AI129"/>
    <mergeCell ref="AD130:AI130"/>
    <mergeCell ref="AD131:AI131"/>
    <mergeCell ref="N132:Q132"/>
    <mergeCell ref="AD132:AI132"/>
    <mergeCell ref="C123:F123"/>
    <mergeCell ref="J123:M123"/>
    <mergeCell ref="N123:Q123"/>
    <mergeCell ref="AD124:AI124"/>
    <mergeCell ref="AD125:AI125"/>
    <mergeCell ref="AD126:AI126"/>
    <mergeCell ref="C120:F120"/>
    <mergeCell ref="R120:S120"/>
    <mergeCell ref="T120:U120"/>
    <mergeCell ref="AD120:AI122"/>
    <mergeCell ref="I121:J121"/>
    <mergeCell ref="R121:S121"/>
    <mergeCell ref="T121:U121"/>
    <mergeCell ref="W121:AC121"/>
    <mergeCell ref="AD114:AI114"/>
    <mergeCell ref="AD115:AI115"/>
    <mergeCell ref="AD116:AI116"/>
    <mergeCell ref="AD117:AI117"/>
    <mergeCell ref="AD118:AI118"/>
    <mergeCell ref="N119:Q119"/>
    <mergeCell ref="AD119:AI119"/>
    <mergeCell ref="C110:F110"/>
    <mergeCell ref="J110:M110"/>
    <mergeCell ref="N110:Q110"/>
    <mergeCell ref="AD111:AI111"/>
    <mergeCell ref="AD112:AI112"/>
    <mergeCell ref="AD113:AI113"/>
    <mergeCell ref="C107:F107"/>
    <mergeCell ref="R107:S107"/>
    <mergeCell ref="T107:U107"/>
    <mergeCell ref="AD107:AI109"/>
    <mergeCell ref="I108:J108"/>
    <mergeCell ref="R108:S108"/>
    <mergeCell ref="T108:U108"/>
    <mergeCell ref="W108:AC108"/>
    <mergeCell ref="AD101:AI101"/>
    <mergeCell ref="AD102:AI102"/>
    <mergeCell ref="AD103:AI103"/>
    <mergeCell ref="AD104:AI104"/>
    <mergeCell ref="AD105:AI105"/>
    <mergeCell ref="N106:Q106"/>
    <mergeCell ref="AD106:AI106"/>
    <mergeCell ref="C97:F97"/>
    <mergeCell ref="J97:M97"/>
    <mergeCell ref="N97:Q97"/>
    <mergeCell ref="AD98:AI98"/>
    <mergeCell ref="AD99:AI99"/>
    <mergeCell ref="AD100:AI100"/>
    <mergeCell ref="C94:F94"/>
    <mergeCell ref="R94:S94"/>
    <mergeCell ref="T94:U94"/>
    <mergeCell ref="AD94:AI96"/>
    <mergeCell ref="I95:J95"/>
    <mergeCell ref="R95:S95"/>
    <mergeCell ref="T95:U95"/>
    <mergeCell ref="W95:AC95"/>
    <mergeCell ref="AD88:AI88"/>
    <mergeCell ref="AD89:AI89"/>
    <mergeCell ref="AD90:AI90"/>
    <mergeCell ref="AD91:AI91"/>
    <mergeCell ref="AD92:AI92"/>
    <mergeCell ref="N93:Q93"/>
    <mergeCell ref="AD93:AI93"/>
    <mergeCell ref="C84:F84"/>
    <mergeCell ref="J84:M84"/>
    <mergeCell ref="N84:Q84"/>
    <mergeCell ref="AD85:AI85"/>
    <mergeCell ref="AD86:AI86"/>
    <mergeCell ref="AD87:AI87"/>
    <mergeCell ref="C81:F81"/>
    <mergeCell ref="R81:S81"/>
    <mergeCell ref="T81:U81"/>
    <mergeCell ref="AD81:AI83"/>
    <mergeCell ref="I82:J82"/>
    <mergeCell ref="R82:S82"/>
    <mergeCell ref="T82:U82"/>
    <mergeCell ref="W82:AC82"/>
    <mergeCell ref="AD75:AI75"/>
    <mergeCell ref="AD76:AI76"/>
    <mergeCell ref="AD77:AI77"/>
    <mergeCell ref="AD78:AI78"/>
    <mergeCell ref="AD79:AI79"/>
    <mergeCell ref="N80:Q80"/>
    <mergeCell ref="AD80:AI80"/>
    <mergeCell ref="C71:F71"/>
    <mergeCell ref="J71:M71"/>
    <mergeCell ref="N71:Q71"/>
    <mergeCell ref="AD72:AI72"/>
    <mergeCell ref="AD73:AI73"/>
    <mergeCell ref="AD74:AI74"/>
    <mergeCell ref="C68:F68"/>
    <mergeCell ref="R68:S68"/>
    <mergeCell ref="T68:U68"/>
    <mergeCell ref="AD68:AI70"/>
    <mergeCell ref="I69:J69"/>
    <mergeCell ref="R69:S69"/>
    <mergeCell ref="T69:U69"/>
    <mergeCell ref="W69:AC69"/>
    <mergeCell ref="AD62:AI62"/>
    <mergeCell ref="AD63:AI63"/>
    <mergeCell ref="AD64:AI64"/>
    <mergeCell ref="AD65:AI65"/>
    <mergeCell ref="AD66:AI66"/>
    <mergeCell ref="N67:Q67"/>
    <mergeCell ref="AD67:AI67"/>
    <mergeCell ref="C58:F58"/>
    <mergeCell ref="J58:M58"/>
    <mergeCell ref="N58:Q58"/>
    <mergeCell ref="AD59:AI59"/>
    <mergeCell ref="AD60:AI60"/>
    <mergeCell ref="AD61:AI61"/>
    <mergeCell ref="C55:F55"/>
    <mergeCell ref="R55:S55"/>
    <mergeCell ref="T55:U55"/>
    <mergeCell ref="AD55:AI57"/>
    <mergeCell ref="I56:J56"/>
    <mergeCell ref="R56:S56"/>
    <mergeCell ref="T56:U56"/>
    <mergeCell ref="W56:AC56"/>
    <mergeCell ref="AD49:AI49"/>
    <mergeCell ref="AD50:AI50"/>
    <mergeCell ref="AD51:AI51"/>
    <mergeCell ref="AD52:AI52"/>
    <mergeCell ref="AD53:AI53"/>
    <mergeCell ref="N54:Q54"/>
    <mergeCell ref="AD54:AI54"/>
    <mergeCell ref="C45:F45"/>
    <mergeCell ref="J45:M45"/>
    <mergeCell ref="N45:Q45"/>
    <mergeCell ref="AD46:AI46"/>
    <mergeCell ref="AD47:AI47"/>
    <mergeCell ref="AD48:AI48"/>
    <mergeCell ref="N41:Q41"/>
    <mergeCell ref="AD41:AI41"/>
    <mergeCell ref="C42:F42"/>
    <mergeCell ref="R42:S42"/>
    <mergeCell ref="T42:U42"/>
    <mergeCell ref="AD42:AI44"/>
    <mergeCell ref="I43:J43"/>
    <mergeCell ref="R43:S43"/>
    <mergeCell ref="T43:U43"/>
    <mergeCell ref="W43:AC43"/>
    <mergeCell ref="AD35:AI35"/>
    <mergeCell ref="AD36:AI36"/>
    <mergeCell ref="AD37:AI37"/>
    <mergeCell ref="AD38:AI38"/>
    <mergeCell ref="AD39:AI39"/>
    <mergeCell ref="AD40:AI40"/>
    <mergeCell ref="W30:AC30"/>
    <mergeCell ref="C32:F32"/>
    <mergeCell ref="J32:M32"/>
    <mergeCell ref="N32:Q32"/>
    <mergeCell ref="AD33:AI33"/>
    <mergeCell ref="AD34:AI34"/>
    <mergeCell ref="AD27:AI27"/>
    <mergeCell ref="N28:Q28"/>
    <mergeCell ref="AD28:AI28"/>
    <mergeCell ref="C29:F29"/>
    <mergeCell ref="R29:S29"/>
    <mergeCell ref="T29:U29"/>
    <mergeCell ref="AD29:AI31"/>
    <mergeCell ref="I30:J30"/>
    <mergeCell ref="R30:S30"/>
    <mergeCell ref="T30:U30"/>
    <mergeCell ref="AD21:AI21"/>
    <mergeCell ref="AD22:AI22"/>
    <mergeCell ref="AD23:AI23"/>
    <mergeCell ref="AD24:AI24"/>
    <mergeCell ref="AD25:AI25"/>
    <mergeCell ref="AD26:AI26"/>
    <mergeCell ref="T17:U17"/>
    <mergeCell ref="W17:AC17"/>
    <mergeCell ref="C19:F19"/>
    <mergeCell ref="J19:M19"/>
    <mergeCell ref="N19:Q19"/>
    <mergeCell ref="AD20:AI20"/>
    <mergeCell ref="AD13:AI13"/>
    <mergeCell ref="AD14:AI14"/>
    <mergeCell ref="N15:Q15"/>
    <mergeCell ref="AD15:AI15"/>
    <mergeCell ref="C16:F16"/>
    <mergeCell ref="R16:S16"/>
    <mergeCell ref="T16:U16"/>
    <mergeCell ref="AD16:AI18"/>
    <mergeCell ref="I17:J17"/>
    <mergeCell ref="R17:S17"/>
    <mergeCell ref="AD7:AI7"/>
    <mergeCell ref="AD8:AI8"/>
    <mergeCell ref="AD9:AI9"/>
    <mergeCell ref="AD10:AI10"/>
    <mergeCell ref="AD11:AI11"/>
    <mergeCell ref="AD12:AI12"/>
    <mergeCell ref="E2:H3"/>
    <mergeCell ref="I2:J3"/>
    <mergeCell ref="M2:W4"/>
    <mergeCell ref="C6:F6"/>
    <mergeCell ref="J6:M6"/>
    <mergeCell ref="N6:Q6"/>
  </mergeCells>
  <dataValidations count="1">
    <dataValidation allowBlank="1" showInputMessage="1" showErrorMessage="1" sqref="A16 A29 A42 A55 A68 A81 A94 A107 A120 A133 A146 A159 A172 A185 A198" xr:uid="{1E4274D1-2BB8-41DD-BE3C-E1843196520F}"/>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7" id="{35354EE2-A082-4739-8A29-41C4A8CF90D9}">
            <xm:f>Setup_and_Criteria!$H$5:$K$5="Sleep Inn"</xm:f>
            <x14:dxf>
              <font>
                <color theme="0"/>
              </font>
              <fill>
                <patternFill>
                  <bgColor rgb="FF7030A0"/>
                </patternFill>
              </fill>
            </x14:dxf>
          </x14:cfRule>
          <x14:cfRule type="expression" priority="8" id="{95034F66-6AED-4940-A9E4-5C9CE0107D82}">
            <xm:f>Setup_and_Criteria!$H$5="Holiday Inn Express"</xm:f>
            <x14:dxf>
              <font>
                <color theme="0"/>
              </font>
              <fill>
                <patternFill>
                  <bgColor theme="8" tint="-0.24994659260841701"/>
                </patternFill>
              </fill>
            </x14:dxf>
          </x14:cfRule>
          <x14:cfRule type="expression" priority="9" id="{5041A3A0-97F4-40B8-83A5-BD591CF4FDB7}">
            <xm:f>Setup_and_Criteria!$H$5:$K$5="Quality Inn"</xm:f>
            <x14:dxf>
              <font>
                <color theme="9" tint="-0.24994659260841701"/>
              </font>
              <fill>
                <patternFill>
                  <bgColor theme="9" tint="-0.24994659260841701"/>
                </patternFill>
              </fill>
            </x14:dxf>
          </x14:cfRule>
          <xm:sqref>A18:AC18 A31:AC31 A44:AC44 A57:AC57 A70:AC70 A83:AC83 A96:AC96 A109:AC109 A122:AC122 A135:AC135 A148:AC148 A161:AC161 A174:AC174 A187:AC187 A200:AC200</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81555FE7-B1DD-414D-B7E0-8CA17A86EA74}">
          <x14:formula1>
            <xm:f>Setup_and_Criteria!$N$27:$N$31</xm:f>
          </x14:formula1>
          <xm:sqref>B30 B134 B199 B186 B173 B160 B147 B43 B56 B108 B95 B82 B69 B17</xm:sqref>
        </x14:dataValidation>
        <x14:dataValidation type="list" allowBlank="1" showInputMessage="1" showErrorMessage="1" xr:uid="{7BDAD5CE-C2BF-4440-81B3-3ACC7A413B22}">
          <x14:formula1>
            <xm:f>Setup_and_Criteria!$O$12:$O$23</xm:f>
          </x14:formula1>
          <xm:sqref>A8:A13 A190:A195 A177:A182 A164:A169 A151:A156 A138:A143 A125:A130 A112:A117 A99:A104 A86:A91 A73:A78 A60:A65 A47:A52 A34:A39 A21:A26</xm:sqref>
        </x14:dataValidation>
        <x14:dataValidation type="list" allowBlank="1" showInputMessage="1" showErrorMessage="1" xr:uid="{74F84AD4-9879-418D-B377-4BA07CB1E348}">
          <x14:formula1>
            <xm:f>Setup_and_Criteria!$O$27:$O$31</xm:f>
          </x14:formula1>
          <xm:sqref>A199 A186 A173 A160 A147 A134 A121 A108 A95 A82 A69 A56 A43 A30 A17</xm:sqref>
        </x14:dataValidation>
        <x14:dataValidation type="list" allowBlank="1" showInputMessage="1" showErrorMessage="1" xr:uid="{5E0DABCA-4F62-4B6C-8BE4-6771950B833B}">
          <x14:formula1>
            <xm:f>Setup_and_Criteria!$BF$5:$BF$12</xm:f>
          </x14:formula1>
          <xm:sqref>R199:S199 R186:S186 R173:S173 R160:S160 R147:S147 R134:S134 R121:S121 R108:S108 R95:S95 R82:S82 R69:S69 R56:S56 R43:S43 R30:S30 R17:S17</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4AF23E-DD11-47F4-A507-003771666C03}">
  <sheetPr codeName="Sheet10">
    <tabColor theme="9" tint="0.59999389629810485"/>
  </sheetPr>
  <dimension ref="A2:AI215"/>
  <sheetViews>
    <sheetView topLeftCell="A171" workbookViewId="0">
      <selection activeCell="O139" sqref="O139"/>
    </sheetView>
  </sheetViews>
  <sheetFormatPr defaultRowHeight="15" x14ac:dyDescent="0.25"/>
  <cols>
    <col min="1" max="1" width="18.5703125" customWidth="1"/>
    <col min="2" max="2" width="4.85546875" bestFit="1" customWidth="1"/>
    <col min="3" max="3" width="8.7109375" style="1" customWidth="1"/>
    <col min="4" max="4" width="8.140625" style="1" customWidth="1"/>
    <col min="5" max="6" width="7.7109375" style="1" customWidth="1"/>
    <col min="7" max="7" width="7.42578125" style="1" hidden="1" customWidth="1"/>
    <col min="8" max="8" width="0" style="1" hidden="1" customWidth="1"/>
    <col min="9" max="9" width="8.42578125" customWidth="1"/>
    <col min="10" max="10" width="8.42578125" style="1" customWidth="1"/>
    <col min="11" max="11" width="8.5703125" style="1" customWidth="1"/>
    <col min="12" max="12" width="9.140625" style="1"/>
    <col min="13" max="13" width="10.140625" style="1" customWidth="1"/>
    <col min="14" max="14" width="11" style="1" customWidth="1"/>
    <col min="15" max="15" width="9.42578125" style="1" customWidth="1"/>
    <col min="16" max="16" width="10.42578125" style="1" customWidth="1"/>
    <col min="17" max="17" width="9.42578125" customWidth="1"/>
    <col min="18" max="18" width="8.28515625" style="1" customWidth="1"/>
    <col min="19" max="19" width="7.140625" style="1" customWidth="1"/>
    <col min="20" max="27" width="7.7109375" style="1" customWidth="1"/>
    <col min="28" max="28" width="7.7109375" customWidth="1"/>
    <col min="29" max="29" width="11.28515625" customWidth="1"/>
  </cols>
  <sheetData>
    <row r="2" spans="1:35" ht="15" customHeight="1" x14ac:dyDescent="0.25">
      <c r="E2" s="886" t="str">
        <f>+Setup_and_Criteria!J6</f>
        <v>Q2</v>
      </c>
      <c r="F2" s="886"/>
      <c r="G2" s="886"/>
      <c r="H2" s="886"/>
      <c r="I2" s="887">
        <v>2026</v>
      </c>
      <c r="J2" s="887"/>
      <c r="M2" s="856" t="s">
        <v>127</v>
      </c>
      <c r="N2" s="856"/>
      <c r="O2" s="856"/>
      <c r="P2" s="856"/>
      <c r="Q2" s="856"/>
      <c r="R2" s="856"/>
      <c r="S2" s="856"/>
      <c r="T2" s="856"/>
      <c r="U2" s="856"/>
      <c r="V2" s="856"/>
      <c r="W2" s="856"/>
    </row>
    <row r="3" spans="1:35" ht="15" customHeight="1" x14ac:dyDescent="0.25">
      <c r="E3" s="886"/>
      <c r="F3" s="886"/>
      <c r="G3" s="886"/>
      <c r="H3" s="886"/>
      <c r="I3" s="887"/>
      <c r="J3" s="887"/>
      <c r="M3" s="856"/>
      <c r="N3" s="856"/>
      <c r="O3" s="856"/>
      <c r="P3" s="856"/>
      <c r="Q3" s="856"/>
      <c r="R3" s="856"/>
      <c r="S3" s="856"/>
      <c r="T3" s="856"/>
      <c r="U3" s="856"/>
      <c r="V3" s="856"/>
      <c r="W3" s="856"/>
    </row>
    <row r="4" spans="1:35" x14ac:dyDescent="0.25">
      <c r="G4"/>
      <c r="H4"/>
      <c r="L4" s="1" t="s">
        <v>42</v>
      </c>
      <c r="M4" s="856"/>
      <c r="N4" s="856"/>
      <c r="O4" s="856"/>
      <c r="P4" s="856"/>
      <c r="Q4" s="856"/>
      <c r="R4" s="856"/>
      <c r="S4" s="856"/>
      <c r="T4" s="856"/>
      <c r="U4" s="856"/>
      <c r="V4" s="856"/>
      <c r="W4" s="856"/>
    </row>
    <row r="5" spans="1:35" ht="15.75" thickBot="1" x14ac:dyDescent="0.3">
      <c r="W5" s="1" t="s">
        <v>42</v>
      </c>
    </row>
    <row r="6" spans="1:35" ht="35.25" customHeight="1" x14ac:dyDescent="0.4">
      <c r="A6" s="421" t="str">
        <f>+'M2_1-15th'!A6</f>
        <v>May</v>
      </c>
      <c r="B6" s="624">
        <v>16</v>
      </c>
      <c r="C6" s="884" t="s">
        <v>128</v>
      </c>
      <c r="D6" s="884"/>
      <c r="E6" s="884"/>
      <c r="F6" s="884"/>
      <c r="G6" s="377"/>
      <c r="H6" s="377"/>
      <c r="I6" s="21"/>
      <c r="J6" s="874" t="s">
        <v>129</v>
      </c>
      <c r="K6" s="875"/>
      <c r="L6" s="875"/>
      <c r="M6" s="875"/>
      <c r="N6" s="876" t="s">
        <v>130</v>
      </c>
      <c r="O6" s="876"/>
      <c r="P6" s="876"/>
      <c r="Q6" s="876"/>
      <c r="R6" s="424" t="s">
        <v>131</v>
      </c>
      <c r="S6" s="424"/>
      <c r="T6" s="424"/>
      <c r="U6" s="424"/>
      <c r="V6" s="424"/>
      <c r="W6" s="424"/>
      <c r="X6" s="424"/>
      <c r="Y6" s="424"/>
      <c r="Z6" s="424"/>
      <c r="AA6" s="424"/>
      <c r="AB6" s="424"/>
      <c r="AC6" s="424"/>
      <c r="AD6" s="461" t="s">
        <v>132</v>
      </c>
      <c r="AE6" s="426"/>
      <c r="AF6" s="426"/>
      <c r="AG6" s="426"/>
      <c r="AH6" s="426"/>
      <c r="AI6" s="427"/>
    </row>
    <row r="7" spans="1:35" ht="59.25" customHeight="1" x14ac:dyDescent="0.25">
      <c r="A7" s="378" t="s">
        <v>133</v>
      </c>
      <c r="C7" s="435" t="s">
        <v>134</v>
      </c>
      <c r="D7" s="435" t="s">
        <v>135</v>
      </c>
      <c r="E7" s="435" t="s">
        <v>134</v>
      </c>
      <c r="F7" s="435" t="s">
        <v>135</v>
      </c>
      <c r="G7" s="1" t="s">
        <v>136</v>
      </c>
      <c r="H7" s="1" t="s">
        <v>108</v>
      </c>
      <c r="I7" s="436"/>
      <c r="J7" s="437" t="str">
        <f>+Setup_and_Criteria!$B$13</f>
        <v>Checkouts</v>
      </c>
      <c r="K7" s="437" t="str">
        <f>+Setup_and_Criteria!$B$14</f>
        <v>Pet Rooms</v>
      </c>
      <c r="L7" s="437" t="str">
        <f>+Setup_and_Criteria!$B$15</f>
        <v>2 Rm &amp; Jac Stes</v>
      </c>
      <c r="M7" s="438" t="str">
        <f>+Setup_and_Criteria!$B$16</f>
        <v>Stayovers</v>
      </c>
      <c r="N7" s="269" t="s">
        <v>137</v>
      </c>
      <c r="O7" s="269" t="s">
        <v>138</v>
      </c>
      <c r="P7" s="439" t="s">
        <v>139</v>
      </c>
      <c r="Q7" s="439" t="s">
        <v>140</v>
      </c>
      <c r="R7" s="440" t="str">
        <f>+Corrections!$C$8</f>
        <v>Vanity</v>
      </c>
      <c r="S7" s="440" t="str">
        <f>+Corrections!$I$8</f>
        <v>Toilet</v>
      </c>
      <c r="T7" s="440" t="str">
        <f>+Corrections!$O$8</f>
        <v>Bed/Pillows</v>
      </c>
      <c r="U7" s="440" t="str">
        <f>+Corrections!$U$8</f>
        <v>Floor</v>
      </c>
      <c r="V7" s="440" t="str">
        <f>+Corrections!$AA$8</f>
        <v>Dusting</v>
      </c>
      <c r="W7" s="440" t="str">
        <f>+Corrections!$AG$8</f>
        <v>Fridge/Micro</v>
      </c>
      <c r="X7" s="440" t="str">
        <f>+Corrections!$AM$8</f>
        <v>Tub</v>
      </c>
      <c r="Y7" s="441" t="str">
        <f>+Corrections!$AS$8</f>
        <v>Mirrors/Glass</v>
      </c>
      <c r="Z7" s="440" t="str">
        <f>+Corrections!$AY$8</f>
        <v>Stocking</v>
      </c>
      <c r="AA7" s="440" t="str">
        <f>+Corrections!$BE$8</f>
        <v>Other</v>
      </c>
      <c r="AB7" s="269" t="s">
        <v>141</v>
      </c>
      <c r="AC7" s="269" t="s">
        <v>142</v>
      </c>
      <c r="AD7" s="889" t="s">
        <v>143</v>
      </c>
      <c r="AE7" s="890"/>
      <c r="AF7" s="890"/>
      <c r="AG7" s="890"/>
      <c r="AH7" s="890"/>
      <c r="AI7" s="891"/>
    </row>
    <row r="8" spans="1:35" x14ac:dyDescent="0.25">
      <c r="A8" s="638"/>
      <c r="C8" s="369"/>
      <c r="D8" s="369"/>
      <c r="E8" s="369"/>
      <c r="F8" s="369"/>
      <c r="G8" s="264">
        <f t="shared" ref="G8:G13" si="0">+(D8-C8)+(F8-E8)</f>
        <v>0</v>
      </c>
      <c r="H8" s="442">
        <f t="shared" ref="H8:H13" si="1">+G8*1440</f>
        <v>0</v>
      </c>
      <c r="J8" s="630"/>
      <c r="K8" s="630"/>
      <c r="L8" s="630"/>
      <c r="M8" s="630"/>
      <c r="N8" s="1">
        <f>IF(C8&gt;0,((J8*Setup_and_Criteria!$F$13)+('M1_1-15th'!K8*Setup_and_Criteria!$F$14)+('M1_1-15th'!L8*Setup_and_Criteria!$F$15)+('M1_1-15th'!M8*Setup_and_Criteria!$F$16)+Setup_and_Criteria!$J$16),0)</f>
        <v>0</v>
      </c>
      <c r="O8" s="442">
        <f>+H8</f>
        <v>0</v>
      </c>
      <c r="P8" s="443">
        <f t="shared" ref="P8:P14" si="2">+N8-O8</f>
        <v>0</v>
      </c>
      <c r="Q8" s="357" t="e">
        <f t="shared" ref="Q8:Q14" si="3">O8/_xlfn.SINGLE(SUM(J8:M8))</f>
        <v>#DIV/0!</v>
      </c>
      <c r="R8" s="630"/>
      <c r="S8" s="630"/>
      <c r="T8" s="630"/>
      <c r="U8" s="630"/>
      <c r="V8" s="630"/>
      <c r="W8" s="630"/>
      <c r="X8" s="630"/>
      <c r="Y8" s="630"/>
      <c r="Z8" s="630"/>
      <c r="AA8" s="630"/>
      <c r="AB8" s="1">
        <f t="shared" ref="AB8:AB14" si="4">SUM(R8:AA8)</f>
        <v>0</v>
      </c>
      <c r="AC8" s="357" t="e">
        <f t="shared" ref="AC8:AC14" si="5">+AB8/(J8+K8+L8)</f>
        <v>#DIV/0!</v>
      </c>
      <c r="AD8" s="864" t="s">
        <v>144</v>
      </c>
      <c r="AE8" s="865"/>
      <c r="AF8" s="865"/>
      <c r="AG8" s="866"/>
      <c r="AH8" s="866"/>
      <c r="AI8" s="867"/>
    </row>
    <row r="9" spans="1:35" x14ac:dyDescent="0.25">
      <c r="A9" s="638"/>
      <c r="C9" s="369"/>
      <c r="D9" s="369"/>
      <c r="E9" s="630"/>
      <c r="F9" s="630"/>
      <c r="G9" s="264">
        <f t="shared" si="0"/>
        <v>0</v>
      </c>
      <c r="H9" s="442">
        <f t="shared" si="1"/>
        <v>0</v>
      </c>
      <c r="J9" s="630"/>
      <c r="K9" s="630"/>
      <c r="L9" s="630"/>
      <c r="M9" s="630"/>
      <c r="N9" s="1">
        <f>IF(C9&gt;0,((J9*Setup_and_Criteria!$F$13)+('M1_1-15th'!K9*Setup_and_Criteria!$F$14)+('M1_1-15th'!L9*Setup_and_Criteria!$F$15)+('M1_1-15th'!M9*Setup_and_Criteria!$F$16)+Setup_and_Criteria!$J$16),0)</f>
        <v>0</v>
      </c>
      <c r="O9" s="442">
        <f t="shared" ref="O9:O14" si="6">+H9</f>
        <v>0</v>
      </c>
      <c r="P9" s="443">
        <f t="shared" si="2"/>
        <v>0</v>
      </c>
      <c r="Q9" s="357" t="e">
        <f t="shared" si="3"/>
        <v>#DIV/0!</v>
      </c>
      <c r="R9" s="630"/>
      <c r="S9" s="630"/>
      <c r="T9" s="630"/>
      <c r="U9" s="630"/>
      <c r="V9" s="630"/>
      <c r="W9" s="630"/>
      <c r="X9" s="630"/>
      <c r="Y9" s="630"/>
      <c r="Z9" s="630"/>
      <c r="AA9" s="630"/>
      <c r="AB9" s="1">
        <f t="shared" si="4"/>
        <v>0</v>
      </c>
      <c r="AC9" s="357" t="e">
        <f t="shared" si="5"/>
        <v>#DIV/0!</v>
      </c>
      <c r="AD9" s="864"/>
      <c r="AE9" s="865"/>
      <c r="AF9" s="865"/>
      <c r="AG9" s="866"/>
      <c r="AH9" s="866"/>
      <c r="AI9" s="867"/>
    </row>
    <row r="10" spans="1:35" x14ac:dyDescent="0.25">
      <c r="A10" s="638"/>
      <c r="C10" s="369"/>
      <c r="D10" s="369"/>
      <c r="E10" s="630"/>
      <c r="F10" s="630"/>
      <c r="G10" s="264">
        <f t="shared" si="0"/>
        <v>0</v>
      </c>
      <c r="H10" s="442">
        <f t="shared" si="1"/>
        <v>0</v>
      </c>
      <c r="J10" s="630"/>
      <c r="K10" s="630"/>
      <c r="L10" s="630"/>
      <c r="M10" s="630"/>
      <c r="N10" s="1">
        <f>IF(C10&gt;0,((J10*Setup_and_Criteria!$F$13)+('M1_1-15th'!K10*Setup_and_Criteria!$F$14)+('M1_1-15th'!L10*Setup_and_Criteria!$F$15)+('M1_1-15th'!M10*Setup_and_Criteria!$F$16)+Setup_and_Criteria!$J$16),0)</f>
        <v>0</v>
      </c>
      <c r="O10" s="442">
        <f t="shared" si="6"/>
        <v>0</v>
      </c>
      <c r="P10" s="443">
        <f t="shared" si="2"/>
        <v>0</v>
      </c>
      <c r="Q10" s="357" t="e">
        <f t="shared" si="3"/>
        <v>#DIV/0!</v>
      </c>
      <c r="R10" s="630"/>
      <c r="S10" s="630"/>
      <c r="T10" s="630"/>
      <c r="U10" s="630"/>
      <c r="V10" s="630"/>
      <c r="W10" s="630"/>
      <c r="X10" s="630"/>
      <c r="Y10" s="630"/>
      <c r="Z10" s="630"/>
      <c r="AA10" s="630"/>
      <c r="AB10" s="1">
        <f t="shared" si="4"/>
        <v>0</v>
      </c>
      <c r="AC10" s="357" t="e">
        <f t="shared" si="5"/>
        <v>#DIV/0!</v>
      </c>
      <c r="AD10" s="864"/>
      <c r="AE10" s="865"/>
      <c r="AF10" s="865"/>
      <c r="AG10" s="866"/>
      <c r="AH10" s="866"/>
      <c r="AI10" s="867"/>
    </row>
    <row r="11" spans="1:35" x14ac:dyDescent="0.25">
      <c r="A11" s="638"/>
      <c r="C11" s="630"/>
      <c r="D11" s="630"/>
      <c r="E11" s="630"/>
      <c r="F11" s="630"/>
      <c r="G11" s="264">
        <f t="shared" si="0"/>
        <v>0</v>
      </c>
      <c r="H11" s="442">
        <f t="shared" si="1"/>
        <v>0</v>
      </c>
      <c r="J11" s="630"/>
      <c r="K11" s="630"/>
      <c r="L11" s="630"/>
      <c r="M11" s="630"/>
      <c r="N11" s="1">
        <f>IF(C11&gt;0,((J11*Setup_and_Criteria!$F$13)+('M1_1-15th'!K11*Setup_and_Criteria!$F$14)+('M1_1-15th'!L11*Setup_and_Criteria!$F$15)+('M1_1-15th'!M11*Setup_and_Criteria!$F$16)+Setup_and_Criteria!$J$16),0)</f>
        <v>0</v>
      </c>
      <c r="O11" s="442">
        <f t="shared" si="6"/>
        <v>0</v>
      </c>
      <c r="P11" s="443">
        <f t="shared" si="2"/>
        <v>0</v>
      </c>
      <c r="Q11" s="357" t="e">
        <f t="shared" si="3"/>
        <v>#DIV/0!</v>
      </c>
      <c r="R11" s="630"/>
      <c r="S11" s="630"/>
      <c r="T11" s="630"/>
      <c r="U11" s="630"/>
      <c r="V11" s="630"/>
      <c r="W11" s="630"/>
      <c r="X11" s="630"/>
      <c r="Y11" s="630"/>
      <c r="Z11" s="630"/>
      <c r="AA11" s="630"/>
      <c r="AB11" s="1">
        <f t="shared" si="4"/>
        <v>0</v>
      </c>
      <c r="AC11" s="357" t="e">
        <f t="shared" si="5"/>
        <v>#DIV/0!</v>
      </c>
      <c r="AD11" s="864"/>
      <c r="AE11" s="865"/>
      <c r="AF11" s="865"/>
      <c r="AG11" s="866"/>
      <c r="AH11" s="866"/>
      <c r="AI11" s="867"/>
    </row>
    <row r="12" spans="1:35" x14ac:dyDescent="0.25">
      <c r="A12" s="638"/>
      <c r="C12" s="630"/>
      <c r="D12" s="630"/>
      <c r="E12" s="630"/>
      <c r="F12" s="630"/>
      <c r="G12" s="264">
        <f t="shared" si="0"/>
        <v>0</v>
      </c>
      <c r="H12" s="442">
        <f t="shared" si="1"/>
        <v>0</v>
      </c>
      <c r="J12" s="630"/>
      <c r="K12" s="630"/>
      <c r="L12" s="630"/>
      <c r="M12" s="630"/>
      <c r="N12" s="1">
        <f>IF(C12&gt;0,((J12*Setup_and_Criteria!$F$13)+('M1_1-15th'!K12*Setup_and_Criteria!$F$14)+('M1_1-15th'!L12*Setup_and_Criteria!$F$15)+('M1_1-15th'!M12*Setup_and_Criteria!$F$16)+Setup_and_Criteria!$J$16),0)</f>
        <v>0</v>
      </c>
      <c r="O12" s="442">
        <f t="shared" si="6"/>
        <v>0</v>
      </c>
      <c r="P12" s="443">
        <f t="shared" si="2"/>
        <v>0</v>
      </c>
      <c r="Q12" s="357" t="e">
        <f t="shared" si="3"/>
        <v>#DIV/0!</v>
      </c>
      <c r="R12" s="630"/>
      <c r="S12" s="630"/>
      <c r="T12" s="630"/>
      <c r="U12" s="630"/>
      <c r="V12" s="630"/>
      <c r="W12" s="630"/>
      <c r="X12" s="630"/>
      <c r="Y12" s="630"/>
      <c r="Z12" s="630"/>
      <c r="AA12" s="630"/>
      <c r="AB12" s="1">
        <f t="shared" si="4"/>
        <v>0</v>
      </c>
      <c r="AC12" s="357" t="e">
        <f t="shared" si="5"/>
        <v>#DIV/0!</v>
      </c>
      <c r="AD12" s="864"/>
      <c r="AE12" s="865"/>
      <c r="AF12" s="865"/>
      <c r="AG12" s="866"/>
      <c r="AH12" s="866"/>
      <c r="AI12" s="867"/>
    </row>
    <row r="13" spans="1:35" ht="15.75" thickBot="1" x14ac:dyDescent="0.3">
      <c r="A13" s="638"/>
      <c r="C13" s="370"/>
      <c r="D13" s="370"/>
      <c r="E13" s="630"/>
      <c r="F13" s="630"/>
      <c r="G13" s="264">
        <f t="shared" si="0"/>
        <v>0</v>
      </c>
      <c r="H13" s="442">
        <f t="shared" si="1"/>
        <v>0</v>
      </c>
      <c r="J13" s="371"/>
      <c r="K13" s="371"/>
      <c r="L13" s="371"/>
      <c r="M13" s="371"/>
      <c r="N13" s="358">
        <f>IF(C13&gt;0,((J13*Setup_and_Criteria!$F$13)+('M1_1-15th'!K13*Setup_and_Criteria!$F$14)+('M1_1-15th'!L13*Setup_and_Criteria!$F$15)+('M1_1-15th'!M13*Setup_and_Criteria!$F$16)+Setup_and_Criteria!$J$16),0)</f>
        <v>0</v>
      </c>
      <c r="O13" s="359">
        <f t="shared" si="6"/>
        <v>0</v>
      </c>
      <c r="P13" s="383">
        <f t="shared" si="2"/>
        <v>0</v>
      </c>
      <c r="Q13" s="360" t="e">
        <f t="shared" si="3"/>
        <v>#DIV/0!</v>
      </c>
      <c r="R13" s="511"/>
      <c r="S13" s="511"/>
      <c r="T13" s="511"/>
      <c r="U13" s="511"/>
      <c r="V13" s="511"/>
      <c r="W13" s="511"/>
      <c r="X13" s="511"/>
      <c r="Y13" s="511"/>
      <c r="Z13" s="511"/>
      <c r="AA13" s="511"/>
      <c r="AB13" s="1">
        <f t="shared" si="4"/>
        <v>0</v>
      </c>
      <c r="AC13" s="357" t="e">
        <f t="shared" si="5"/>
        <v>#DIV/0!</v>
      </c>
      <c r="AD13" s="864"/>
      <c r="AE13" s="865"/>
      <c r="AF13" s="865"/>
      <c r="AG13" s="866"/>
      <c r="AH13" s="866"/>
      <c r="AI13" s="867"/>
    </row>
    <row r="14" spans="1:35" ht="15.75" thickTop="1" x14ac:dyDescent="0.25">
      <c r="A14" s="58"/>
      <c r="H14" s="442">
        <f>SUM(H8:H13)</f>
        <v>0</v>
      </c>
      <c r="J14" s="1">
        <f>SUM(J8:J13)</f>
        <v>0</v>
      </c>
      <c r="K14" s="1">
        <f>SUM(K8:K13)</f>
        <v>0</v>
      </c>
      <c r="L14" s="1">
        <f>SUM(L8:L13)</f>
        <v>0</v>
      </c>
      <c r="M14" s="1">
        <f>SUM(M8:M13)</f>
        <v>0</v>
      </c>
      <c r="N14" s="1">
        <f>SUM(N8:N13)</f>
        <v>0</v>
      </c>
      <c r="O14" s="1">
        <f t="shared" si="6"/>
        <v>0</v>
      </c>
      <c r="P14" s="443">
        <f t="shared" si="2"/>
        <v>0</v>
      </c>
      <c r="Q14" s="357" t="e">
        <f t="shared" si="3"/>
        <v>#DIV/0!</v>
      </c>
      <c r="R14" s="1">
        <f t="shared" ref="R14:AA14" si="7">SUM(R8:R13)</f>
        <v>0</v>
      </c>
      <c r="S14" s="1">
        <f t="shared" si="7"/>
        <v>0</v>
      </c>
      <c r="T14" s="1">
        <f t="shared" si="7"/>
        <v>0</v>
      </c>
      <c r="U14" s="1">
        <f t="shared" si="7"/>
        <v>0</v>
      </c>
      <c r="V14" s="1">
        <f t="shared" si="7"/>
        <v>0</v>
      </c>
      <c r="W14" s="1">
        <f t="shared" si="7"/>
        <v>0</v>
      </c>
      <c r="X14" s="1">
        <f t="shared" si="7"/>
        <v>0</v>
      </c>
      <c r="Y14" s="1">
        <f t="shared" si="7"/>
        <v>0</v>
      </c>
      <c r="Z14" s="1">
        <f t="shared" si="7"/>
        <v>0</v>
      </c>
      <c r="AA14" s="1">
        <f t="shared" si="7"/>
        <v>0</v>
      </c>
      <c r="AB14" s="1">
        <f t="shared" si="4"/>
        <v>0</v>
      </c>
      <c r="AC14" s="357" t="e">
        <f t="shared" si="5"/>
        <v>#DIV/0!</v>
      </c>
      <c r="AD14" s="877"/>
      <c r="AE14" s="878"/>
      <c r="AF14" s="878"/>
      <c r="AG14" s="749"/>
      <c r="AH14" s="749"/>
      <c r="AI14" s="879"/>
    </row>
    <row r="15" spans="1:35" ht="21" customHeight="1" x14ac:dyDescent="0.35">
      <c r="A15" s="58"/>
      <c r="H15" s="442"/>
      <c r="N15" s="888" t="s">
        <v>145</v>
      </c>
      <c r="O15" s="888"/>
      <c r="P15" s="888"/>
      <c r="Q15" s="888"/>
      <c r="R15" s="431" t="s">
        <v>146</v>
      </c>
      <c r="S15" s="431"/>
      <c r="T15" s="431"/>
      <c r="U15" s="431"/>
      <c r="V15" s="431"/>
      <c r="W15" s="431"/>
      <c r="X15" s="431"/>
      <c r="Y15" s="431"/>
      <c r="Z15" s="431"/>
      <c r="AA15" s="431"/>
      <c r="AB15" s="431"/>
      <c r="AC15" s="431"/>
      <c r="AD15" s="880" t="s">
        <v>132</v>
      </c>
      <c r="AE15" s="881"/>
      <c r="AF15" s="881"/>
      <c r="AG15" s="881"/>
      <c r="AH15" s="881"/>
      <c r="AI15" s="882"/>
    </row>
    <row r="16" spans="1:35" ht="31.5" customHeight="1" x14ac:dyDescent="0.35">
      <c r="A16" s="378" t="s">
        <v>147</v>
      </c>
      <c r="C16" s="885" t="s">
        <v>128</v>
      </c>
      <c r="D16" s="885"/>
      <c r="E16" s="885"/>
      <c r="F16" s="885"/>
      <c r="H16" s="442"/>
      <c r="J16" s="444"/>
      <c r="K16" s="445" t="s">
        <v>35</v>
      </c>
      <c r="L16" s="445" t="s">
        <v>148</v>
      </c>
      <c r="N16" s="446" t="s">
        <v>149</v>
      </c>
      <c r="O16" s="447" t="s">
        <v>150</v>
      </c>
      <c r="P16" s="447" t="s">
        <v>138</v>
      </c>
      <c r="Q16" s="447" t="s">
        <v>151</v>
      </c>
      <c r="R16" s="749" t="s">
        <v>152</v>
      </c>
      <c r="S16" s="749"/>
      <c r="T16" s="883" t="s">
        <v>153</v>
      </c>
      <c r="U16" s="883"/>
      <c r="W16" s="425" t="s">
        <v>154</v>
      </c>
      <c r="X16" s="425"/>
      <c r="Y16" s="425"/>
      <c r="Z16" s="425"/>
      <c r="AA16" s="425"/>
      <c r="AB16" s="425"/>
      <c r="AC16" s="425"/>
      <c r="AD16" s="868" t="s">
        <v>160</v>
      </c>
      <c r="AE16" s="869"/>
      <c r="AF16" s="869"/>
      <c r="AG16" s="869"/>
      <c r="AH16" s="869"/>
      <c r="AI16" s="870"/>
    </row>
    <row r="17" spans="1:35" ht="18" customHeight="1" thickBot="1" x14ac:dyDescent="0.3">
      <c r="A17" s="640"/>
      <c r="B17" s="2"/>
      <c r="C17" s="379"/>
      <c r="D17" s="379"/>
      <c r="E17" s="379"/>
      <c r="F17" s="379"/>
      <c r="G17" s="380">
        <f>+(D17-C17)+(F17-E17)</f>
        <v>0</v>
      </c>
      <c r="H17" s="381">
        <f>+G17*1440</f>
        <v>0</v>
      </c>
      <c r="I17" s="859" t="s">
        <v>155</v>
      </c>
      <c r="J17" s="860"/>
      <c r="K17" s="373"/>
      <c r="L17" s="374"/>
      <c r="M17" s="423"/>
      <c r="N17" s="629">
        <f>+J14+L14+K14+K17+L17</f>
        <v>0</v>
      </c>
      <c r="O17" s="368">
        <f>+(Setup_and_Criteria!$K$31+(J14*Setup_and_Criteria!$F$20)+('M1_1-15th'!K14*Setup_and_Criteria!$F$21)+('M1_1-15th'!L14*Setup_and_Criteria!$F$20))+T17+(K17*Setup_and_Criteria!$F$21)+(Setup_and_Criteria!$F$22*'M1_1-15th'!L17)</f>
        <v>75</v>
      </c>
      <c r="P17" s="367">
        <f>+H17</f>
        <v>0</v>
      </c>
      <c r="Q17" s="367">
        <f>+O17-P17</f>
        <v>75</v>
      </c>
      <c r="R17" s="861" t="s">
        <v>252</v>
      </c>
      <c r="S17" s="861"/>
      <c r="T17" s="862"/>
      <c r="U17" s="863"/>
      <c r="V17" s="265" t="s">
        <v>156</v>
      </c>
      <c r="W17" s="854"/>
      <c r="X17" s="855"/>
      <c r="Y17" s="855"/>
      <c r="Z17" s="855"/>
      <c r="AA17" s="855"/>
      <c r="AB17" s="855"/>
      <c r="AC17" s="855"/>
      <c r="AD17" s="868"/>
      <c r="AE17" s="869"/>
      <c r="AF17" s="869"/>
      <c r="AG17" s="869"/>
      <c r="AH17" s="869"/>
      <c r="AI17" s="870"/>
    </row>
    <row r="18" spans="1:35" ht="15.75" thickBot="1" x14ac:dyDescent="0.3">
      <c r="A18" s="452" t="s">
        <v>157</v>
      </c>
      <c r="B18" s="450"/>
      <c r="C18" s="451"/>
      <c r="D18" s="451"/>
      <c r="E18" s="451"/>
      <c r="F18" s="451"/>
      <c r="G18" s="451"/>
      <c r="H18" s="451"/>
      <c r="I18" s="450"/>
      <c r="J18" s="451"/>
      <c r="K18" s="451"/>
      <c r="L18" s="451"/>
      <c r="M18" s="451"/>
      <c r="N18" s="451"/>
      <c r="O18" s="451"/>
      <c r="P18" s="451"/>
      <c r="Q18" s="450"/>
      <c r="R18" s="451"/>
      <c r="S18" s="451"/>
      <c r="T18" s="451"/>
      <c r="U18" s="451"/>
      <c r="V18" s="451"/>
      <c r="W18" s="451"/>
      <c r="X18" s="451"/>
      <c r="Y18" s="451"/>
      <c r="Z18" s="451"/>
      <c r="AA18" s="451"/>
      <c r="AB18" s="450"/>
      <c r="AC18" s="450"/>
      <c r="AD18" s="871"/>
      <c r="AE18" s="872"/>
      <c r="AF18" s="872"/>
      <c r="AG18" s="872"/>
      <c r="AH18" s="872"/>
      <c r="AI18" s="873"/>
    </row>
    <row r="19" spans="1:35" ht="35.25" customHeight="1" x14ac:dyDescent="0.4">
      <c r="A19" s="434" t="str">
        <f>+A6</f>
        <v>May</v>
      </c>
      <c r="B19" s="624">
        <f>+B6+1</f>
        <v>17</v>
      </c>
      <c r="C19" s="884" t="s">
        <v>128</v>
      </c>
      <c r="D19" s="884"/>
      <c r="E19" s="884"/>
      <c r="F19" s="884"/>
      <c r="G19" s="377"/>
      <c r="H19" s="377"/>
      <c r="I19" s="21"/>
      <c r="J19" s="874" t="s">
        <v>129</v>
      </c>
      <c r="K19" s="875"/>
      <c r="L19" s="875"/>
      <c r="M19" s="875"/>
      <c r="N19" s="876" t="s">
        <v>130</v>
      </c>
      <c r="O19" s="876"/>
      <c r="P19" s="876"/>
      <c r="Q19" s="876"/>
      <c r="R19" s="424" t="str">
        <f>+R6</f>
        <v xml:space="preserve"> Corrections Tracking - Check out rooms</v>
      </c>
      <c r="S19" s="424"/>
      <c r="T19" s="424"/>
      <c r="U19" s="424"/>
      <c r="V19" s="424"/>
      <c r="W19" s="424"/>
      <c r="X19" s="424"/>
      <c r="Y19" s="424"/>
      <c r="Z19" s="424"/>
      <c r="AA19" s="424"/>
      <c r="AB19" s="424"/>
      <c r="AC19" s="424"/>
      <c r="AD19" s="461" t="s">
        <v>132</v>
      </c>
      <c r="AE19" s="426"/>
      <c r="AF19" s="426"/>
      <c r="AG19" s="426"/>
      <c r="AH19" s="426"/>
      <c r="AI19" s="427"/>
    </row>
    <row r="20" spans="1:35" ht="59.25" customHeight="1" x14ac:dyDescent="0.25">
      <c r="A20" s="378" t="s">
        <v>133</v>
      </c>
      <c r="C20" s="435" t="s">
        <v>134</v>
      </c>
      <c r="D20" s="435" t="s">
        <v>135</v>
      </c>
      <c r="E20" s="435" t="s">
        <v>134</v>
      </c>
      <c r="F20" s="435" t="s">
        <v>135</v>
      </c>
      <c r="G20" s="1" t="s">
        <v>136</v>
      </c>
      <c r="H20" s="1" t="s">
        <v>108</v>
      </c>
      <c r="I20" s="436"/>
      <c r="J20" s="437" t="str">
        <f>+Setup_and_Criteria!$B$13</f>
        <v>Checkouts</v>
      </c>
      <c r="K20" s="437" t="str">
        <f>+Setup_and_Criteria!$B$14</f>
        <v>Pet Rooms</v>
      </c>
      <c r="L20" s="437" t="str">
        <f>+Setup_and_Criteria!$B$15</f>
        <v>2 Rm &amp; Jac Stes</v>
      </c>
      <c r="M20" s="438" t="str">
        <f>+Setup_and_Criteria!$B$16</f>
        <v>Stayovers</v>
      </c>
      <c r="N20" s="269" t="s">
        <v>137</v>
      </c>
      <c r="O20" s="269" t="s">
        <v>138</v>
      </c>
      <c r="P20" s="439" t="s">
        <v>139</v>
      </c>
      <c r="Q20" s="439" t="s">
        <v>140</v>
      </c>
      <c r="R20" s="440" t="str">
        <f>+Corrections!$C$8</f>
        <v>Vanity</v>
      </c>
      <c r="S20" s="440" t="str">
        <f>+Corrections!$I$8</f>
        <v>Toilet</v>
      </c>
      <c r="T20" s="440" t="str">
        <f>+Corrections!$O$8</f>
        <v>Bed/Pillows</v>
      </c>
      <c r="U20" s="440" t="str">
        <f>+Corrections!$U$8</f>
        <v>Floor</v>
      </c>
      <c r="V20" s="440" t="str">
        <f>+Corrections!$AA$8</f>
        <v>Dusting</v>
      </c>
      <c r="W20" s="440" t="str">
        <f>+Corrections!$AG$8</f>
        <v>Fridge/Micro</v>
      </c>
      <c r="X20" s="440" t="str">
        <f>+Corrections!$AM$8</f>
        <v>Tub</v>
      </c>
      <c r="Y20" s="441" t="str">
        <f>+Corrections!$AS$8</f>
        <v>Mirrors/Glass</v>
      </c>
      <c r="Z20" s="440" t="str">
        <f>+Corrections!$AY$8</f>
        <v>Stocking</v>
      </c>
      <c r="AA20" s="440" t="str">
        <f>+Corrections!$BE$8</f>
        <v>Other</v>
      </c>
      <c r="AB20" s="269" t="s">
        <v>141</v>
      </c>
      <c r="AC20" s="269" t="str">
        <f>+$AC$7</f>
        <v>Daily Corr / Inspected Checkout</v>
      </c>
      <c r="AD20" s="889" t="s">
        <v>143</v>
      </c>
      <c r="AE20" s="890"/>
      <c r="AF20" s="890"/>
      <c r="AG20" s="890"/>
      <c r="AH20" s="890"/>
      <c r="AI20" s="891"/>
    </row>
    <row r="21" spans="1:35" x14ac:dyDescent="0.25">
      <c r="A21" s="638"/>
      <c r="C21" s="369"/>
      <c r="D21" s="369"/>
      <c r="E21" s="369"/>
      <c r="F21" s="369"/>
      <c r="G21" s="264">
        <f t="shared" ref="G21:G26" si="8">+(D21-C21)+(F21-E21)</f>
        <v>0</v>
      </c>
      <c r="H21" s="442">
        <f t="shared" ref="H21:H26" si="9">+G21*1440</f>
        <v>0</v>
      </c>
      <c r="J21" s="630"/>
      <c r="K21" s="630"/>
      <c r="L21" s="630"/>
      <c r="M21" s="630"/>
      <c r="N21" s="1">
        <f>IF(C21&gt;0,((J21*Setup_and_Criteria!$F$13)+('M1_1-15th'!K21*Setup_and_Criteria!$F$14)+('M1_1-15th'!L21*Setup_and_Criteria!$F$15)+('M1_1-15th'!M21*Setup_and_Criteria!$F$16)+Setup_and_Criteria!$J$16),0)</f>
        <v>0</v>
      </c>
      <c r="O21" s="442">
        <f>+H21</f>
        <v>0</v>
      </c>
      <c r="P21" s="443">
        <f t="shared" ref="P21:P27" si="10">+N21-O21</f>
        <v>0</v>
      </c>
      <c r="Q21" s="357" t="e">
        <f t="shared" ref="Q21:Q27" si="11">O21/_xlfn.SINGLE(SUM(J21:M21))</f>
        <v>#DIV/0!</v>
      </c>
      <c r="R21" s="630"/>
      <c r="S21" s="630"/>
      <c r="T21" s="630"/>
      <c r="U21" s="630"/>
      <c r="V21" s="630"/>
      <c r="W21" s="630"/>
      <c r="X21" s="630"/>
      <c r="Y21" s="630"/>
      <c r="Z21" s="630"/>
      <c r="AA21" s="630"/>
      <c r="AB21" s="1">
        <f t="shared" ref="AB21:AB27" si="12">SUM(R21:AA21)</f>
        <v>0</v>
      </c>
      <c r="AC21" s="357" t="e">
        <f t="shared" ref="AC21:AC27" si="13">+AB21/(J21+K21+L21)</f>
        <v>#DIV/0!</v>
      </c>
      <c r="AD21" s="864" t="s">
        <v>144</v>
      </c>
      <c r="AE21" s="865"/>
      <c r="AF21" s="865"/>
      <c r="AG21" s="866"/>
      <c r="AH21" s="866"/>
      <c r="AI21" s="867"/>
    </row>
    <row r="22" spans="1:35" x14ac:dyDescent="0.25">
      <c r="A22" s="638"/>
      <c r="C22" s="630"/>
      <c r="D22" s="630"/>
      <c r="E22" s="630"/>
      <c r="F22" s="630"/>
      <c r="G22" s="264">
        <f t="shared" si="8"/>
        <v>0</v>
      </c>
      <c r="H22" s="442">
        <f t="shared" si="9"/>
        <v>0</v>
      </c>
      <c r="J22" s="630"/>
      <c r="K22" s="630"/>
      <c r="L22" s="630"/>
      <c r="M22" s="630"/>
      <c r="N22" s="1">
        <f>IF(C22&gt;0,((J22*Setup_and_Criteria!$F$13)+('M1_1-15th'!K22*Setup_and_Criteria!$F$14)+('M1_1-15th'!L22*Setup_and_Criteria!$F$15)+('M1_1-15th'!M22*Setup_and_Criteria!$F$16)+Setup_and_Criteria!$J$16),0)</f>
        <v>0</v>
      </c>
      <c r="O22" s="442">
        <f t="shared" ref="O22:O27" si="14">+H22</f>
        <v>0</v>
      </c>
      <c r="P22" s="443">
        <f t="shared" si="10"/>
        <v>0</v>
      </c>
      <c r="Q22" s="357" t="e">
        <f t="shared" si="11"/>
        <v>#DIV/0!</v>
      </c>
      <c r="R22" s="630"/>
      <c r="S22" s="630"/>
      <c r="T22" s="630"/>
      <c r="U22" s="630"/>
      <c r="V22" s="630"/>
      <c r="W22" s="630"/>
      <c r="X22" s="630"/>
      <c r="Y22" s="630"/>
      <c r="Z22" s="630"/>
      <c r="AA22" s="630"/>
      <c r="AB22" s="1">
        <f t="shared" si="12"/>
        <v>0</v>
      </c>
      <c r="AC22" s="357" t="e">
        <f t="shared" si="13"/>
        <v>#DIV/0!</v>
      </c>
      <c r="AD22" s="864"/>
      <c r="AE22" s="865"/>
      <c r="AF22" s="865"/>
      <c r="AG22" s="866"/>
      <c r="AH22" s="866"/>
      <c r="AI22" s="867"/>
    </row>
    <row r="23" spans="1:35" x14ac:dyDescent="0.25">
      <c r="A23" s="638"/>
      <c r="C23" s="630"/>
      <c r="D23" s="630"/>
      <c r="E23" s="630"/>
      <c r="F23" s="630"/>
      <c r="G23" s="264">
        <f t="shared" si="8"/>
        <v>0</v>
      </c>
      <c r="H23" s="442">
        <f t="shared" si="9"/>
        <v>0</v>
      </c>
      <c r="J23" s="630"/>
      <c r="K23" s="630"/>
      <c r="L23" s="630"/>
      <c r="M23" s="630"/>
      <c r="N23" s="1">
        <f>IF(C23&gt;0,((J23*Setup_and_Criteria!$F$13)+('M1_1-15th'!K23*Setup_and_Criteria!$F$14)+('M1_1-15th'!L23*Setup_and_Criteria!$F$15)+('M1_1-15th'!M23*Setup_and_Criteria!$F$16)+Setup_and_Criteria!$J$16),0)</f>
        <v>0</v>
      </c>
      <c r="O23" s="442">
        <f t="shared" si="14"/>
        <v>0</v>
      </c>
      <c r="P23" s="443">
        <f t="shared" si="10"/>
        <v>0</v>
      </c>
      <c r="Q23" s="357" t="e">
        <f t="shared" si="11"/>
        <v>#DIV/0!</v>
      </c>
      <c r="R23" s="630"/>
      <c r="S23" s="630"/>
      <c r="T23" s="630"/>
      <c r="U23" s="630"/>
      <c r="V23" s="630"/>
      <c r="W23" s="630"/>
      <c r="X23" s="630"/>
      <c r="Y23" s="630"/>
      <c r="Z23" s="630"/>
      <c r="AA23" s="630"/>
      <c r="AB23" s="1">
        <f t="shared" si="12"/>
        <v>0</v>
      </c>
      <c r="AC23" s="357" t="e">
        <f t="shared" si="13"/>
        <v>#DIV/0!</v>
      </c>
      <c r="AD23" s="864"/>
      <c r="AE23" s="865"/>
      <c r="AF23" s="865"/>
      <c r="AG23" s="866"/>
      <c r="AH23" s="866"/>
      <c r="AI23" s="867"/>
    </row>
    <row r="24" spans="1:35" x14ac:dyDescent="0.25">
      <c r="A24" s="638"/>
      <c r="C24" s="630"/>
      <c r="D24" s="630"/>
      <c r="E24" s="630"/>
      <c r="F24" s="630"/>
      <c r="G24" s="264">
        <f t="shared" si="8"/>
        <v>0</v>
      </c>
      <c r="H24" s="442">
        <f t="shared" si="9"/>
        <v>0</v>
      </c>
      <c r="J24" s="630"/>
      <c r="K24" s="630"/>
      <c r="L24" s="630"/>
      <c r="M24" s="630"/>
      <c r="N24" s="1">
        <f>IF(C24&gt;0,((J24*Setup_and_Criteria!$F$13)+('M1_1-15th'!K24*Setup_and_Criteria!$F$14)+('M1_1-15th'!L24*Setup_and_Criteria!$F$15)+('M1_1-15th'!M24*Setup_and_Criteria!$F$16)+Setup_and_Criteria!$J$16),0)</f>
        <v>0</v>
      </c>
      <c r="O24" s="442">
        <f t="shared" si="14"/>
        <v>0</v>
      </c>
      <c r="P24" s="443">
        <f t="shared" si="10"/>
        <v>0</v>
      </c>
      <c r="Q24" s="357" t="e">
        <f t="shared" si="11"/>
        <v>#DIV/0!</v>
      </c>
      <c r="R24" s="630"/>
      <c r="S24" s="630"/>
      <c r="T24" s="630"/>
      <c r="U24" s="630"/>
      <c r="V24" s="630"/>
      <c r="W24" s="630"/>
      <c r="X24" s="630"/>
      <c r="Y24" s="630"/>
      <c r="Z24" s="630"/>
      <c r="AA24" s="630"/>
      <c r="AB24" s="1">
        <f t="shared" si="12"/>
        <v>0</v>
      </c>
      <c r="AC24" s="357" t="e">
        <f t="shared" si="13"/>
        <v>#DIV/0!</v>
      </c>
      <c r="AD24" s="864"/>
      <c r="AE24" s="865"/>
      <c r="AF24" s="865"/>
      <c r="AG24" s="866"/>
      <c r="AH24" s="866"/>
      <c r="AI24" s="867"/>
    </row>
    <row r="25" spans="1:35" x14ac:dyDescent="0.25">
      <c r="A25" s="638"/>
      <c r="C25" s="630"/>
      <c r="D25" s="630"/>
      <c r="E25" s="630"/>
      <c r="F25" s="630"/>
      <c r="G25" s="264">
        <f t="shared" si="8"/>
        <v>0</v>
      </c>
      <c r="H25" s="442">
        <f t="shared" si="9"/>
        <v>0</v>
      </c>
      <c r="J25" s="630"/>
      <c r="K25" s="630"/>
      <c r="L25" s="630"/>
      <c r="M25" s="630"/>
      <c r="N25" s="1">
        <f>IF(C25&gt;0,((J25*Setup_and_Criteria!$F$13)+('M1_1-15th'!K25*Setup_and_Criteria!$F$14)+('M1_1-15th'!L25*Setup_and_Criteria!$F$15)+('M1_1-15th'!M25*Setup_and_Criteria!$F$16)+Setup_and_Criteria!$J$16),0)</f>
        <v>0</v>
      </c>
      <c r="O25" s="442">
        <f t="shared" si="14"/>
        <v>0</v>
      </c>
      <c r="P25" s="443">
        <f t="shared" si="10"/>
        <v>0</v>
      </c>
      <c r="Q25" s="357" t="e">
        <f t="shared" si="11"/>
        <v>#DIV/0!</v>
      </c>
      <c r="R25" s="630"/>
      <c r="S25" s="630"/>
      <c r="T25" s="630"/>
      <c r="U25" s="630"/>
      <c r="V25" s="630"/>
      <c r="W25" s="630"/>
      <c r="X25" s="630"/>
      <c r="Y25" s="630"/>
      <c r="Z25" s="630"/>
      <c r="AA25" s="630"/>
      <c r="AB25" s="1">
        <f t="shared" si="12"/>
        <v>0</v>
      </c>
      <c r="AC25" s="357" t="e">
        <f t="shared" si="13"/>
        <v>#DIV/0!</v>
      </c>
      <c r="AD25" s="864"/>
      <c r="AE25" s="865"/>
      <c r="AF25" s="865"/>
      <c r="AG25" s="866"/>
      <c r="AH25" s="866"/>
      <c r="AI25" s="867"/>
    </row>
    <row r="26" spans="1:35" ht="15.75" thickBot="1" x14ac:dyDescent="0.3">
      <c r="A26" s="638"/>
      <c r="C26" s="370"/>
      <c r="D26" s="370"/>
      <c r="E26" s="630"/>
      <c r="F26" s="630"/>
      <c r="G26" s="264">
        <f t="shared" si="8"/>
        <v>0</v>
      </c>
      <c r="H26" s="442">
        <f t="shared" si="9"/>
        <v>0</v>
      </c>
      <c r="J26" s="371"/>
      <c r="K26" s="371"/>
      <c r="L26" s="371"/>
      <c r="M26" s="371"/>
      <c r="N26" s="358">
        <f>IF(C26&gt;0,((J26*Setup_and_Criteria!$F$13)+('M1_1-15th'!K26*Setup_and_Criteria!$F$14)+('M1_1-15th'!L26*Setup_and_Criteria!$F$15)+('M1_1-15th'!M26*Setup_and_Criteria!$F$16)+Setup_and_Criteria!$J$16),0)</f>
        <v>0</v>
      </c>
      <c r="O26" s="359">
        <f t="shared" si="14"/>
        <v>0</v>
      </c>
      <c r="P26" s="383">
        <f t="shared" si="10"/>
        <v>0</v>
      </c>
      <c r="Q26" s="360" t="e">
        <f t="shared" si="11"/>
        <v>#DIV/0!</v>
      </c>
      <c r="R26" s="511"/>
      <c r="S26" s="511"/>
      <c r="T26" s="511"/>
      <c r="U26" s="511"/>
      <c r="V26" s="511"/>
      <c r="W26" s="511"/>
      <c r="X26" s="511"/>
      <c r="Y26" s="511"/>
      <c r="Z26" s="511"/>
      <c r="AA26" s="511"/>
      <c r="AB26" s="1">
        <f t="shared" si="12"/>
        <v>0</v>
      </c>
      <c r="AC26" s="357" t="e">
        <f t="shared" si="13"/>
        <v>#DIV/0!</v>
      </c>
      <c r="AD26" s="864"/>
      <c r="AE26" s="865"/>
      <c r="AF26" s="865"/>
      <c r="AG26" s="866"/>
      <c r="AH26" s="866"/>
      <c r="AI26" s="867"/>
    </row>
    <row r="27" spans="1:35" ht="15.75" thickTop="1" x14ac:dyDescent="0.25">
      <c r="A27" s="58"/>
      <c r="H27" s="442">
        <f>SUM(H21:H26)</f>
        <v>0</v>
      </c>
      <c r="J27" s="1">
        <f>SUM(J21:J26)</f>
        <v>0</v>
      </c>
      <c r="K27" s="1">
        <f>SUM(K21:K26)</f>
        <v>0</v>
      </c>
      <c r="L27" s="1">
        <f>SUM(L21:L26)</f>
        <v>0</v>
      </c>
      <c r="M27" s="1">
        <f>SUM(M21:M26)</f>
        <v>0</v>
      </c>
      <c r="N27" s="1">
        <f>SUM(N21:N26)</f>
        <v>0</v>
      </c>
      <c r="O27" s="1">
        <f t="shared" si="14"/>
        <v>0</v>
      </c>
      <c r="P27" s="443">
        <f t="shared" si="10"/>
        <v>0</v>
      </c>
      <c r="Q27" s="357" t="e">
        <f t="shared" si="11"/>
        <v>#DIV/0!</v>
      </c>
      <c r="R27" s="1">
        <f t="shared" ref="R27:AA27" si="15">SUM(R21:R26)</f>
        <v>0</v>
      </c>
      <c r="S27" s="1">
        <f t="shared" si="15"/>
        <v>0</v>
      </c>
      <c r="T27" s="1">
        <f t="shared" si="15"/>
        <v>0</v>
      </c>
      <c r="U27" s="1">
        <f t="shared" si="15"/>
        <v>0</v>
      </c>
      <c r="V27" s="1">
        <f t="shared" si="15"/>
        <v>0</v>
      </c>
      <c r="W27" s="1">
        <f t="shared" si="15"/>
        <v>0</v>
      </c>
      <c r="X27" s="1">
        <f t="shared" si="15"/>
        <v>0</v>
      </c>
      <c r="Y27" s="1">
        <f t="shared" si="15"/>
        <v>0</v>
      </c>
      <c r="Z27" s="1">
        <f t="shared" si="15"/>
        <v>0</v>
      </c>
      <c r="AA27" s="1">
        <f t="shared" si="15"/>
        <v>0</v>
      </c>
      <c r="AB27" s="1">
        <f t="shared" si="12"/>
        <v>0</v>
      </c>
      <c r="AC27" s="357" t="e">
        <f t="shared" si="13"/>
        <v>#DIV/0!</v>
      </c>
      <c r="AD27" s="877"/>
      <c r="AE27" s="878"/>
      <c r="AF27" s="878"/>
      <c r="AG27" s="749"/>
      <c r="AH27" s="749"/>
      <c r="AI27" s="879"/>
    </row>
    <row r="28" spans="1:35" ht="21" customHeight="1" x14ac:dyDescent="0.35">
      <c r="A28" s="58"/>
      <c r="H28" s="442"/>
      <c r="N28" s="888" t="s">
        <v>145</v>
      </c>
      <c r="O28" s="888"/>
      <c r="P28" s="888"/>
      <c r="Q28" s="888"/>
      <c r="R28" s="431" t="s">
        <v>146</v>
      </c>
      <c r="S28" s="431"/>
      <c r="T28" s="431"/>
      <c r="U28" s="431"/>
      <c r="V28" s="431"/>
      <c r="W28" s="431"/>
      <c r="X28" s="431"/>
      <c r="Y28" s="431"/>
      <c r="Z28" s="431"/>
      <c r="AA28" s="431"/>
      <c r="AB28" s="431"/>
      <c r="AC28" s="431"/>
      <c r="AD28" s="880" t="s">
        <v>132</v>
      </c>
      <c r="AE28" s="881"/>
      <c r="AF28" s="881"/>
      <c r="AG28" s="881"/>
      <c r="AH28" s="881"/>
      <c r="AI28" s="882"/>
    </row>
    <row r="29" spans="1:35" ht="31.5" customHeight="1" x14ac:dyDescent="0.35">
      <c r="A29" s="378" t="s">
        <v>147</v>
      </c>
      <c r="C29" s="885" t="s">
        <v>128</v>
      </c>
      <c r="D29" s="885"/>
      <c r="E29" s="885"/>
      <c r="F29" s="885"/>
      <c r="H29" s="442"/>
      <c r="J29" s="444"/>
      <c r="K29" s="445" t="s">
        <v>35</v>
      </c>
      <c r="L29" s="445" t="s">
        <v>148</v>
      </c>
      <c r="N29" s="446" t="s">
        <v>149</v>
      </c>
      <c r="O29" s="447" t="s">
        <v>150</v>
      </c>
      <c r="P29" s="447" t="s">
        <v>138</v>
      </c>
      <c r="Q29" s="447" t="s">
        <v>151</v>
      </c>
      <c r="R29" s="749" t="s">
        <v>152</v>
      </c>
      <c r="S29" s="749"/>
      <c r="T29" s="883" t="s">
        <v>153</v>
      </c>
      <c r="U29" s="883"/>
      <c r="W29" s="425" t="s">
        <v>154</v>
      </c>
      <c r="X29" s="425"/>
      <c r="Y29" s="425"/>
      <c r="Z29" s="425"/>
      <c r="AA29" s="425"/>
      <c r="AB29" s="425"/>
      <c r="AC29" s="425"/>
      <c r="AD29" s="868" t="s">
        <v>160</v>
      </c>
      <c r="AE29" s="869"/>
      <c r="AF29" s="869"/>
      <c r="AG29" s="869"/>
      <c r="AH29" s="869"/>
      <c r="AI29" s="870"/>
    </row>
    <row r="30" spans="1:35" ht="18" customHeight="1" thickBot="1" x14ac:dyDescent="0.3">
      <c r="A30" s="639"/>
      <c r="B30" s="364"/>
      <c r="C30" s="372"/>
      <c r="D30" s="372"/>
      <c r="E30" s="372"/>
      <c r="F30" s="372"/>
      <c r="G30" s="366">
        <f>+(D30-C30)+(F30-E30)</f>
        <v>0</v>
      </c>
      <c r="H30" s="367">
        <f>+G30*1440</f>
        <v>0</v>
      </c>
      <c r="I30" s="859" t="s">
        <v>155</v>
      </c>
      <c r="J30" s="860"/>
      <c r="K30" s="373"/>
      <c r="L30" s="374"/>
      <c r="M30" s="423"/>
      <c r="N30" s="629">
        <f>+J27+L27+K27+K30+L30</f>
        <v>0</v>
      </c>
      <c r="O30" s="368">
        <f>+(Setup_and_Criteria!$K$31+(J27*Setup_and_Criteria!$F$20)+('M1_1-15th'!K27*Setup_and_Criteria!$F$21)+('M1_1-15th'!L27*Setup_and_Criteria!$F$20))+T30+(K30*Setup_and_Criteria!$F$21)+(Setup_and_Criteria!$F$22*'M1_1-15th'!L30)</f>
        <v>75</v>
      </c>
      <c r="P30" s="367">
        <f>+H30</f>
        <v>0</v>
      </c>
      <c r="Q30" s="367">
        <f>+O30-P30</f>
        <v>75</v>
      </c>
      <c r="R30" s="861" t="s">
        <v>252</v>
      </c>
      <c r="S30" s="861"/>
      <c r="T30" s="862"/>
      <c r="U30" s="863"/>
      <c r="V30" s="265" t="s">
        <v>156</v>
      </c>
      <c r="W30" s="854"/>
      <c r="X30" s="855"/>
      <c r="Y30" s="855"/>
      <c r="Z30" s="855"/>
      <c r="AA30" s="855"/>
      <c r="AB30" s="855"/>
      <c r="AC30" s="855"/>
      <c r="AD30" s="868"/>
      <c r="AE30" s="869"/>
      <c r="AF30" s="869"/>
      <c r="AG30" s="869"/>
      <c r="AH30" s="869"/>
      <c r="AI30" s="870"/>
    </row>
    <row r="31" spans="1:35" ht="15.75" thickBot="1" x14ac:dyDescent="0.3">
      <c r="A31" s="452" t="str">
        <f>+A18</f>
        <v>Password to enter data = "Enter Info"</v>
      </c>
      <c r="B31" s="450"/>
      <c r="C31" s="451"/>
      <c r="D31" s="451"/>
      <c r="E31" s="451"/>
      <c r="F31" s="451"/>
      <c r="G31" s="451"/>
      <c r="H31" s="451"/>
      <c r="I31" s="450"/>
      <c r="J31" s="451"/>
      <c r="K31" s="451"/>
      <c r="L31" s="451"/>
      <c r="M31" s="451"/>
      <c r="N31" s="451"/>
      <c r="O31" s="451"/>
      <c r="P31" s="451"/>
      <c r="Q31" s="450"/>
      <c r="R31" s="451"/>
      <c r="S31" s="451"/>
      <c r="T31" s="451"/>
      <c r="U31" s="451"/>
      <c r="V31" s="451"/>
      <c r="W31" s="451"/>
      <c r="X31" s="451"/>
      <c r="Y31" s="451"/>
      <c r="Z31" s="451"/>
      <c r="AA31" s="451"/>
      <c r="AB31" s="450"/>
      <c r="AC31" s="450"/>
      <c r="AD31" s="871"/>
      <c r="AE31" s="872"/>
      <c r="AF31" s="872"/>
      <c r="AG31" s="872"/>
      <c r="AH31" s="872"/>
      <c r="AI31" s="873"/>
    </row>
    <row r="32" spans="1:35" ht="35.25" customHeight="1" x14ac:dyDescent="0.4">
      <c r="A32" s="434" t="str">
        <f>+A19</f>
        <v>May</v>
      </c>
      <c r="B32" s="624">
        <f>+B19+1</f>
        <v>18</v>
      </c>
      <c r="C32" s="884" t="s">
        <v>128</v>
      </c>
      <c r="D32" s="884"/>
      <c r="E32" s="884"/>
      <c r="F32" s="884"/>
      <c r="G32" s="377"/>
      <c r="H32" s="377"/>
      <c r="I32" s="21"/>
      <c r="J32" s="874" t="s">
        <v>129</v>
      </c>
      <c r="K32" s="875"/>
      <c r="L32" s="875"/>
      <c r="M32" s="875"/>
      <c r="N32" s="876" t="s">
        <v>130</v>
      </c>
      <c r="O32" s="876"/>
      <c r="P32" s="876"/>
      <c r="Q32" s="876"/>
      <c r="R32" s="424" t="str">
        <f>+R19</f>
        <v xml:space="preserve"> Corrections Tracking - Check out rooms</v>
      </c>
      <c r="S32" s="424"/>
      <c r="T32" s="424"/>
      <c r="U32" s="424"/>
      <c r="V32" s="424"/>
      <c r="W32" s="424"/>
      <c r="X32" s="424"/>
      <c r="Y32" s="424"/>
      <c r="Z32" s="424"/>
      <c r="AA32" s="424"/>
      <c r="AB32" s="424"/>
      <c r="AC32" s="424"/>
      <c r="AD32" s="461" t="s">
        <v>132</v>
      </c>
      <c r="AE32" s="426"/>
      <c r="AF32" s="426"/>
      <c r="AG32" s="426"/>
      <c r="AH32" s="426"/>
      <c r="AI32" s="427"/>
    </row>
    <row r="33" spans="1:35" ht="59.25" customHeight="1" x14ac:dyDescent="0.25">
      <c r="A33" s="378" t="s">
        <v>133</v>
      </c>
      <c r="C33" s="435" t="s">
        <v>134</v>
      </c>
      <c r="D33" s="435" t="s">
        <v>135</v>
      </c>
      <c r="E33" s="435" t="s">
        <v>134</v>
      </c>
      <c r="F33" s="435" t="s">
        <v>135</v>
      </c>
      <c r="G33" s="1" t="s">
        <v>136</v>
      </c>
      <c r="H33" s="1" t="s">
        <v>108</v>
      </c>
      <c r="I33" s="436"/>
      <c r="J33" s="437" t="str">
        <f>+Setup_and_Criteria!$B$13</f>
        <v>Checkouts</v>
      </c>
      <c r="K33" s="437" t="str">
        <f>+Setup_and_Criteria!$B$14</f>
        <v>Pet Rooms</v>
      </c>
      <c r="L33" s="437" t="str">
        <f>+Setup_and_Criteria!$B$15</f>
        <v>2 Rm &amp; Jac Stes</v>
      </c>
      <c r="M33" s="438" t="str">
        <f>+Setup_and_Criteria!$B$16</f>
        <v>Stayovers</v>
      </c>
      <c r="N33" s="269" t="s">
        <v>137</v>
      </c>
      <c r="O33" s="269" t="s">
        <v>138</v>
      </c>
      <c r="P33" s="439" t="s">
        <v>139</v>
      </c>
      <c r="Q33" s="439" t="s">
        <v>140</v>
      </c>
      <c r="R33" s="440" t="str">
        <f>+Corrections!$C$8</f>
        <v>Vanity</v>
      </c>
      <c r="S33" s="440" t="str">
        <f>+Corrections!$I$8</f>
        <v>Toilet</v>
      </c>
      <c r="T33" s="440" t="str">
        <f>+Corrections!$O$8</f>
        <v>Bed/Pillows</v>
      </c>
      <c r="U33" s="440" t="str">
        <f>+Corrections!$U$8</f>
        <v>Floor</v>
      </c>
      <c r="V33" s="440" t="str">
        <f>+Corrections!$AA$8</f>
        <v>Dusting</v>
      </c>
      <c r="W33" s="440" t="str">
        <f>+Corrections!$AG$8</f>
        <v>Fridge/Micro</v>
      </c>
      <c r="X33" s="440" t="str">
        <f>+Corrections!$AM$8</f>
        <v>Tub</v>
      </c>
      <c r="Y33" s="441" t="str">
        <f>+Corrections!$AS$8</f>
        <v>Mirrors/Glass</v>
      </c>
      <c r="Z33" s="440" t="str">
        <f>+Corrections!$AY$8</f>
        <v>Stocking</v>
      </c>
      <c r="AA33" s="440" t="str">
        <f>+Corrections!$BE$8</f>
        <v>Other</v>
      </c>
      <c r="AB33" s="269" t="s">
        <v>141</v>
      </c>
      <c r="AC33" s="269" t="str">
        <f>+$AC$7</f>
        <v>Daily Corr / Inspected Checkout</v>
      </c>
      <c r="AD33" s="889" t="s">
        <v>143</v>
      </c>
      <c r="AE33" s="890"/>
      <c r="AF33" s="890"/>
      <c r="AG33" s="890"/>
      <c r="AH33" s="890"/>
      <c r="AI33" s="891"/>
    </row>
    <row r="34" spans="1:35" x14ac:dyDescent="0.25">
      <c r="A34" s="638"/>
      <c r="C34" s="369"/>
      <c r="D34" s="369"/>
      <c r="E34" s="369"/>
      <c r="F34" s="369"/>
      <c r="G34" s="264">
        <f t="shared" ref="G34:G39" si="16">+(D34-C34)+(F34-E34)</f>
        <v>0</v>
      </c>
      <c r="H34" s="442">
        <f t="shared" ref="H34:H39" si="17">+G34*1440</f>
        <v>0</v>
      </c>
      <c r="J34" s="630"/>
      <c r="K34" s="630"/>
      <c r="L34" s="630"/>
      <c r="M34" s="630"/>
      <c r="N34" s="1">
        <f>IF(C34&gt;0,((J34*Setup_and_Criteria!$F$13)+('M1_1-15th'!K34*Setup_and_Criteria!$F$14)+('M1_1-15th'!L34*Setup_and_Criteria!$F$15)+('M1_1-15th'!M34*Setup_and_Criteria!$F$16)+Setup_and_Criteria!$J$16),0)</f>
        <v>0</v>
      </c>
      <c r="O34" s="442">
        <f t="shared" ref="O34:O36" si="18">+H34</f>
        <v>0</v>
      </c>
      <c r="P34" s="443">
        <f t="shared" ref="P34:P40" si="19">+N34-O34</f>
        <v>0</v>
      </c>
      <c r="Q34" s="357" t="e">
        <f t="shared" ref="Q34:Q40" si="20">O34/_xlfn.SINGLE(SUM(J34:M34))</f>
        <v>#DIV/0!</v>
      </c>
      <c r="R34" s="630"/>
      <c r="S34" s="630"/>
      <c r="T34" s="630"/>
      <c r="U34" s="630"/>
      <c r="V34" s="630"/>
      <c r="W34" s="630"/>
      <c r="X34" s="630"/>
      <c r="Y34" s="630"/>
      <c r="Z34" s="630"/>
      <c r="AA34" s="630"/>
      <c r="AB34" s="1">
        <f t="shared" ref="AB34:AB40" si="21">SUM(R34:AA34)</f>
        <v>0</v>
      </c>
      <c r="AC34" s="357" t="e">
        <f t="shared" ref="AC34:AC40" si="22">+AB34/(J34+K34+L34)</f>
        <v>#DIV/0!</v>
      </c>
      <c r="AD34" s="864" t="s">
        <v>144</v>
      </c>
      <c r="AE34" s="865"/>
      <c r="AF34" s="865"/>
      <c r="AG34" s="866"/>
      <c r="AH34" s="866"/>
      <c r="AI34" s="867"/>
    </row>
    <row r="35" spans="1:35" x14ac:dyDescent="0.25">
      <c r="A35" s="638"/>
      <c r="C35" s="630"/>
      <c r="D35" s="630"/>
      <c r="E35" s="630"/>
      <c r="F35" s="630"/>
      <c r="G35" s="264">
        <f t="shared" si="16"/>
        <v>0</v>
      </c>
      <c r="H35" s="442">
        <f t="shared" si="17"/>
        <v>0</v>
      </c>
      <c r="J35" s="630"/>
      <c r="K35" s="630"/>
      <c r="L35" s="630"/>
      <c r="M35" s="630"/>
      <c r="N35" s="1">
        <f>IF(C35&gt;0,((J35*Setup_and_Criteria!$F$13)+('M1_1-15th'!K35*Setup_and_Criteria!$F$14)+('M1_1-15th'!L35*Setup_and_Criteria!$F$15)+('M1_1-15th'!M35*Setup_and_Criteria!$F$16)+Setup_and_Criteria!$J$16),0)</f>
        <v>0</v>
      </c>
      <c r="O35" s="442">
        <f t="shared" si="18"/>
        <v>0</v>
      </c>
      <c r="P35" s="443">
        <f t="shared" si="19"/>
        <v>0</v>
      </c>
      <c r="Q35" s="357" t="e">
        <f t="shared" si="20"/>
        <v>#DIV/0!</v>
      </c>
      <c r="R35" s="630"/>
      <c r="S35" s="630"/>
      <c r="T35" s="630"/>
      <c r="U35" s="630"/>
      <c r="V35" s="630"/>
      <c r="W35" s="630"/>
      <c r="X35" s="630"/>
      <c r="Y35" s="630"/>
      <c r="Z35" s="630"/>
      <c r="AA35" s="630"/>
      <c r="AB35" s="1">
        <f t="shared" si="21"/>
        <v>0</v>
      </c>
      <c r="AC35" s="357" t="e">
        <f t="shared" si="22"/>
        <v>#DIV/0!</v>
      </c>
      <c r="AD35" s="864"/>
      <c r="AE35" s="865"/>
      <c r="AF35" s="865"/>
      <c r="AG35" s="866"/>
      <c r="AH35" s="866"/>
      <c r="AI35" s="867"/>
    </row>
    <row r="36" spans="1:35" x14ac:dyDescent="0.25">
      <c r="A36" s="638"/>
      <c r="C36" s="630"/>
      <c r="D36" s="630"/>
      <c r="E36" s="630"/>
      <c r="F36" s="630"/>
      <c r="G36" s="264">
        <f t="shared" si="16"/>
        <v>0</v>
      </c>
      <c r="H36" s="442">
        <f t="shared" si="17"/>
        <v>0</v>
      </c>
      <c r="J36" s="630"/>
      <c r="K36" s="630"/>
      <c r="L36" s="630"/>
      <c r="M36" s="630"/>
      <c r="N36" s="1">
        <f>IF(C36&gt;0,((J36*Setup_and_Criteria!$F$13)+('M1_1-15th'!K36*Setup_and_Criteria!$F$14)+('M1_1-15th'!L36*Setup_and_Criteria!$F$15)+('M1_1-15th'!M36*Setup_and_Criteria!$F$16)+Setup_and_Criteria!$J$16),0)</f>
        <v>0</v>
      </c>
      <c r="O36" s="442">
        <f t="shared" si="18"/>
        <v>0</v>
      </c>
      <c r="P36" s="443">
        <f t="shared" si="19"/>
        <v>0</v>
      </c>
      <c r="Q36" s="357" t="e">
        <f t="shared" si="20"/>
        <v>#DIV/0!</v>
      </c>
      <c r="R36" s="630"/>
      <c r="S36" s="630"/>
      <c r="T36" s="630"/>
      <c r="U36" s="630"/>
      <c r="V36" s="630"/>
      <c r="W36" s="630"/>
      <c r="X36" s="630"/>
      <c r="Y36" s="630"/>
      <c r="Z36" s="630"/>
      <c r="AA36" s="630"/>
      <c r="AB36" s="1">
        <f t="shared" si="21"/>
        <v>0</v>
      </c>
      <c r="AC36" s="357" t="e">
        <f t="shared" si="22"/>
        <v>#DIV/0!</v>
      </c>
      <c r="AD36" s="864"/>
      <c r="AE36" s="865"/>
      <c r="AF36" s="865"/>
      <c r="AG36" s="866"/>
      <c r="AH36" s="866"/>
      <c r="AI36" s="867"/>
    </row>
    <row r="37" spans="1:35" x14ac:dyDescent="0.25">
      <c r="A37" s="638"/>
      <c r="C37" s="630"/>
      <c r="D37" s="630"/>
      <c r="E37" s="630"/>
      <c r="F37" s="630"/>
      <c r="G37" s="264">
        <f t="shared" si="16"/>
        <v>0</v>
      </c>
      <c r="H37" s="442">
        <f t="shared" si="17"/>
        <v>0</v>
      </c>
      <c r="J37" s="630"/>
      <c r="K37" s="630"/>
      <c r="L37" s="630"/>
      <c r="M37" s="630"/>
      <c r="N37" s="1">
        <f>IF(C37&gt;0,((J37*Setup_and_Criteria!$F$13)+('M1_1-15th'!K37*Setup_and_Criteria!$F$14)+('M1_1-15th'!L37*Setup_and_Criteria!$F$15)+('M1_1-15th'!M37*Setup_and_Criteria!$F$16)+Setup_and_Criteria!$J$16),0)</f>
        <v>0</v>
      </c>
      <c r="O37" s="442">
        <f t="shared" ref="O37:O40" si="23">+H37</f>
        <v>0</v>
      </c>
      <c r="P37" s="443">
        <f t="shared" si="19"/>
        <v>0</v>
      </c>
      <c r="Q37" s="357" t="e">
        <f t="shared" si="20"/>
        <v>#DIV/0!</v>
      </c>
      <c r="R37" s="630"/>
      <c r="S37" s="630"/>
      <c r="T37" s="630"/>
      <c r="U37" s="630"/>
      <c r="V37" s="630"/>
      <c r="W37" s="630"/>
      <c r="X37" s="630"/>
      <c r="Y37" s="630"/>
      <c r="Z37" s="630"/>
      <c r="AA37" s="630"/>
      <c r="AB37" s="1">
        <f t="shared" si="21"/>
        <v>0</v>
      </c>
      <c r="AC37" s="357" t="e">
        <f t="shared" si="22"/>
        <v>#DIV/0!</v>
      </c>
      <c r="AD37" s="864"/>
      <c r="AE37" s="865"/>
      <c r="AF37" s="865"/>
      <c r="AG37" s="866"/>
      <c r="AH37" s="866"/>
      <c r="AI37" s="867"/>
    </row>
    <row r="38" spans="1:35" x14ac:dyDescent="0.25">
      <c r="A38" s="638"/>
      <c r="C38" s="630"/>
      <c r="D38" s="630"/>
      <c r="E38" s="630"/>
      <c r="F38" s="630"/>
      <c r="G38" s="264">
        <f t="shared" si="16"/>
        <v>0</v>
      </c>
      <c r="H38" s="442">
        <f t="shared" si="17"/>
        <v>0</v>
      </c>
      <c r="J38" s="630"/>
      <c r="K38" s="630"/>
      <c r="L38" s="630"/>
      <c r="M38" s="630"/>
      <c r="N38" s="1">
        <f>IF(C38&gt;0,((J38*Setup_and_Criteria!$F$13)+('M1_1-15th'!K38*Setup_and_Criteria!$F$14)+('M1_1-15th'!L38*Setup_and_Criteria!$F$15)+('M1_1-15th'!M38*Setup_and_Criteria!$F$16)+Setup_and_Criteria!$J$16),0)</f>
        <v>0</v>
      </c>
      <c r="O38" s="442">
        <f t="shared" si="23"/>
        <v>0</v>
      </c>
      <c r="P38" s="443">
        <f t="shared" si="19"/>
        <v>0</v>
      </c>
      <c r="Q38" s="357" t="e">
        <f t="shared" si="20"/>
        <v>#DIV/0!</v>
      </c>
      <c r="R38" s="630"/>
      <c r="S38" s="630"/>
      <c r="T38" s="630"/>
      <c r="U38" s="630"/>
      <c r="V38" s="630"/>
      <c r="W38" s="630"/>
      <c r="X38" s="630"/>
      <c r="Y38" s="630"/>
      <c r="Z38" s="630"/>
      <c r="AA38" s="630"/>
      <c r="AB38" s="1">
        <f t="shared" si="21"/>
        <v>0</v>
      </c>
      <c r="AC38" s="357" t="e">
        <f t="shared" si="22"/>
        <v>#DIV/0!</v>
      </c>
      <c r="AD38" s="864"/>
      <c r="AE38" s="865"/>
      <c r="AF38" s="865"/>
      <c r="AG38" s="866"/>
      <c r="AH38" s="866"/>
      <c r="AI38" s="867"/>
    </row>
    <row r="39" spans="1:35" ht="15.75" thickBot="1" x14ac:dyDescent="0.3">
      <c r="A39" s="638"/>
      <c r="C39" s="370"/>
      <c r="D39" s="370"/>
      <c r="E39" s="630"/>
      <c r="F39" s="630"/>
      <c r="G39" s="264">
        <f t="shared" si="16"/>
        <v>0</v>
      </c>
      <c r="H39" s="442">
        <f t="shared" si="17"/>
        <v>0</v>
      </c>
      <c r="J39" s="371"/>
      <c r="K39" s="371"/>
      <c r="L39" s="371"/>
      <c r="M39" s="371"/>
      <c r="N39" s="358">
        <f>IF(C39&gt;0,((J39*Setup_and_Criteria!$F$13)+('M1_1-15th'!K39*Setup_and_Criteria!$F$14)+('M1_1-15th'!L39*Setup_and_Criteria!$F$15)+('M1_1-15th'!M39*Setup_and_Criteria!$F$16)+Setup_and_Criteria!$J$16),0)</f>
        <v>0</v>
      </c>
      <c r="O39" s="359">
        <f t="shared" si="23"/>
        <v>0</v>
      </c>
      <c r="P39" s="383">
        <f t="shared" si="19"/>
        <v>0</v>
      </c>
      <c r="Q39" s="360" t="e">
        <f t="shared" si="20"/>
        <v>#DIV/0!</v>
      </c>
      <c r="R39" s="511"/>
      <c r="S39" s="511"/>
      <c r="T39" s="511"/>
      <c r="U39" s="511"/>
      <c r="V39" s="511"/>
      <c r="W39" s="511"/>
      <c r="X39" s="511"/>
      <c r="Y39" s="511"/>
      <c r="Z39" s="511"/>
      <c r="AA39" s="511"/>
      <c r="AB39" s="1">
        <f t="shared" si="21"/>
        <v>0</v>
      </c>
      <c r="AC39" s="357" t="e">
        <f t="shared" si="22"/>
        <v>#DIV/0!</v>
      </c>
      <c r="AD39" s="864"/>
      <c r="AE39" s="865"/>
      <c r="AF39" s="865"/>
      <c r="AG39" s="866"/>
      <c r="AH39" s="866"/>
      <c r="AI39" s="867"/>
    </row>
    <row r="40" spans="1:35" ht="15.75" thickTop="1" x14ac:dyDescent="0.25">
      <c r="A40" s="58"/>
      <c r="H40" s="442">
        <f>SUM(H34:H39)</f>
        <v>0</v>
      </c>
      <c r="J40" s="1">
        <f>SUM(J34:J39)</f>
        <v>0</v>
      </c>
      <c r="K40" s="1">
        <f>SUM(K34:K39)</f>
        <v>0</v>
      </c>
      <c r="L40" s="1">
        <f>SUM(L34:L39)</f>
        <v>0</v>
      </c>
      <c r="M40" s="1">
        <f>SUM(M34:M39)</f>
        <v>0</v>
      </c>
      <c r="N40" s="1">
        <f>SUM(N34:N39)</f>
        <v>0</v>
      </c>
      <c r="O40" s="1">
        <f t="shared" si="23"/>
        <v>0</v>
      </c>
      <c r="P40" s="443">
        <f t="shared" si="19"/>
        <v>0</v>
      </c>
      <c r="Q40" s="357" t="e">
        <f t="shared" si="20"/>
        <v>#DIV/0!</v>
      </c>
      <c r="R40" s="1">
        <f t="shared" ref="R40:AA40" si="24">SUM(R34:R39)</f>
        <v>0</v>
      </c>
      <c r="S40" s="1">
        <f t="shared" si="24"/>
        <v>0</v>
      </c>
      <c r="T40" s="1">
        <f t="shared" si="24"/>
        <v>0</v>
      </c>
      <c r="U40" s="1">
        <f t="shared" si="24"/>
        <v>0</v>
      </c>
      <c r="V40" s="1">
        <f t="shared" si="24"/>
        <v>0</v>
      </c>
      <c r="W40" s="1">
        <f t="shared" si="24"/>
        <v>0</v>
      </c>
      <c r="X40" s="1">
        <f t="shared" si="24"/>
        <v>0</v>
      </c>
      <c r="Y40" s="1">
        <f t="shared" si="24"/>
        <v>0</v>
      </c>
      <c r="Z40" s="1">
        <f t="shared" si="24"/>
        <v>0</v>
      </c>
      <c r="AA40" s="1">
        <f t="shared" si="24"/>
        <v>0</v>
      </c>
      <c r="AB40" s="1">
        <f t="shared" si="21"/>
        <v>0</v>
      </c>
      <c r="AC40" s="357" t="e">
        <f t="shared" si="22"/>
        <v>#DIV/0!</v>
      </c>
      <c r="AD40" s="877"/>
      <c r="AE40" s="878"/>
      <c r="AF40" s="878"/>
      <c r="AG40" s="749"/>
      <c r="AH40" s="749"/>
      <c r="AI40" s="879"/>
    </row>
    <row r="41" spans="1:35" ht="21" customHeight="1" x14ac:dyDescent="0.35">
      <c r="A41" s="58"/>
      <c r="H41" s="442"/>
      <c r="N41" s="888" t="s">
        <v>145</v>
      </c>
      <c r="O41" s="888"/>
      <c r="P41" s="888"/>
      <c r="Q41" s="888"/>
      <c r="R41" s="431" t="s">
        <v>146</v>
      </c>
      <c r="S41" s="431"/>
      <c r="T41" s="431"/>
      <c r="U41" s="431"/>
      <c r="V41" s="431"/>
      <c r="W41" s="431"/>
      <c r="X41" s="431"/>
      <c r="Y41" s="431"/>
      <c r="Z41" s="431"/>
      <c r="AA41" s="431"/>
      <c r="AB41" s="431"/>
      <c r="AC41" s="431"/>
      <c r="AD41" s="880" t="s">
        <v>132</v>
      </c>
      <c r="AE41" s="881"/>
      <c r="AF41" s="881"/>
      <c r="AG41" s="881"/>
      <c r="AH41" s="881"/>
      <c r="AI41" s="882"/>
    </row>
    <row r="42" spans="1:35" ht="31.5" customHeight="1" x14ac:dyDescent="0.35">
      <c r="A42" s="378" t="s">
        <v>147</v>
      </c>
      <c r="C42" s="885" t="s">
        <v>128</v>
      </c>
      <c r="D42" s="885"/>
      <c r="E42" s="885"/>
      <c r="F42" s="885"/>
      <c r="H42" s="442"/>
      <c r="J42" s="444"/>
      <c r="K42" s="445" t="s">
        <v>35</v>
      </c>
      <c r="L42" s="445" t="s">
        <v>148</v>
      </c>
      <c r="N42" s="446" t="s">
        <v>149</v>
      </c>
      <c r="O42" s="447" t="s">
        <v>150</v>
      </c>
      <c r="P42" s="447" t="s">
        <v>138</v>
      </c>
      <c r="Q42" s="447" t="s">
        <v>151</v>
      </c>
      <c r="R42" s="749" t="s">
        <v>152</v>
      </c>
      <c r="S42" s="749"/>
      <c r="T42" s="883" t="s">
        <v>153</v>
      </c>
      <c r="U42" s="883"/>
      <c r="W42" s="425" t="s">
        <v>154</v>
      </c>
      <c r="X42" s="425"/>
      <c r="Y42" s="425"/>
      <c r="Z42" s="425"/>
      <c r="AA42" s="425"/>
      <c r="AB42" s="425"/>
      <c r="AC42" s="425"/>
      <c r="AD42" s="868" t="s">
        <v>160</v>
      </c>
      <c r="AE42" s="869"/>
      <c r="AF42" s="869"/>
      <c r="AG42" s="869"/>
      <c r="AH42" s="869"/>
      <c r="AI42" s="870"/>
    </row>
    <row r="43" spans="1:35" ht="18" customHeight="1" thickBot="1" x14ac:dyDescent="0.3">
      <c r="A43" s="639"/>
      <c r="B43" s="364"/>
      <c r="C43" s="372"/>
      <c r="D43" s="372"/>
      <c r="E43" s="372"/>
      <c r="F43" s="372"/>
      <c r="G43" s="366">
        <f>+(D43-C43)+(F43-E43)</f>
        <v>0</v>
      </c>
      <c r="H43" s="367">
        <f>+G43*1440</f>
        <v>0</v>
      </c>
      <c r="I43" s="859" t="s">
        <v>155</v>
      </c>
      <c r="J43" s="860"/>
      <c r="K43" s="373"/>
      <c r="L43" s="374"/>
      <c r="M43" s="423"/>
      <c r="N43" s="629">
        <f>+J40+L40+K40+K43+L43</f>
        <v>0</v>
      </c>
      <c r="O43" s="368">
        <f>+(Setup_and_Criteria!$K$31+(J40*Setup_and_Criteria!$F$20)+('M1_1-15th'!K40*Setup_and_Criteria!$F$21)+('M1_1-15th'!L40*Setup_and_Criteria!$F$20))+T43+(K43*Setup_and_Criteria!$F$21)+(Setup_and_Criteria!$F$22*'M1_1-15th'!L43)</f>
        <v>75</v>
      </c>
      <c r="P43" s="367">
        <f>+H43</f>
        <v>0</v>
      </c>
      <c r="Q43" s="367">
        <f>+O43-P43</f>
        <v>75</v>
      </c>
      <c r="R43" s="861" t="s">
        <v>252</v>
      </c>
      <c r="S43" s="861"/>
      <c r="T43" s="862"/>
      <c r="U43" s="863"/>
      <c r="V43" s="265" t="s">
        <v>156</v>
      </c>
      <c r="W43" s="854"/>
      <c r="X43" s="855"/>
      <c r="Y43" s="855"/>
      <c r="Z43" s="855"/>
      <c r="AA43" s="855"/>
      <c r="AB43" s="855"/>
      <c r="AC43" s="855"/>
      <c r="AD43" s="868"/>
      <c r="AE43" s="869"/>
      <c r="AF43" s="869"/>
      <c r="AG43" s="869"/>
      <c r="AH43" s="869"/>
      <c r="AI43" s="870"/>
    </row>
    <row r="44" spans="1:35" ht="15.75" thickBot="1" x14ac:dyDescent="0.3">
      <c r="A44" s="449" t="str">
        <f>+A31</f>
        <v>Password to enter data = "Enter Info"</v>
      </c>
      <c r="B44" s="450"/>
      <c r="C44" s="451"/>
      <c r="D44" s="451"/>
      <c r="E44" s="451"/>
      <c r="F44" s="451"/>
      <c r="G44" s="451"/>
      <c r="H44" s="451"/>
      <c r="I44" s="450"/>
      <c r="J44" s="451"/>
      <c r="K44" s="451"/>
      <c r="L44" s="451"/>
      <c r="M44" s="451"/>
      <c r="N44" s="451"/>
      <c r="O44" s="451"/>
      <c r="P44" s="451"/>
      <c r="Q44" s="450"/>
      <c r="R44" s="451"/>
      <c r="S44" s="451"/>
      <c r="T44" s="451"/>
      <c r="U44" s="451"/>
      <c r="V44" s="451"/>
      <c r="W44" s="451"/>
      <c r="X44" s="451"/>
      <c r="Y44" s="451"/>
      <c r="Z44" s="451"/>
      <c r="AA44" s="451"/>
      <c r="AB44" s="450"/>
      <c r="AC44" s="450"/>
      <c r="AD44" s="871"/>
      <c r="AE44" s="872"/>
      <c r="AF44" s="872"/>
      <c r="AG44" s="872"/>
      <c r="AH44" s="872"/>
      <c r="AI44" s="873"/>
    </row>
    <row r="45" spans="1:35" ht="35.25" customHeight="1" x14ac:dyDescent="0.4">
      <c r="A45" s="434" t="str">
        <f>+A32</f>
        <v>May</v>
      </c>
      <c r="B45" s="624">
        <f>+B32+1</f>
        <v>19</v>
      </c>
      <c r="C45" s="884" t="s">
        <v>128</v>
      </c>
      <c r="D45" s="884"/>
      <c r="E45" s="884"/>
      <c r="F45" s="884"/>
      <c r="G45" s="377"/>
      <c r="H45" s="377"/>
      <c r="I45" s="21"/>
      <c r="J45" s="874" t="s">
        <v>129</v>
      </c>
      <c r="K45" s="875"/>
      <c r="L45" s="875"/>
      <c r="M45" s="875"/>
      <c r="N45" s="876" t="s">
        <v>130</v>
      </c>
      <c r="O45" s="876"/>
      <c r="P45" s="876"/>
      <c r="Q45" s="876"/>
      <c r="R45" s="424" t="str">
        <f>+R32</f>
        <v xml:space="preserve"> Corrections Tracking - Check out rooms</v>
      </c>
      <c r="S45" s="424"/>
      <c r="T45" s="424"/>
      <c r="U45" s="424"/>
      <c r="V45" s="424"/>
      <c r="W45" s="424"/>
      <c r="X45" s="424"/>
      <c r="Y45" s="424"/>
      <c r="Z45" s="424"/>
      <c r="AA45" s="424"/>
      <c r="AB45" s="424"/>
      <c r="AC45" s="424"/>
      <c r="AD45" s="461" t="s">
        <v>132</v>
      </c>
      <c r="AE45" s="426"/>
      <c r="AF45" s="426"/>
      <c r="AG45" s="426"/>
      <c r="AH45" s="426"/>
      <c r="AI45" s="427"/>
    </row>
    <row r="46" spans="1:35" ht="59.25" customHeight="1" x14ac:dyDescent="0.25">
      <c r="A46" s="378" t="s">
        <v>133</v>
      </c>
      <c r="C46" s="435" t="s">
        <v>134</v>
      </c>
      <c r="D46" s="435" t="s">
        <v>135</v>
      </c>
      <c r="E46" s="435" t="s">
        <v>134</v>
      </c>
      <c r="F46" s="435" t="s">
        <v>135</v>
      </c>
      <c r="G46" s="1" t="s">
        <v>136</v>
      </c>
      <c r="H46" s="1" t="s">
        <v>108</v>
      </c>
      <c r="I46" s="436"/>
      <c r="J46" s="437" t="str">
        <f>+Setup_and_Criteria!$B$13</f>
        <v>Checkouts</v>
      </c>
      <c r="K46" s="437" t="str">
        <f>+Setup_and_Criteria!$B$14</f>
        <v>Pet Rooms</v>
      </c>
      <c r="L46" s="437" t="str">
        <f>+Setup_and_Criteria!$B$15</f>
        <v>2 Rm &amp; Jac Stes</v>
      </c>
      <c r="M46" s="438" t="str">
        <f>+Setup_and_Criteria!$B$16</f>
        <v>Stayovers</v>
      </c>
      <c r="N46" s="269" t="s">
        <v>137</v>
      </c>
      <c r="O46" s="269" t="s">
        <v>138</v>
      </c>
      <c r="P46" s="439" t="s">
        <v>139</v>
      </c>
      <c r="Q46" s="439" t="s">
        <v>140</v>
      </c>
      <c r="R46" s="440" t="str">
        <f>+Corrections!$C$8</f>
        <v>Vanity</v>
      </c>
      <c r="S46" s="440" t="str">
        <f>+Corrections!$I$8</f>
        <v>Toilet</v>
      </c>
      <c r="T46" s="440" t="str">
        <f>+Corrections!$O$8</f>
        <v>Bed/Pillows</v>
      </c>
      <c r="U46" s="440" t="str">
        <f>+Corrections!$U$8</f>
        <v>Floor</v>
      </c>
      <c r="V46" s="440" t="str">
        <f>+Corrections!$AA$8</f>
        <v>Dusting</v>
      </c>
      <c r="W46" s="440" t="str">
        <f>+Corrections!$AG$8</f>
        <v>Fridge/Micro</v>
      </c>
      <c r="X46" s="440" t="str">
        <f>+Corrections!$AM$8</f>
        <v>Tub</v>
      </c>
      <c r="Y46" s="441" t="str">
        <f>+Corrections!$AS$8</f>
        <v>Mirrors/Glass</v>
      </c>
      <c r="Z46" s="440" t="str">
        <f>+Corrections!$AY$8</f>
        <v>Stocking</v>
      </c>
      <c r="AA46" s="440" t="str">
        <f>+Corrections!$BE$8</f>
        <v>Other</v>
      </c>
      <c r="AB46" s="269" t="s">
        <v>141</v>
      </c>
      <c r="AC46" s="269" t="str">
        <f>+$AC$7</f>
        <v>Daily Corr / Inspected Checkout</v>
      </c>
      <c r="AD46" s="889" t="s">
        <v>143</v>
      </c>
      <c r="AE46" s="890"/>
      <c r="AF46" s="890"/>
      <c r="AG46" s="890"/>
      <c r="AH46" s="890"/>
      <c r="AI46" s="891"/>
    </row>
    <row r="47" spans="1:35" x14ac:dyDescent="0.25">
      <c r="A47" s="638"/>
      <c r="C47" s="369"/>
      <c r="D47" s="369"/>
      <c r="E47" s="369"/>
      <c r="F47" s="369"/>
      <c r="G47" s="264">
        <f t="shared" ref="G47:G52" si="25">+(D47-C47)+(F47-E47)</f>
        <v>0</v>
      </c>
      <c r="H47" s="442">
        <f t="shared" ref="H47:H52" si="26">+G47*1440</f>
        <v>0</v>
      </c>
      <c r="J47" s="630"/>
      <c r="K47" s="630"/>
      <c r="L47" s="630"/>
      <c r="M47" s="630"/>
      <c r="N47" s="1">
        <f>IF(C47&gt;0,((J47*Setup_and_Criteria!$F$13)+('M1_1-15th'!K47*Setup_and_Criteria!$F$14)+('M1_1-15th'!L47*Setup_and_Criteria!$F$15)+('M1_1-15th'!M47*Setup_and_Criteria!$F$16)+Setup_and_Criteria!$J$16),0)</f>
        <v>0</v>
      </c>
      <c r="O47" s="442">
        <f>+H47</f>
        <v>0</v>
      </c>
      <c r="P47" s="443">
        <f t="shared" ref="P47:P53" si="27">+N47-O47</f>
        <v>0</v>
      </c>
      <c r="Q47" s="357" t="e">
        <f t="shared" ref="Q47:Q53" si="28">O47/_xlfn.SINGLE(SUM(J47:M47))</f>
        <v>#DIV/0!</v>
      </c>
      <c r="R47" s="630"/>
      <c r="S47" s="630"/>
      <c r="T47" s="630"/>
      <c r="U47" s="630"/>
      <c r="V47" s="630"/>
      <c r="W47" s="630"/>
      <c r="X47" s="630"/>
      <c r="Y47" s="630"/>
      <c r="Z47" s="630"/>
      <c r="AA47" s="630"/>
      <c r="AB47" s="1">
        <f t="shared" ref="AB47:AB53" si="29">SUM(R47:AA47)</f>
        <v>0</v>
      </c>
      <c r="AC47" s="357" t="e">
        <f t="shared" ref="AC47:AC53" si="30">+AB47/(J47+K47+L47)</f>
        <v>#DIV/0!</v>
      </c>
      <c r="AD47" s="864" t="s">
        <v>144</v>
      </c>
      <c r="AE47" s="865"/>
      <c r="AF47" s="865"/>
      <c r="AG47" s="866"/>
      <c r="AH47" s="866"/>
      <c r="AI47" s="867"/>
    </row>
    <row r="48" spans="1:35" x14ac:dyDescent="0.25">
      <c r="A48" s="638"/>
      <c r="C48" s="630"/>
      <c r="D48" s="630"/>
      <c r="E48" s="630"/>
      <c r="F48" s="630"/>
      <c r="G48" s="264">
        <f t="shared" si="25"/>
        <v>0</v>
      </c>
      <c r="H48" s="442">
        <f t="shared" si="26"/>
        <v>0</v>
      </c>
      <c r="J48" s="630"/>
      <c r="K48" s="630"/>
      <c r="L48" s="630"/>
      <c r="M48" s="630"/>
      <c r="N48" s="1">
        <f>IF(C48&gt;0,((J48*Setup_and_Criteria!$F$13)+('M1_1-15th'!K48*Setup_and_Criteria!$F$14)+('M1_1-15th'!L48*Setup_and_Criteria!$F$15)+('M1_1-15th'!M48*Setup_and_Criteria!$F$16)+Setup_and_Criteria!$J$16),0)</f>
        <v>0</v>
      </c>
      <c r="O48" s="442">
        <f t="shared" ref="O48:O53" si="31">+H48</f>
        <v>0</v>
      </c>
      <c r="P48" s="443">
        <f t="shared" si="27"/>
        <v>0</v>
      </c>
      <c r="Q48" s="357" t="e">
        <f t="shared" si="28"/>
        <v>#DIV/0!</v>
      </c>
      <c r="R48" s="630"/>
      <c r="S48" s="630"/>
      <c r="T48" s="630"/>
      <c r="U48" s="630"/>
      <c r="V48" s="630"/>
      <c r="W48" s="630"/>
      <c r="X48" s="630"/>
      <c r="Y48" s="630"/>
      <c r="Z48" s="630"/>
      <c r="AA48" s="630"/>
      <c r="AB48" s="1">
        <f t="shared" si="29"/>
        <v>0</v>
      </c>
      <c r="AC48" s="357" t="e">
        <f t="shared" si="30"/>
        <v>#DIV/0!</v>
      </c>
      <c r="AD48" s="864"/>
      <c r="AE48" s="865"/>
      <c r="AF48" s="865"/>
      <c r="AG48" s="866"/>
      <c r="AH48" s="866"/>
      <c r="AI48" s="867"/>
    </row>
    <row r="49" spans="1:35" x14ac:dyDescent="0.25">
      <c r="A49" s="638"/>
      <c r="C49" s="630"/>
      <c r="D49" s="630"/>
      <c r="E49" s="630"/>
      <c r="F49" s="630"/>
      <c r="G49" s="264">
        <f t="shared" si="25"/>
        <v>0</v>
      </c>
      <c r="H49" s="442">
        <f t="shared" si="26"/>
        <v>0</v>
      </c>
      <c r="J49" s="630"/>
      <c r="K49" s="630"/>
      <c r="L49" s="630"/>
      <c r="M49" s="630"/>
      <c r="N49" s="1">
        <f>IF(C49&gt;0,((J49*Setup_and_Criteria!$F$13)+('M1_1-15th'!K49*Setup_and_Criteria!$F$14)+('M1_1-15th'!L49*Setup_and_Criteria!$F$15)+('M1_1-15th'!M49*Setup_and_Criteria!$F$16)+Setup_and_Criteria!$J$16),0)</f>
        <v>0</v>
      </c>
      <c r="O49" s="442">
        <f t="shared" si="31"/>
        <v>0</v>
      </c>
      <c r="P49" s="443">
        <f t="shared" si="27"/>
        <v>0</v>
      </c>
      <c r="Q49" s="357" t="e">
        <f t="shared" si="28"/>
        <v>#DIV/0!</v>
      </c>
      <c r="R49" s="630"/>
      <c r="S49" s="630"/>
      <c r="T49" s="630"/>
      <c r="U49" s="630"/>
      <c r="V49" s="630"/>
      <c r="W49" s="630"/>
      <c r="X49" s="630"/>
      <c r="Y49" s="630"/>
      <c r="Z49" s="630"/>
      <c r="AA49" s="630"/>
      <c r="AB49" s="1">
        <f t="shared" si="29"/>
        <v>0</v>
      </c>
      <c r="AC49" s="357" t="e">
        <f t="shared" si="30"/>
        <v>#DIV/0!</v>
      </c>
      <c r="AD49" s="864"/>
      <c r="AE49" s="865"/>
      <c r="AF49" s="865"/>
      <c r="AG49" s="866"/>
      <c r="AH49" s="866"/>
      <c r="AI49" s="867"/>
    </row>
    <row r="50" spans="1:35" x14ac:dyDescent="0.25">
      <c r="A50" s="638"/>
      <c r="C50" s="630"/>
      <c r="D50" s="630"/>
      <c r="E50" s="630"/>
      <c r="F50" s="630"/>
      <c r="G50" s="264">
        <f t="shared" si="25"/>
        <v>0</v>
      </c>
      <c r="H50" s="442">
        <f t="shared" si="26"/>
        <v>0</v>
      </c>
      <c r="J50" s="630"/>
      <c r="K50" s="630"/>
      <c r="L50" s="630"/>
      <c r="M50" s="630"/>
      <c r="N50" s="1">
        <f>IF(C50&gt;0,((J50*Setup_and_Criteria!$F$13)+('M1_1-15th'!K50*Setup_and_Criteria!$F$14)+('M1_1-15th'!L50*Setup_and_Criteria!$F$15)+('M1_1-15th'!M50*Setup_and_Criteria!$F$16)+Setup_and_Criteria!$J$16),0)</f>
        <v>0</v>
      </c>
      <c r="O50" s="442">
        <f t="shared" si="31"/>
        <v>0</v>
      </c>
      <c r="P50" s="443">
        <f t="shared" si="27"/>
        <v>0</v>
      </c>
      <c r="Q50" s="357" t="e">
        <f t="shared" si="28"/>
        <v>#DIV/0!</v>
      </c>
      <c r="R50" s="630"/>
      <c r="S50" s="630"/>
      <c r="T50" s="630"/>
      <c r="U50" s="630"/>
      <c r="V50" s="630"/>
      <c r="W50" s="630"/>
      <c r="X50" s="630"/>
      <c r="Y50" s="630"/>
      <c r="Z50" s="630"/>
      <c r="AA50" s="630"/>
      <c r="AB50" s="1">
        <f t="shared" si="29"/>
        <v>0</v>
      </c>
      <c r="AC50" s="357" t="e">
        <f t="shared" si="30"/>
        <v>#DIV/0!</v>
      </c>
      <c r="AD50" s="864"/>
      <c r="AE50" s="865"/>
      <c r="AF50" s="865"/>
      <c r="AG50" s="866"/>
      <c r="AH50" s="866"/>
      <c r="AI50" s="867"/>
    </row>
    <row r="51" spans="1:35" x14ac:dyDescent="0.25">
      <c r="A51" s="638"/>
      <c r="C51" s="630"/>
      <c r="D51" s="630"/>
      <c r="E51" s="630"/>
      <c r="F51" s="630"/>
      <c r="G51" s="264">
        <f t="shared" si="25"/>
        <v>0</v>
      </c>
      <c r="H51" s="442">
        <f t="shared" si="26"/>
        <v>0</v>
      </c>
      <c r="J51" s="630"/>
      <c r="K51" s="630"/>
      <c r="L51" s="630"/>
      <c r="M51" s="630"/>
      <c r="N51" s="1">
        <f>IF(C51&gt;0,((J51*Setup_and_Criteria!$F$13)+('M1_1-15th'!K51*Setup_and_Criteria!$F$14)+('M1_1-15th'!L51*Setup_and_Criteria!$F$15)+('M1_1-15th'!M51*Setup_and_Criteria!$F$16)+Setup_and_Criteria!$J$16),0)</f>
        <v>0</v>
      </c>
      <c r="O51" s="442">
        <f t="shared" si="31"/>
        <v>0</v>
      </c>
      <c r="P51" s="443">
        <f t="shared" si="27"/>
        <v>0</v>
      </c>
      <c r="Q51" s="357" t="e">
        <f t="shared" si="28"/>
        <v>#DIV/0!</v>
      </c>
      <c r="R51" s="630"/>
      <c r="S51" s="630"/>
      <c r="T51" s="630"/>
      <c r="U51" s="630"/>
      <c r="V51" s="630"/>
      <c r="W51" s="630"/>
      <c r="X51" s="630"/>
      <c r="Y51" s="630"/>
      <c r="Z51" s="630"/>
      <c r="AA51" s="630"/>
      <c r="AB51" s="1">
        <f t="shared" si="29"/>
        <v>0</v>
      </c>
      <c r="AC51" s="357" t="e">
        <f t="shared" si="30"/>
        <v>#DIV/0!</v>
      </c>
      <c r="AD51" s="864"/>
      <c r="AE51" s="865"/>
      <c r="AF51" s="865"/>
      <c r="AG51" s="866"/>
      <c r="AH51" s="866"/>
      <c r="AI51" s="867"/>
    </row>
    <row r="52" spans="1:35" ht="15.75" thickBot="1" x14ac:dyDescent="0.3">
      <c r="A52" s="638"/>
      <c r="C52" s="370"/>
      <c r="D52" s="370"/>
      <c r="E52" s="630"/>
      <c r="F52" s="630"/>
      <c r="G52" s="264">
        <f t="shared" si="25"/>
        <v>0</v>
      </c>
      <c r="H52" s="442">
        <f t="shared" si="26"/>
        <v>0</v>
      </c>
      <c r="J52" s="371"/>
      <c r="K52" s="371"/>
      <c r="L52" s="371"/>
      <c r="M52" s="371"/>
      <c r="N52" s="358">
        <f>IF(C52&gt;0,((J52*Setup_and_Criteria!$F$13)+('M1_1-15th'!K52*Setup_and_Criteria!$F$14)+('M1_1-15th'!L52*Setup_and_Criteria!$F$15)+('M1_1-15th'!M52*Setup_and_Criteria!$F$16)+Setup_and_Criteria!$J$16),0)</f>
        <v>0</v>
      </c>
      <c r="O52" s="359">
        <f t="shared" si="31"/>
        <v>0</v>
      </c>
      <c r="P52" s="383">
        <f t="shared" si="27"/>
        <v>0</v>
      </c>
      <c r="Q52" s="360" t="e">
        <f t="shared" si="28"/>
        <v>#DIV/0!</v>
      </c>
      <c r="R52" s="511"/>
      <c r="S52" s="511"/>
      <c r="T52" s="511"/>
      <c r="U52" s="511"/>
      <c r="V52" s="511"/>
      <c r="W52" s="511"/>
      <c r="X52" s="511"/>
      <c r="Y52" s="511"/>
      <c r="Z52" s="511"/>
      <c r="AA52" s="511"/>
      <c r="AB52" s="1">
        <f t="shared" si="29"/>
        <v>0</v>
      </c>
      <c r="AC52" s="357" t="e">
        <f t="shared" si="30"/>
        <v>#DIV/0!</v>
      </c>
      <c r="AD52" s="864"/>
      <c r="AE52" s="865"/>
      <c r="AF52" s="865"/>
      <c r="AG52" s="866"/>
      <c r="AH52" s="866"/>
      <c r="AI52" s="867"/>
    </row>
    <row r="53" spans="1:35" ht="15.75" thickTop="1" x14ac:dyDescent="0.25">
      <c r="A53" s="58"/>
      <c r="H53" s="442">
        <f>SUM(H47:H52)</f>
        <v>0</v>
      </c>
      <c r="J53" s="1">
        <f>SUM(J47:J52)</f>
        <v>0</v>
      </c>
      <c r="K53" s="1">
        <f>SUM(K47:K52)</f>
        <v>0</v>
      </c>
      <c r="L53" s="1">
        <f>SUM(L47:L52)</f>
        <v>0</v>
      </c>
      <c r="M53" s="1">
        <f>SUM(M47:M52)</f>
        <v>0</v>
      </c>
      <c r="N53" s="1">
        <f>SUM(N47:N52)</f>
        <v>0</v>
      </c>
      <c r="O53" s="1">
        <f t="shared" si="31"/>
        <v>0</v>
      </c>
      <c r="P53" s="443">
        <f t="shared" si="27"/>
        <v>0</v>
      </c>
      <c r="Q53" s="357" t="e">
        <f t="shared" si="28"/>
        <v>#DIV/0!</v>
      </c>
      <c r="R53" s="1">
        <f t="shared" ref="R53:AA53" si="32">SUM(R47:R52)</f>
        <v>0</v>
      </c>
      <c r="S53" s="1">
        <f t="shared" si="32"/>
        <v>0</v>
      </c>
      <c r="T53" s="1">
        <f t="shared" si="32"/>
        <v>0</v>
      </c>
      <c r="U53" s="1">
        <f t="shared" si="32"/>
        <v>0</v>
      </c>
      <c r="V53" s="1">
        <f t="shared" si="32"/>
        <v>0</v>
      </c>
      <c r="W53" s="1">
        <f t="shared" si="32"/>
        <v>0</v>
      </c>
      <c r="X53" s="1">
        <f t="shared" si="32"/>
        <v>0</v>
      </c>
      <c r="Y53" s="1">
        <f t="shared" si="32"/>
        <v>0</v>
      </c>
      <c r="Z53" s="1">
        <f t="shared" si="32"/>
        <v>0</v>
      </c>
      <c r="AA53" s="1">
        <f t="shared" si="32"/>
        <v>0</v>
      </c>
      <c r="AB53" s="1">
        <f t="shared" si="29"/>
        <v>0</v>
      </c>
      <c r="AC53" s="357" t="e">
        <f t="shared" si="30"/>
        <v>#DIV/0!</v>
      </c>
      <c r="AD53" s="877"/>
      <c r="AE53" s="878"/>
      <c r="AF53" s="878"/>
      <c r="AG53" s="749"/>
      <c r="AH53" s="749"/>
      <c r="AI53" s="879"/>
    </row>
    <row r="54" spans="1:35" ht="21" customHeight="1" x14ac:dyDescent="0.35">
      <c r="A54" s="58"/>
      <c r="H54" s="442"/>
      <c r="N54" s="888" t="s">
        <v>145</v>
      </c>
      <c r="O54" s="888"/>
      <c r="P54" s="888"/>
      <c r="Q54" s="888"/>
      <c r="R54" s="431" t="s">
        <v>146</v>
      </c>
      <c r="S54" s="431"/>
      <c r="T54" s="431"/>
      <c r="U54" s="431"/>
      <c r="V54" s="431"/>
      <c r="W54" s="431"/>
      <c r="X54" s="431"/>
      <c r="Y54" s="431"/>
      <c r="Z54" s="431"/>
      <c r="AA54" s="431"/>
      <c r="AB54" s="431"/>
      <c r="AC54" s="431"/>
      <c r="AD54" s="880" t="s">
        <v>132</v>
      </c>
      <c r="AE54" s="881"/>
      <c r="AF54" s="881"/>
      <c r="AG54" s="881"/>
      <c r="AH54" s="881"/>
      <c r="AI54" s="882"/>
    </row>
    <row r="55" spans="1:35" ht="31.5" customHeight="1" x14ac:dyDescent="0.35">
      <c r="A55" s="378" t="s">
        <v>147</v>
      </c>
      <c r="C55" s="885" t="s">
        <v>128</v>
      </c>
      <c r="D55" s="885"/>
      <c r="E55" s="885"/>
      <c r="F55" s="885"/>
      <c r="H55" s="442"/>
      <c r="J55" s="444"/>
      <c r="K55" s="445" t="s">
        <v>35</v>
      </c>
      <c r="L55" s="445" t="s">
        <v>148</v>
      </c>
      <c r="N55" s="446" t="s">
        <v>149</v>
      </c>
      <c r="O55" s="447" t="s">
        <v>150</v>
      </c>
      <c r="P55" s="447" t="s">
        <v>138</v>
      </c>
      <c r="Q55" s="447" t="s">
        <v>151</v>
      </c>
      <c r="R55" s="749" t="s">
        <v>152</v>
      </c>
      <c r="S55" s="749"/>
      <c r="T55" s="883" t="s">
        <v>153</v>
      </c>
      <c r="U55" s="883"/>
      <c r="W55" s="425" t="s">
        <v>154</v>
      </c>
      <c r="X55" s="425"/>
      <c r="Y55" s="425"/>
      <c r="Z55" s="425"/>
      <c r="AA55" s="425"/>
      <c r="AB55" s="425"/>
      <c r="AC55" s="425"/>
      <c r="AD55" s="868" t="s">
        <v>160</v>
      </c>
      <c r="AE55" s="869"/>
      <c r="AF55" s="869"/>
      <c r="AG55" s="869"/>
      <c r="AH55" s="869"/>
      <c r="AI55" s="870"/>
    </row>
    <row r="56" spans="1:35" ht="18" customHeight="1" thickBot="1" x14ac:dyDescent="0.3">
      <c r="A56" s="639"/>
      <c r="B56" s="375"/>
      <c r="C56" s="372"/>
      <c r="D56" s="372"/>
      <c r="E56" s="372"/>
      <c r="F56" s="372"/>
      <c r="G56" s="366">
        <f>+(D56-C56)+(F56-E56)</f>
        <v>0</v>
      </c>
      <c r="H56" s="367">
        <f>+G56*1440</f>
        <v>0</v>
      </c>
      <c r="I56" s="859" t="s">
        <v>155</v>
      </c>
      <c r="J56" s="860"/>
      <c r="K56" s="373"/>
      <c r="L56" s="374"/>
      <c r="M56" s="423"/>
      <c r="N56" s="629">
        <f>+J53+L53+K53+K56+L56</f>
        <v>0</v>
      </c>
      <c r="O56" s="368">
        <f>+(Setup_and_Criteria!$K$31+(J53*Setup_and_Criteria!$F$20)+('M1_1-15th'!K53*Setup_and_Criteria!$F$21)+('M1_1-15th'!L53*Setup_and_Criteria!$F$20))+T56+(K56*Setup_and_Criteria!$F$21)+(Setup_and_Criteria!$F$22*'M1_1-15th'!L56)</f>
        <v>75</v>
      </c>
      <c r="P56" s="367">
        <f>+H56</f>
        <v>0</v>
      </c>
      <c r="Q56" s="367">
        <f>+O56-P56</f>
        <v>75</v>
      </c>
      <c r="R56" s="861" t="s">
        <v>252</v>
      </c>
      <c r="S56" s="861"/>
      <c r="T56" s="862"/>
      <c r="U56" s="863"/>
      <c r="V56" s="265" t="s">
        <v>156</v>
      </c>
      <c r="W56" s="854"/>
      <c r="X56" s="855"/>
      <c r="Y56" s="855"/>
      <c r="Z56" s="855"/>
      <c r="AA56" s="855"/>
      <c r="AB56" s="855"/>
      <c r="AC56" s="855"/>
      <c r="AD56" s="868"/>
      <c r="AE56" s="869"/>
      <c r="AF56" s="869"/>
      <c r="AG56" s="869"/>
      <c r="AH56" s="869"/>
      <c r="AI56" s="870"/>
    </row>
    <row r="57" spans="1:35" ht="15.75" thickBot="1" x14ac:dyDescent="0.3">
      <c r="A57" s="449" t="str">
        <f>+A44</f>
        <v>Password to enter data = "Enter Info"</v>
      </c>
      <c r="B57" s="450"/>
      <c r="C57" s="451"/>
      <c r="D57" s="451"/>
      <c r="E57" s="451"/>
      <c r="F57" s="451"/>
      <c r="G57" s="451"/>
      <c r="H57" s="451"/>
      <c r="I57" s="450"/>
      <c r="J57" s="451"/>
      <c r="K57" s="451"/>
      <c r="L57" s="451"/>
      <c r="M57" s="451"/>
      <c r="N57" s="451"/>
      <c r="O57" s="451"/>
      <c r="P57" s="451"/>
      <c r="Q57" s="450"/>
      <c r="R57" s="451"/>
      <c r="S57" s="451"/>
      <c r="T57" s="451"/>
      <c r="U57" s="451"/>
      <c r="V57" s="451"/>
      <c r="W57" s="451"/>
      <c r="X57" s="451"/>
      <c r="Y57" s="451"/>
      <c r="Z57" s="451"/>
      <c r="AA57" s="451"/>
      <c r="AB57" s="450"/>
      <c r="AC57" s="450"/>
      <c r="AD57" s="871"/>
      <c r="AE57" s="872"/>
      <c r="AF57" s="872"/>
      <c r="AG57" s="872"/>
      <c r="AH57" s="872"/>
      <c r="AI57" s="873"/>
    </row>
    <row r="58" spans="1:35" ht="35.25" customHeight="1" x14ac:dyDescent="0.4">
      <c r="A58" s="434" t="str">
        <f>+A45</f>
        <v>May</v>
      </c>
      <c r="B58" s="624">
        <f>+B45+1</f>
        <v>20</v>
      </c>
      <c r="C58" s="884" t="s">
        <v>128</v>
      </c>
      <c r="D58" s="884"/>
      <c r="E58" s="884"/>
      <c r="F58" s="884"/>
      <c r="G58" s="377"/>
      <c r="H58" s="377"/>
      <c r="I58" s="21"/>
      <c r="J58" s="874" t="s">
        <v>129</v>
      </c>
      <c r="K58" s="875"/>
      <c r="L58" s="875"/>
      <c r="M58" s="875"/>
      <c r="N58" s="876" t="s">
        <v>130</v>
      </c>
      <c r="O58" s="876"/>
      <c r="P58" s="876"/>
      <c r="Q58" s="876"/>
      <c r="R58" s="424" t="str">
        <f>+R45</f>
        <v xml:space="preserve"> Corrections Tracking - Check out rooms</v>
      </c>
      <c r="S58" s="424"/>
      <c r="T58" s="424"/>
      <c r="U58" s="424"/>
      <c r="V58" s="424"/>
      <c r="W58" s="424"/>
      <c r="X58" s="424"/>
      <c r="Y58" s="424"/>
      <c r="Z58" s="424"/>
      <c r="AA58" s="424"/>
      <c r="AB58" s="424"/>
      <c r="AC58" s="424"/>
      <c r="AD58" s="461" t="s">
        <v>132</v>
      </c>
      <c r="AE58" s="426"/>
      <c r="AF58" s="426"/>
      <c r="AG58" s="426"/>
      <c r="AH58" s="426"/>
      <c r="AI58" s="427"/>
    </row>
    <row r="59" spans="1:35" ht="59.25" customHeight="1" x14ac:dyDescent="0.25">
      <c r="A59" s="378" t="s">
        <v>133</v>
      </c>
      <c r="C59" s="435" t="s">
        <v>134</v>
      </c>
      <c r="D59" s="435" t="s">
        <v>135</v>
      </c>
      <c r="E59" s="435" t="s">
        <v>134</v>
      </c>
      <c r="F59" s="435" t="s">
        <v>135</v>
      </c>
      <c r="G59" s="1" t="s">
        <v>136</v>
      </c>
      <c r="H59" s="1" t="s">
        <v>108</v>
      </c>
      <c r="I59" s="436"/>
      <c r="J59" s="437" t="str">
        <f>+Setup_and_Criteria!$B$13</f>
        <v>Checkouts</v>
      </c>
      <c r="K59" s="437" t="str">
        <f>+Setup_and_Criteria!$B$14</f>
        <v>Pet Rooms</v>
      </c>
      <c r="L59" s="437" t="str">
        <f>+Setup_and_Criteria!$B$15</f>
        <v>2 Rm &amp; Jac Stes</v>
      </c>
      <c r="M59" s="438" t="str">
        <f>+Setup_and_Criteria!$B$16</f>
        <v>Stayovers</v>
      </c>
      <c r="N59" s="269" t="s">
        <v>137</v>
      </c>
      <c r="O59" s="269" t="s">
        <v>138</v>
      </c>
      <c r="P59" s="439" t="s">
        <v>139</v>
      </c>
      <c r="Q59" s="439" t="s">
        <v>140</v>
      </c>
      <c r="R59" s="440" t="str">
        <f>+Corrections!$C$8</f>
        <v>Vanity</v>
      </c>
      <c r="S59" s="440" t="str">
        <f>+Corrections!$I$8</f>
        <v>Toilet</v>
      </c>
      <c r="T59" s="440" t="str">
        <f>+Corrections!$O$8</f>
        <v>Bed/Pillows</v>
      </c>
      <c r="U59" s="440" t="str">
        <f>+Corrections!$U$8</f>
        <v>Floor</v>
      </c>
      <c r="V59" s="440" t="str">
        <f>+Corrections!$AA$8</f>
        <v>Dusting</v>
      </c>
      <c r="W59" s="440" t="str">
        <f>+Corrections!$AG$8</f>
        <v>Fridge/Micro</v>
      </c>
      <c r="X59" s="440" t="str">
        <f>+Corrections!$AM$8</f>
        <v>Tub</v>
      </c>
      <c r="Y59" s="441" t="str">
        <f>+Corrections!$AS$8</f>
        <v>Mirrors/Glass</v>
      </c>
      <c r="Z59" s="440" t="str">
        <f>+Corrections!$AY$8</f>
        <v>Stocking</v>
      </c>
      <c r="AA59" s="440" t="str">
        <f>+Corrections!$BE$8</f>
        <v>Other</v>
      </c>
      <c r="AB59" s="269" t="s">
        <v>141</v>
      </c>
      <c r="AC59" s="269" t="str">
        <f>+$AC$7</f>
        <v>Daily Corr / Inspected Checkout</v>
      </c>
      <c r="AD59" s="889" t="s">
        <v>143</v>
      </c>
      <c r="AE59" s="890"/>
      <c r="AF59" s="890"/>
      <c r="AG59" s="890"/>
      <c r="AH59" s="890"/>
      <c r="AI59" s="891"/>
    </row>
    <row r="60" spans="1:35" x14ac:dyDescent="0.25">
      <c r="A60" s="638"/>
      <c r="C60" s="369"/>
      <c r="D60" s="369"/>
      <c r="E60" s="369"/>
      <c r="F60" s="369"/>
      <c r="G60" s="264">
        <f t="shared" ref="G60:G65" si="33">+(D60-C60)+(F60-E60)</f>
        <v>0</v>
      </c>
      <c r="H60" s="442">
        <f t="shared" ref="H60:H65" si="34">+G60*1440</f>
        <v>0</v>
      </c>
      <c r="J60" s="630"/>
      <c r="K60" s="630"/>
      <c r="L60" s="630"/>
      <c r="M60" s="630"/>
      <c r="N60" s="1">
        <f>IF(C60&gt;0,((J60*Setup_and_Criteria!$F$13)+('M1_1-15th'!K60*Setup_and_Criteria!$F$14)+('M1_1-15th'!L60*Setup_and_Criteria!$F$15)+('M1_1-15th'!M60*Setup_and_Criteria!$F$16)+Setup_and_Criteria!$J$16),0)</f>
        <v>0</v>
      </c>
      <c r="O60" s="442">
        <f>+H60</f>
        <v>0</v>
      </c>
      <c r="P60" s="443">
        <f t="shared" ref="P60:P66" si="35">+N60-O60</f>
        <v>0</v>
      </c>
      <c r="Q60" s="357" t="e">
        <f t="shared" ref="Q60:Q66" si="36">O60/_xlfn.SINGLE(SUM(J60:M60))</f>
        <v>#DIV/0!</v>
      </c>
      <c r="R60" s="630"/>
      <c r="S60" s="630"/>
      <c r="T60" s="630"/>
      <c r="U60" s="630"/>
      <c r="V60" s="630"/>
      <c r="W60" s="630"/>
      <c r="X60" s="630"/>
      <c r="Y60" s="630"/>
      <c r="Z60" s="630"/>
      <c r="AA60" s="630"/>
      <c r="AB60" s="1">
        <f t="shared" ref="AB60:AB66" si="37">SUM(R60:AA60)</f>
        <v>0</v>
      </c>
      <c r="AC60" s="357" t="e">
        <f t="shared" ref="AC60:AC65" si="38">+AB60/(J60+K60+L60)</f>
        <v>#DIV/0!</v>
      </c>
      <c r="AD60" s="864" t="s">
        <v>144</v>
      </c>
      <c r="AE60" s="865"/>
      <c r="AF60" s="865"/>
      <c r="AG60" s="866"/>
      <c r="AH60" s="866"/>
      <c r="AI60" s="867"/>
    </row>
    <row r="61" spans="1:35" x14ac:dyDescent="0.25">
      <c r="A61" s="638"/>
      <c r="C61" s="630"/>
      <c r="D61" s="630"/>
      <c r="E61" s="630"/>
      <c r="F61" s="630"/>
      <c r="G61" s="264">
        <f t="shared" si="33"/>
        <v>0</v>
      </c>
      <c r="H61" s="442">
        <f t="shared" si="34"/>
        <v>0</v>
      </c>
      <c r="J61" s="630"/>
      <c r="K61" s="630"/>
      <c r="L61" s="630"/>
      <c r="M61" s="630"/>
      <c r="N61" s="1">
        <f>IF(C61&gt;0,((J61*Setup_and_Criteria!$F$13)+('M1_1-15th'!K61*Setup_and_Criteria!$F$14)+('M1_1-15th'!L61*Setup_and_Criteria!$F$15)+('M1_1-15th'!M61*Setup_and_Criteria!$F$16)+Setup_and_Criteria!$J$16),0)</f>
        <v>0</v>
      </c>
      <c r="O61" s="442">
        <f t="shared" ref="O61:O66" si="39">+H61</f>
        <v>0</v>
      </c>
      <c r="P61" s="443">
        <f t="shared" si="35"/>
        <v>0</v>
      </c>
      <c r="Q61" s="357" t="e">
        <f t="shared" si="36"/>
        <v>#DIV/0!</v>
      </c>
      <c r="R61" s="630"/>
      <c r="S61" s="630"/>
      <c r="T61" s="630"/>
      <c r="U61" s="630"/>
      <c r="V61" s="630"/>
      <c r="W61" s="630"/>
      <c r="X61" s="630"/>
      <c r="Y61" s="630"/>
      <c r="Z61" s="630"/>
      <c r="AA61" s="630"/>
      <c r="AB61" s="1">
        <f t="shared" si="37"/>
        <v>0</v>
      </c>
      <c r="AC61" s="357" t="e">
        <f t="shared" si="38"/>
        <v>#DIV/0!</v>
      </c>
      <c r="AD61" s="864"/>
      <c r="AE61" s="865"/>
      <c r="AF61" s="865"/>
      <c r="AG61" s="866"/>
      <c r="AH61" s="866"/>
      <c r="AI61" s="867"/>
    </row>
    <row r="62" spans="1:35" x14ac:dyDescent="0.25">
      <c r="A62" s="638"/>
      <c r="C62" s="630"/>
      <c r="D62" s="630"/>
      <c r="E62" s="630"/>
      <c r="F62" s="630"/>
      <c r="G62" s="264">
        <f t="shared" si="33"/>
        <v>0</v>
      </c>
      <c r="H62" s="442">
        <f t="shared" si="34"/>
        <v>0</v>
      </c>
      <c r="J62" s="630"/>
      <c r="K62" s="630"/>
      <c r="L62" s="630"/>
      <c r="M62" s="630"/>
      <c r="N62" s="1">
        <f>IF(C62&gt;0,((J62*Setup_and_Criteria!$F$13)+('M1_1-15th'!K62*Setup_and_Criteria!$F$14)+('M1_1-15th'!L62*Setup_and_Criteria!$F$15)+('M1_1-15th'!M62*Setup_and_Criteria!$F$16)+Setup_and_Criteria!$J$16),0)</f>
        <v>0</v>
      </c>
      <c r="O62" s="442">
        <f t="shared" si="39"/>
        <v>0</v>
      </c>
      <c r="P62" s="443">
        <f t="shared" si="35"/>
        <v>0</v>
      </c>
      <c r="Q62" s="357" t="e">
        <f t="shared" si="36"/>
        <v>#DIV/0!</v>
      </c>
      <c r="R62" s="630"/>
      <c r="S62" s="630"/>
      <c r="T62" s="630"/>
      <c r="U62" s="630"/>
      <c r="V62" s="630"/>
      <c r="W62" s="630"/>
      <c r="X62" s="630"/>
      <c r="Y62" s="630"/>
      <c r="Z62" s="630"/>
      <c r="AA62" s="630"/>
      <c r="AB62" s="1">
        <f t="shared" si="37"/>
        <v>0</v>
      </c>
      <c r="AC62" s="357" t="e">
        <f t="shared" si="38"/>
        <v>#DIV/0!</v>
      </c>
      <c r="AD62" s="864"/>
      <c r="AE62" s="865"/>
      <c r="AF62" s="865"/>
      <c r="AG62" s="866"/>
      <c r="AH62" s="866"/>
      <c r="AI62" s="867"/>
    </row>
    <row r="63" spans="1:35" x14ac:dyDescent="0.25">
      <c r="A63" s="638"/>
      <c r="C63" s="630"/>
      <c r="D63" s="630"/>
      <c r="E63" s="630"/>
      <c r="F63" s="630"/>
      <c r="G63" s="264">
        <f t="shared" si="33"/>
        <v>0</v>
      </c>
      <c r="H63" s="442">
        <f t="shared" si="34"/>
        <v>0</v>
      </c>
      <c r="J63" s="630"/>
      <c r="K63" s="630"/>
      <c r="L63" s="630"/>
      <c r="M63" s="630"/>
      <c r="N63" s="1">
        <f>IF(C63&gt;0,((J63*Setup_and_Criteria!$F$13)+('M1_1-15th'!K63*Setup_and_Criteria!$F$14)+('M1_1-15th'!L63*Setup_and_Criteria!$F$15)+('M1_1-15th'!M63*Setup_and_Criteria!$F$16)+Setup_and_Criteria!$J$16),0)</f>
        <v>0</v>
      </c>
      <c r="O63" s="442">
        <f t="shared" si="39"/>
        <v>0</v>
      </c>
      <c r="P63" s="443">
        <f t="shared" si="35"/>
        <v>0</v>
      </c>
      <c r="Q63" s="357" t="e">
        <f t="shared" si="36"/>
        <v>#DIV/0!</v>
      </c>
      <c r="R63" s="630"/>
      <c r="S63" s="630"/>
      <c r="T63" s="630"/>
      <c r="U63" s="630"/>
      <c r="V63" s="630"/>
      <c r="W63" s="630"/>
      <c r="X63" s="630"/>
      <c r="Y63" s="630"/>
      <c r="Z63" s="630"/>
      <c r="AA63" s="630"/>
      <c r="AB63" s="1">
        <f t="shared" si="37"/>
        <v>0</v>
      </c>
      <c r="AC63" s="357" t="e">
        <f t="shared" si="38"/>
        <v>#DIV/0!</v>
      </c>
      <c r="AD63" s="864"/>
      <c r="AE63" s="865"/>
      <c r="AF63" s="865"/>
      <c r="AG63" s="866"/>
      <c r="AH63" s="866"/>
      <c r="AI63" s="867"/>
    </row>
    <row r="64" spans="1:35" x14ac:dyDescent="0.25">
      <c r="A64" s="638"/>
      <c r="C64" s="630"/>
      <c r="D64" s="630"/>
      <c r="E64" s="630"/>
      <c r="F64" s="630"/>
      <c r="G64" s="264">
        <f t="shared" si="33"/>
        <v>0</v>
      </c>
      <c r="H64" s="442">
        <f t="shared" si="34"/>
        <v>0</v>
      </c>
      <c r="J64" s="630"/>
      <c r="K64" s="630"/>
      <c r="L64" s="630"/>
      <c r="M64" s="630"/>
      <c r="N64" s="1">
        <f>IF(C64&gt;0,((J64*Setup_and_Criteria!$F$13)+('M1_1-15th'!K64*Setup_and_Criteria!$F$14)+('M1_1-15th'!L64*Setup_and_Criteria!$F$15)+('M1_1-15th'!M64*Setup_and_Criteria!$F$16)+Setup_and_Criteria!$J$16),0)</f>
        <v>0</v>
      </c>
      <c r="O64" s="442">
        <f t="shared" si="39"/>
        <v>0</v>
      </c>
      <c r="P64" s="443">
        <f t="shared" si="35"/>
        <v>0</v>
      </c>
      <c r="Q64" s="357" t="e">
        <f t="shared" si="36"/>
        <v>#DIV/0!</v>
      </c>
      <c r="R64" s="630"/>
      <c r="S64" s="630"/>
      <c r="T64" s="630"/>
      <c r="U64" s="630"/>
      <c r="V64" s="630"/>
      <c r="W64" s="630"/>
      <c r="X64" s="630"/>
      <c r="Y64" s="630"/>
      <c r="Z64" s="630"/>
      <c r="AA64" s="630"/>
      <c r="AB64" s="1">
        <f t="shared" si="37"/>
        <v>0</v>
      </c>
      <c r="AC64" s="357" t="e">
        <f t="shared" si="38"/>
        <v>#DIV/0!</v>
      </c>
      <c r="AD64" s="864"/>
      <c r="AE64" s="865"/>
      <c r="AF64" s="865"/>
      <c r="AG64" s="866"/>
      <c r="AH64" s="866"/>
      <c r="AI64" s="867"/>
    </row>
    <row r="65" spans="1:35" ht="15.75" thickBot="1" x14ac:dyDescent="0.3">
      <c r="A65" s="638"/>
      <c r="C65" s="370"/>
      <c r="D65" s="370"/>
      <c r="E65" s="630"/>
      <c r="F65" s="630"/>
      <c r="G65" s="264">
        <f t="shared" si="33"/>
        <v>0</v>
      </c>
      <c r="H65" s="442">
        <f t="shared" si="34"/>
        <v>0</v>
      </c>
      <c r="J65" s="371"/>
      <c r="K65" s="371"/>
      <c r="L65" s="371"/>
      <c r="M65" s="371"/>
      <c r="N65" s="358">
        <f>IF(C65&gt;0,((J65*Setup_and_Criteria!$F$13)+('M1_1-15th'!K65*Setup_and_Criteria!$F$14)+('M1_1-15th'!L65*Setup_and_Criteria!$F$15)+('M1_1-15th'!M65*Setup_and_Criteria!$F$16)+Setup_and_Criteria!$J$16),0)</f>
        <v>0</v>
      </c>
      <c r="O65" s="359">
        <f t="shared" si="39"/>
        <v>0</v>
      </c>
      <c r="P65" s="383">
        <f t="shared" si="35"/>
        <v>0</v>
      </c>
      <c r="Q65" s="360" t="e">
        <f t="shared" si="36"/>
        <v>#DIV/0!</v>
      </c>
      <c r="R65" s="511"/>
      <c r="S65" s="511"/>
      <c r="T65" s="511"/>
      <c r="U65" s="511"/>
      <c r="V65" s="511"/>
      <c r="W65" s="511"/>
      <c r="X65" s="511"/>
      <c r="Y65" s="511"/>
      <c r="Z65" s="511"/>
      <c r="AA65" s="511"/>
      <c r="AB65" s="1">
        <f t="shared" si="37"/>
        <v>0</v>
      </c>
      <c r="AC65" s="357" t="e">
        <f t="shared" si="38"/>
        <v>#DIV/0!</v>
      </c>
      <c r="AD65" s="864"/>
      <c r="AE65" s="865"/>
      <c r="AF65" s="865"/>
      <c r="AG65" s="866"/>
      <c r="AH65" s="866"/>
      <c r="AI65" s="867"/>
    </row>
    <row r="66" spans="1:35" ht="15.75" thickTop="1" x14ac:dyDescent="0.25">
      <c r="A66" s="58"/>
      <c r="H66" s="442">
        <f>SUM(H60:H65)</f>
        <v>0</v>
      </c>
      <c r="J66" s="1">
        <f>SUM(J60:J65)</f>
        <v>0</v>
      </c>
      <c r="K66" s="1">
        <f>SUM(K60:K65)</f>
        <v>0</v>
      </c>
      <c r="L66" s="1">
        <f>SUM(L60:L65)</f>
        <v>0</v>
      </c>
      <c r="M66" s="1">
        <f>SUM(M60:M65)</f>
        <v>0</v>
      </c>
      <c r="N66" s="1">
        <f>SUM(N60:N65)</f>
        <v>0</v>
      </c>
      <c r="O66" s="1">
        <f t="shared" si="39"/>
        <v>0</v>
      </c>
      <c r="P66" s="443">
        <f t="shared" si="35"/>
        <v>0</v>
      </c>
      <c r="Q66" s="357" t="e">
        <f t="shared" si="36"/>
        <v>#DIV/0!</v>
      </c>
      <c r="R66" s="1">
        <f t="shared" ref="R66:AA66" si="40">SUM(R60:R65)</f>
        <v>0</v>
      </c>
      <c r="S66" s="1">
        <f t="shared" si="40"/>
        <v>0</v>
      </c>
      <c r="T66" s="1">
        <f t="shared" si="40"/>
        <v>0</v>
      </c>
      <c r="U66" s="1">
        <f t="shared" si="40"/>
        <v>0</v>
      </c>
      <c r="V66" s="1">
        <f t="shared" si="40"/>
        <v>0</v>
      </c>
      <c r="W66" s="1">
        <f t="shared" si="40"/>
        <v>0</v>
      </c>
      <c r="X66" s="1">
        <f t="shared" si="40"/>
        <v>0</v>
      </c>
      <c r="Y66" s="1">
        <f t="shared" si="40"/>
        <v>0</v>
      </c>
      <c r="Z66" s="1">
        <f t="shared" si="40"/>
        <v>0</v>
      </c>
      <c r="AA66" s="1">
        <f t="shared" si="40"/>
        <v>0</v>
      </c>
      <c r="AB66" s="1">
        <f t="shared" si="37"/>
        <v>0</v>
      </c>
      <c r="AC66" s="357" t="e">
        <f>+AB66/(J66+K66+L66+M66)</f>
        <v>#DIV/0!</v>
      </c>
      <c r="AD66" s="877"/>
      <c r="AE66" s="878"/>
      <c r="AF66" s="878"/>
      <c r="AG66" s="749"/>
      <c r="AH66" s="749"/>
      <c r="AI66" s="879"/>
    </row>
    <row r="67" spans="1:35" ht="21" customHeight="1" x14ac:dyDescent="0.35">
      <c r="A67" s="58"/>
      <c r="H67" s="442"/>
      <c r="N67" s="888" t="s">
        <v>145</v>
      </c>
      <c r="O67" s="888"/>
      <c r="P67" s="888"/>
      <c r="Q67" s="888"/>
      <c r="R67" s="431" t="s">
        <v>146</v>
      </c>
      <c r="S67" s="431"/>
      <c r="T67" s="431"/>
      <c r="U67" s="431"/>
      <c r="V67" s="431"/>
      <c r="W67" s="431"/>
      <c r="X67" s="431"/>
      <c r="Y67" s="431"/>
      <c r="Z67" s="431"/>
      <c r="AA67" s="431"/>
      <c r="AB67" s="431"/>
      <c r="AC67" s="431"/>
      <c r="AD67" s="880" t="s">
        <v>132</v>
      </c>
      <c r="AE67" s="881"/>
      <c r="AF67" s="881"/>
      <c r="AG67" s="881"/>
      <c r="AH67" s="881"/>
      <c r="AI67" s="882"/>
    </row>
    <row r="68" spans="1:35" ht="31.5" customHeight="1" x14ac:dyDescent="0.35">
      <c r="A68" s="378" t="s">
        <v>147</v>
      </c>
      <c r="C68" s="885" t="s">
        <v>128</v>
      </c>
      <c r="D68" s="885"/>
      <c r="E68" s="885"/>
      <c r="F68" s="885"/>
      <c r="H68" s="442"/>
      <c r="J68" s="444"/>
      <c r="K68" s="445" t="s">
        <v>35</v>
      </c>
      <c r="L68" s="445" t="s">
        <v>148</v>
      </c>
      <c r="N68" s="446" t="s">
        <v>149</v>
      </c>
      <c r="O68" s="447" t="s">
        <v>150</v>
      </c>
      <c r="P68" s="447" t="s">
        <v>138</v>
      </c>
      <c r="Q68" s="447" t="s">
        <v>151</v>
      </c>
      <c r="R68" s="749" t="s">
        <v>152</v>
      </c>
      <c r="S68" s="749"/>
      <c r="T68" s="883" t="s">
        <v>153</v>
      </c>
      <c r="U68" s="883"/>
      <c r="W68" s="425" t="s">
        <v>154</v>
      </c>
      <c r="X68" s="425"/>
      <c r="Y68" s="425"/>
      <c r="Z68" s="425"/>
      <c r="AA68" s="425"/>
      <c r="AB68" s="425"/>
      <c r="AC68" s="425"/>
      <c r="AD68" s="868" t="s">
        <v>160</v>
      </c>
      <c r="AE68" s="869"/>
      <c r="AF68" s="869"/>
      <c r="AG68" s="869"/>
      <c r="AH68" s="869"/>
      <c r="AI68" s="870"/>
    </row>
    <row r="69" spans="1:35" ht="18" customHeight="1" thickBot="1" x14ac:dyDescent="0.3">
      <c r="A69" s="639"/>
      <c r="B69" s="375"/>
      <c r="C69" s="372"/>
      <c r="D69" s="372"/>
      <c r="E69" s="372"/>
      <c r="F69" s="372"/>
      <c r="G69" s="366">
        <f>+(D69-C69)+(F69-E69)</f>
        <v>0</v>
      </c>
      <c r="H69" s="367">
        <f>+G69*1440</f>
        <v>0</v>
      </c>
      <c r="I69" s="859" t="s">
        <v>155</v>
      </c>
      <c r="J69" s="860"/>
      <c r="K69" s="373"/>
      <c r="L69" s="374"/>
      <c r="M69" s="423"/>
      <c r="N69" s="629">
        <f>+J66+L66+K66+K69+L69</f>
        <v>0</v>
      </c>
      <c r="O69" s="368">
        <f>+(Setup_and_Criteria!$K$31+(J66*Setup_and_Criteria!$F$20)+('M1_1-15th'!K66*Setup_and_Criteria!$F$21)+('M1_1-15th'!L66*Setup_and_Criteria!$F$20))+T69+(K69*Setup_and_Criteria!$F$21)+(Setup_and_Criteria!$F$22*'M1_1-15th'!L69)</f>
        <v>75</v>
      </c>
      <c r="P69" s="367">
        <f>+H69</f>
        <v>0</v>
      </c>
      <c r="Q69" s="367">
        <f>+O69-P69</f>
        <v>75</v>
      </c>
      <c r="R69" s="861" t="s">
        <v>252</v>
      </c>
      <c r="S69" s="861"/>
      <c r="T69" s="862"/>
      <c r="U69" s="863"/>
      <c r="V69" s="265" t="s">
        <v>156</v>
      </c>
      <c r="W69" s="854"/>
      <c r="X69" s="855"/>
      <c r="Y69" s="855"/>
      <c r="Z69" s="855"/>
      <c r="AA69" s="855"/>
      <c r="AB69" s="855"/>
      <c r="AC69" s="855"/>
      <c r="AD69" s="868"/>
      <c r="AE69" s="869"/>
      <c r="AF69" s="869"/>
      <c r="AG69" s="869"/>
      <c r="AH69" s="869"/>
      <c r="AI69" s="870"/>
    </row>
    <row r="70" spans="1:35" ht="15.75" thickBot="1" x14ac:dyDescent="0.3">
      <c r="A70" s="449" t="str">
        <f>+A57</f>
        <v>Password to enter data = "Enter Info"</v>
      </c>
      <c r="B70" s="450"/>
      <c r="C70" s="451"/>
      <c r="D70" s="451"/>
      <c r="E70" s="451"/>
      <c r="F70" s="451"/>
      <c r="G70" s="451"/>
      <c r="H70" s="451"/>
      <c r="I70" s="450"/>
      <c r="J70" s="451"/>
      <c r="K70" s="451"/>
      <c r="L70" s="451"/>
      <c r="M70" s="451"/>
      <c r="N70" s="451"/>
      <c r="O70" s="451"/>
      <c r="P70" s="451"/>
      <c r="Q70" s="450"/>
      <c r="R70" s="451"/>
      <c r="S70" s="451"/>
      <c r="T70" s="451"/>
      <c r="U70" s="451"/>
      <c r="V70" s="451"/>
      <c r="W70" s="451"/>
      <c r="X70" s="451"/>
      <c r="Y70" s="451"/>
      <c r="Z70" s="451"/>
      <c r="AA70" s="451"/>
      <c r="AB70" s="450"/>
      <c r="AC70" s="450"/>
      <c r="AD70" s="871"/>
      <c r="AE70" s="872"/>
      <c r="AF70" s="872"/>
      <c r="AG70" s="872"/>
      <c r="AH70" s="872"/>
      <c r="AI70" s="873"/>
    </row>
    <row r="71" spans="1:35" ht="35.25" customHeight="1" thickBot="1" x14ac:dyDescent="0.45">
      <c r="A71" s="428" t="str">
        <f>+A58</f>
        <v>May</v>
      </c>
      <c r="B71" s="429">
        <f>+B58+1</f>
        <v>21</v>
      </c>
      <c r="C71" s="885" t="s">
        <v>128</v>
      </c>
      <c r="D71" s="885"/>
      <c r="E71" s="885"/>
      <c r="F71" s="885"/>
      <c r="G71" s="430"/>
      <c r="H71" s="430"/>
      <c r="J71" s="895" t="s">
        <v>129</v>
      </c>
      <c r="K71" s="896"/>
      <c r="L71" s="896"/>
      <c r="M71" s="896"/>
      <c r="N71" s="888" t="s">
        <v>130</v>
      </c>
      <c r="O71" s="888"/>
      <c r="P71" s="888"/>
      <c r="Q71" s="888"/>
      <c r="R71" s="431" t="str">
        <f>+R58</f>
        <v xml:space="preserve"> Corrections Tracking - Check out rooms</v>
      </c>
      <c r="S71" s="431"/>
      <c r="T71" s="431"/>
      <c r="U71" s="431"/>
      <c r="V71" s="431"/>
      <c r="W71" s="431"/>
      <c r="X71" s="431"/>
      <c r="Y71" s="431"/>
      <c r="Z71" s="431"/>
      <c r="AA71" s="431"/>
      <c r="AB71" s="431"/>
      <c r="AC71" s="431"/>
      <c r="AD71" s="462" t="s">
        <v>132</v>
      </c>
      <c r="AE71" s="432"/>
      <c r="AF71" s="432"/>
      <c r="AG71" s="432"/>
      <c r="AH71" s="432"/>
      <c r="AI71" s="433"/>
    </row>
    <row r="72" spans="1:35" ht="59.25" customHeight="1" x14ac:dyDescent="0.25">
      <c r="A72" s="623" t="s">
        <v>133</v>
      </c>
      <c r="B72" s="21"/>
      <c r="C72" s="453" t="s">
        <v>134</v>
      </c>
      <c r="D72" s="453" t="s">
        <v>135</v>
      </c>
      <c r="E72" s="453" t="s">
        <v>134</v>
      </c>
      <c r="F72" s="453" t="s">
        <v>135</v>
      </c>
      <c r="G72" s="635" t="s">
        <v>136</v>
      </c>
      <c r="H72" s="635" t="s">
        <v>108</v>
      </c>
      <c r="I72" s="454"/>
      <c r="J72" s="455" t="str">
        <f>+Setup_and_Criteria!$B$13</f>
        <v>Checkouts</v>
      </c>
      <c r="K72" s="455" t="str">
        <f>+Setup_and_Criteria!$B$14</f>
        <v>Pet Rooms</v>
      </c>
      <c r="L72" s="455" t="str">
        <f>+Setup_and_Criteria!$B$15</f>
        <v>2 Rm &amp; Jac Stes</v>
      </c>
      <c r="M72" s="456" t="str">
        <f>+Setup_and_Criteria!$B$16</f>
        <v>Stayovers</v>
      </c>
      <c r="N72" s="457" t="s">
        <v>137</v>
      </c>
      <c r="O72" s="457" t="s">
        <v>138</v>
      </c>
      <c r="P72" s="458" t="s">
        <v>139</v>
      </c>
      <c r="Q72" s="458" t="s">
        <v>140</v>
      </c>
      <c r="R72" s="459" t="str">
        <f>+Corrections!$C$8</f>
        <v>Vanity</v>
      </c>
      <c r="S72" s="459" t="str">
        <f>+Corrections!$I$8</f>
        <v>Toilet</v>
      </c>
      <c r="T72" s="459" t="str">
        <f>+Corrections!$O$8</f>
        <v>Bed/Pillows</v>
      </c>
      <c r="U72" s="459" t="str">
        <f>+Corrections!$U$8</f>
        <v>Floor</v>
      </c>
      <c r="V72" s="459" t="str">
        <f>+Corrections!$AA$8</f>
        <v>Dusting</v>
      </c>
      <c r="W72" s="459" t="str">
        <f>+Corrections!$AG$8</f>
        <v>Fridge/Micro</v>
      </c>
      <c r="X72" s="459" t="str">
        <f>+Corrections!$AM$8</f>
        <v>Tub</v>
      </c>
      <c r="Y72" s="460" t="str">
        <f>+Corrections!$AS$8</f>
        <v>Mirrors/Glass</v>
      </c>
      <c r="Z72" s="459" t="str">
        <f>+Corrections!$AY$8</f>
        <v>Stocking</v>
      </c>
      <c r="AA72" s="459" t="str">
        <f>+Corrections!$BE$8</f>
        <v>Other</v>
      </c>
      <c r="AB72" s="457" t="s">
        <v>141</v>
      </c>
      <c r="AC72" s="269" t="str">
        <f>+$AC$7</f>
        <v>Daily Corr / Inspected Checkout</v>
      </c>
      <c r="AD72" s="892" t="s">
        <v>143</v>
      </c>
      <c r="AE72" s="893"/>
      <c r="AF72" s="893"/>
      <c r="AG72" s="893"/>
      <c r="AH72" s="893"/>
      <c r="AI72" s="894"/>
    </row>
    <row r="73" spans="1:35" x14ac:dyDescent="0.25">
      <c r="A73" s="638"/>
      <c r="C73" s="369"/>
      <c r="D73" s="369"/>
      <c r="E73" s="369"/>
      <c r="F73" s="369"/>
      <c r="G73" s="264">
        <f t="shared" ref="G73:G78" si="41">+(D73-C73)+(F73-E73)</f>
        <v>0</v>
      </c>
      <c r="H73" s="442">
        <f t="shared" ref="H73:H78" si="42">+G73*1440</f>
        <v>0</v>
      </c>
      <c r="J73" s="630"/>
      <c r="K73" s="630"/>
      <c r="L73" s="630"/>
      <c r="M73" s="630"/>
      <c r="N73" s="1">
        <f>IF(C73&gt;0,((J73*Setup_and_Criteria!$F$13)+('M1_1-15th'!K73*Setup_and_Criteria!$F$14)+('M1_1-15th'!L73*Setup_and_Criteria!$F$15)+('M1_1-15th'!M73*Setup_and_Criteria!$F$16)+Setup_and_Criteria!$J$16),0)</f>
        <v>0</v>
      </c>
      <c r="O73" s="442">
        <f>+H73</f>
        <v>0</v>
      </c>
      <c r="P73" s="443">
        <f t="shared" ref="P73:P79" si="43">+N73-O73</f>
        <v>0</v>
      </c>
      <c r="Q73" s="357" t="e">
        <f t="shared" ref="Q73:Q79" si="44">O73/_xlfn.SINGLE(SUM(J73:M73))</f>
        <v>#DIV/0!</v>
      </c>
      <c r="R73" s="630"/>
      <c r="S73" s="630"/>
      <c r="T73" s="630"/>
      <c r="U73" s="630"/>
      <c r="V73" s="630"/>
      <c r="W73" s="630"/>
      <c r="X73" s="630"/>
      <c r="Y73" s="630"/>
      <c r="Z73" s="630"/>
      <c r="AA73" s="630"/>
      <c r="AB73" s="1">
        <f t="shared" ref="AB73:AB79" si="45">SUM(R73:AA73)</f>
        <v>0</v>
      </c>
      <c r="AC73" s="357" t="e">
        <f t="shared" ref="AC73:AC79" si="46">+AB73/(J73+K73+L73)</f>
        <v>#DIV/0!</v>
      </c>
      <c r="AD73" s="864" t="s">
        <v>144</v>
      </c>
      <c r="AE73" s="865"/>
      <c r="AF73" s="865"/>
      <c r="AG73" s="866"/>
      <c r="AH73" s="866"/>
      <c r="AI73" s="867"/>
    </row>
    <row r="74" spans="1:35" x14ac:dyDescent="0.25">
      <c r="A74" s="638"/>
      <c r="C74" s="630"/>
      <c r="D74" s="630"/>
      <c r="E74" s="630"/>
      <c r="F74" s="630"/>
      <c r="G74" s="264">
        <f t="shared" si="41"/>
        <v>0</v>
      </c>
      <c r="H74" s="442">
        <f t="shared" si="42"/>
        <v>0</v>
      </c>
      <c r="J74" s="630"/>
      <c r="K74" s="630"/>
      <c r="L74" s="630"/>
      <c r="M74" s="630"/>
      <c r="N74" s="1">
        <f>IF(C74&gt;0,((J74*Setup_and_Criteria!$F$13)+('M1_1-15th'!K74*Setup_and_Criteria!$F$14)+('M1_1-15th'!L74*Setup_and_Criteria!$F$15)+('M1_1-15th'!M74*Setup_and_Criteria!$F$16)+Setup_and_Criteria!$J$16),0)</f>
        <v>0</v>
      </c>
      <c r="O74" s="442">
        <f t="shared" ref="O74:O79" si="47">+H74</f>
        <v>0</v>
      </c>
      <c r="P74" s="443">
        <f t="shared" si="43"/>
        <v>0</v>
      </c>
      <c r="Q74" s="357" t="e">
        <f t="shared" si="44"/>
        <v>#DIV/0!</v>
      </c>
      <c r="R74" s="630"/>
      <c r="S74" s="630"/>
      <c r="T74" s="630"/>
      <c r="U74" s="630"/>
      <c r="V74" s="630"/>
      <c r="W74" s="630"/>
      <c r="X74" s="630"/>
      <c r="Y74" s="630"/>
      <c r="Z74" s="630"/>
      <c r="AA74" s="630"/>
      <c r="AB74" s="1">
        <f t="shared" si="45"/>
        <v>0</v>
      </c>
      <c r="AC74" s="357" t="e">
        <f t="shared" si="46"/>
        <v>#DIV/0!</v>
      </c>
      <c r="AD74" s="864"/>
      <c r="AE74" s="865"/>
      <c r="AF74" s="865"/>
      <c r="AG74" s="866"/>
      <c r="AH74" s="866"/>
      <c r="AI74" s="867"/>
    </row>
    <row r="75" spans="1:35" x14ac:dyDescent="0.25">
      <c r="A75" s="638"/>
      <c r="C75" s="630"/>
      <c r="D75" s="630"/>
      <c r="E75" s="630"/>
      <c r="F75" s="630"/>
      <c r="G75" s="264">
        <f t="shared" si="41"/>
        <v>0</v>
      </c>
      <c r="H75" s="442">
        <f t="shared" si="42"/>
        <v>0</v>
      </c>
      <c r="J75" s="630"/>
      <c r="K75" s="630"/>
      <c r="L75" s="630"/>
      <c r="M75" s="630"/>
      <c r="N75" s="1">
        <f>IF(C75&gt;0,((J75*Setup_and_Criteria!$F$13)+('M1_1-15th'!K75*Setup_and_Criteria!$F$14)+('M1_1-15th'!L75*Setup_and_Criteria!$F$15)+('M1_1-15th'!M75*Setup_and_Criteria!$F$16)+Setup_and_Criteria!$J$16),0)</f>
        <v>0</v>
      </c>
      <c r="O75" s="442">
        <f t="shared" si="47"/>
        <v>0</v>
      </c>
      <c r="P75" s="443">
        <f t="shared" si="43"/>
        <v>0</v>
      </c>
      <c r="Q75" s="357" t="e">
        <f t="shared" si="44"/>
        <v>#DIV/0!</v>
      </c>
      <c r="R75" s="630"/>
      <c r="S75" s="630"/>
      <c r="T75" s="630"/>
      <c r="U75" s="630"/>
      <c r="V75" s="630"/>
      <c r="W75" s="630"/>
      <c r="X75" s="630"/>
      <c r="Y75" s="630"/>
      <c r="Z75" s="630"/>
      <c r="AA75" s="630"/>
      <c r="AB75" s="1">
        <f t="shared" si="45"/>
        <v>0</v>
      </c>
      <c r="AC75" s="357" t="e">
        <f t="shared" si="46"/>
        <v>#DIV/0!</v>
      </c>
      <c r="AD75" s="864"/>
      <c r="AE75" s="865"/>
      <c r="AF75" s="865"/>
      <c r="AG75" s="866"/>
      <c r="AH75" s="866"/>
      <c r="AI75" s="867"/>
    </row>
    <row r="76" spans="1:35" x14ac:dyDescent="0.25">
      <c r="A76" s="638"/>
      <c r="C76" s="630"/>
      <c r="D76" s="630"/>
      <c r="E76" s="630"/>
      <c r="F76" s="630"/>
      <c r="G76" s="264">
        <f t="shared" si="41"/>
        <v>0</v>
      </c>
      <c r="H76" s="442">
        <f t="shared" si="42"/>
        <v>0</v>
      </c>
      <c r="J76" s="630"/>
      <c r="K76" s="630"/>
      <c r="L76" s="630"/>
      <c r="M76" s="630"/>
      <c r="N76" s="1">
        <f>IF(C76&gt;0,((J76*Setup_and_Criteria!$F$13)+('M1_1-15th'!K76*Setup_and_Criteria!$F$14)+('M1_1-15th'!L76*Setup_and_Criteria!$F$15)+('M1_1-15th'!M76*Setup_and_Criteria!$F$16)+Setup_and_Criteria!$J$16),0)</f>
        <v>0</v>
      </c>
      <c r="O76" s="442">
        <f t="shared" si="47"/>
        <v>0</v>
      </c>
      <c r="P76" s="443">
        <f t="shared" si="43"/>
        <v>0</v>
      </c>
      <c r="Q76" s="357" t="e">
        <f t="shared" si="44"/>
        <v>#DIV/0!</v>
      </c>
      <c r="R76" s="630"/>
      <c r="S76" s="630"/>
      <c r="T76" s="630"/>
      <c r="U76" s="630"/>
      <c r="V76" s="630"/>
      <c r="W76" s="630"/>
      <c r="X76" s="630"/>
      <c r="Y76" s="630"/>
      <c r="Z76" s="630"/>
      <c r="AA76" s="630"/>
      <c r="AB76" s="1">
        <f t="shared" si="45"/>
        <v>0</v>
      </c>
      <c r="AC76" s="357" t="e">
        <f t="shared" si="46"/>
        <v>#DIV/0!</v>
      </c>
      <c r="AD76" s="864"/>
      <c r="AE76" s="865"/>
      <c r="AF76" s="865"/>
      <c r="AG76" s="866"/>
      <c r="AH76" s="866"/>
      <c r="AI76" s="867"/>
    </row>
    <row r="77" spans="1:35" x14ac:dyDescent="0.25">
      <c r="A77" s="638"/>
      <c r="C77" s="630"/>
      <c r="D77" s="630"/>
      <c r="E77" s="630"/>
      <c r="F77" s="630"/>
      <c r="G77" s="264">
        <f t="shared" si="41"/>
        <v>0</v>
      </c>
      <c r="H77" s="442">
        <f t="shared" si="42"/>
        <v>0</v>
      </c>
      <c r="J77" s="630"/>
      <c r="K77" s="630"/>
      <c r="L77" s="630"/>
      <c r="M77" s="630"/>
      <c r="N77" s="1">
        <f>IF(C77&gt;0,((J77*Setup_and_Criteria!$F$13)+('M1_1-15th'!K77*Setup_and_Criteria!$F$14)+('M1_1-15th'!L77*Setup_and_Criteria!$F$15)+('M1_1-15th'!M77*Setup_and_Criteria!$F$16)+Setup_and_Criteria!$J$16),0)</f>
        <v>0</v>
      </c>
      <c r="O77" s="442">
        <f t="shared" si="47"/>
        <v>0</v>
      </c>
      <c r="P77" s="443">
        <f t="shared" si="43"/>
        <v>0</v>
      </c>
      <c r="Q77" s="357" t="e">
        <f t="shared" si="44"/>
        <v>#DIV/0!</v>
      </c>
      <c r="R77" s="630"/>
      <c r="S77" s="630"/>
      <c r="T77" s="630"/>
      <c r="U77" s="630"/>
      <c r="V77" s="630"/>
      <c r="W77" s="630"/>
      <c r="X77" s="630"/>
      <c r="Y77" s="630"/>
      <c r="Z77" s="630"/>
      <c r="AA77" s="630"/>
      <c r="AB77" s="1">
        <f t="shared" si="45"/>
        <v>0</v>
      </c>
      <c r="AC77" s="357" t="e">
        <f t="shared" si="46"/>
        <v>#DIV/0!</v>
      </c>
      <c r="AD77" s="864"/>
      <c r="AE77" s="865"/>
      <c r="AF77" s="865"/>
      <c r="AG77" s="866"/>
      <c r="AH77" s="866"/>
      <c r="AI77" s="867"/>
    </row>
    <row r="78" spans="1:35" ht="15.75" thickBot="1" x14ac:dyDescent="0.3">
      <c r="A78" s="638"/>
      <c r="C78" s="370"/>
      <c r="D78" s="370"/>
      <c r="E78" s="630"/>
      <c r="F78" s="630"/>
      <c r="G78" s="264">
        <f t="shared" si="41"/>
        <v>0</v>
      </c>
      <c r="H78" s="442">
        <f t="shared" si="42"/>
        <v>0</v>
      </c>
      <c r="J78" s="371"/>
      <c r="K78" s="371"/>
      <c r="L78" s="371"/>
      <c r="M78" s="371"/>
      <c r="N78" s="358">
        <f>IF(C78&gt;0,((J78*Setup_and_Criteria!$F$13)+('M1_1-15th'!K78*Setup_and_Criteria!$F$14)+('M1_1-15th'!L78*Setup_and_Criteria!$F$15)+('M1_1-15th'!M78*Setup_and_Criteria!$F$16)+Setup_and_Criteria!$J$16),0)</f>
        <v>0</v>
      </c>
      <c r="O78" s="359">
        <f t="shared" si="47"/>
        <v>0</v>
      </c>
      <c r="P78" s="383">
        <f t="shared" si="43"/>
        <v>0</v>
      </c>
      <c r="Q78" s="360" t="e">
        <f t="shared" si="44"/>
        <v>#DIV/0!</v>
      </c>
      <c r="R78" s="511"/>
      <c r="S78" s="511"/>
      <c r="T78" s="511"/>
      <c r="U78" s="511"/>
      <c r="V78" s="511"/>
      <c r="W78" s="511"/>
      <c r="X78" s="511"/>
      <c r="Y78" s="511"/>
      <c r="Z78" s="511"/>
      <c r="AA78" s="511"/>
      <c r="AB78" s="1">
        <f t="shared" si="45"/>
        <v>0</v>
      </c>
      <c r="AC78" s="357" t="e">
        <f t="shared" si="46"/>
        <v>#DIV/0!</v>
      </c>
      <c r="AD78" s="864"/>
      <c r="AE78" s="865"/>
      <c r="AF78" s="865"/>
      <c r="AG78" s="866"/>
      <c r="AH78" s="866"/>
      <c r="AI78" s="867"/>
    </row>
    <row r="79" spans="1:35" ht="15.75" thickTop="1" x14ac:dyDescent="0.25">
      <c r="A79" s="58"/>
      <c r="H79" s="442">
        <f>SUM(H73:H78)</f>
        <v>0</v>
      </c>
      <c r="J79" s="1">
        <f>SUM(J73:J78)</f>
        <v>0</v>
      </c>
      <c r="K79" s="1">
        <f>SUM(K73:K78)</f>
        <v>0</v>
      </c>
      <c r="L79" s="1">
        <f>SUM(L73:L78)</f>
        <v>0</v>
      </c>
      <c r="M79" s="1">
        <f>SUM(M73:M78)</f>
        <v>0</v>
      </c>
      <c r="N79" s="1">
        <f>SUM(N73:N78)</f>
        <v>0</v>
      </c>
      <c r="O79" s="1">
        <f t="shared" si="47"/>
        <v>0</v>
      </c>
      <c r="P79" s="443">
        <f t="shared" si="43"/>
        <v>0</v>
      </c>
      <c r="Q79" s="357" t="e">
        <f t="shared" si="44"/>
        <v>#DIV/0!</v>
      </c>
      <c r="R79" s="1">
        <f t="shared" ref="R79:AA79" si="48">SUM(R73:R78)</f>
        <v>0</v>
      </c>
      <c r="S79" s="1">
        <f t="shared" si="48"/>
        <v>0</v>
      </c>
      <c r="T79" s="1">
        <f t="shared" si="48"/>
        <v>0</v>
      </c>
      <c r="U79" s="1">
        <f t="shared" si="48"/>
        <v>0</v>
      </c>
      <c r="V79" s="1">
        <f t="shared" si="48"/>
        <v>0</v>
      </c>
      <c r="W79" s="1">
        <f t="shared" si="48"/>
        <v>0</v>
      </c>
      <c r="X79" s="1">
        <f t="shared" si="48"/>
        <v>0</v>
      </c>
      <c r="Y79" s="1">
        <f t="shared" si="48"/>
        <v>0</v>
      </c>
      <c r="Z79" s="1">
        <f t="shared" si="48"/>
        <v>0</v>
      </c>
      <c r="AA79" s="1">
        <f t="shared" si="48"/>
        <v>0</v>
      </c>
      <c r="AB79" s="1">
        <f t="shared" si="45"/>
        <v>0</v>
      </c>
      <c r="AC79" s="357" t="e">
        <f t="shared" si="46"/>
        <v>#DIV/0!</v>
      </c>
      <c r="AD79" s="877"/>
      <c r="AE79" s="878"/>
      <c r="AF79" s="878"/>
      <c r="AG79" s="749"/>
      <c r="AH79" s="749"/>
      <c r="AI79" s="879"/>
    </row>
    <row r="80" spans="1:35" ht="21" customHeight="1" x14ac:dyDescent="0.35">
      <c r="A80" s="58"/>
      <c r="H80" s="442"/>
      <c r="N80" s="888" t="s">
        <v>145</v>
      </c>
      <c r="O80" s="888"/>
      <c r="P80" s="888"/>
      <c r="Q80" s="888"/>
      <c r="R80" s="431" t="s">
        <v>146</v>
      </c>
      <c r="S80" s="431"/>
      <c r="T80" s="431"/>
      <c r="U80" s="431"/>
      <c r="V80" s="431"/>
      <c r="W80" s="431"/>
      <c r="X80" s="431"/>
      <c r="Y80" s="431"/>
      <c r="Z80" s="431"/>
      <c r="AA80" s="431"/>
      <c r="AB80" s="431"/>
      <c r="AC80" s="431"/>
      <c r="AD80" s="880" t="s">
        <v>132</v>
      </c>
      <c r="AE80" s="881"/>
      <c r="AF80" s="881"/>
      <c r="AG80" s="881"/>
      <c r="AH80" s="881"/>
      <c r="AI80" s="882"/>
    </row>
    <row r="81" spans="1:35" ht="31.5" customHeight="1" x14ac:dyDescent="0.35">
      <c r="A81" s="378" t="s">
        <v>147</v>
      </c>
      <c r="C81" s="885" t="s">
        <v>128</v>
      </c>
      <c r="D81" s="885"/>
      <c r="E81" s="885"/>
      <c r="F81" s="885"/>
      <c r="H81" s="442"/>
      <c r="J81" s="444"/>
      <c r="K81" s="445" t="s">
        <v>35</v>
      </c>
      <c r="L81" s="445" t="s">
        <v>148</v>
      </c>
      <c r="N81" s="446" t="s">
        <v>149</v>
      </c>
      <c r="O81" s="447" t="s">
        <v>150</v>
      </c>
      <c r="P81" s="447" t="s">
        <v>138</v>
      </c>
      <c r="Q81" s="447" t="s">
        <v>151</v>
      </c>
      <c r="R81" s="749" t="s">
        <v>152</v>
      </c>
      <c r="S81" s="749"/>
      <c r="T81" s="883" t="s">
        <v>153</v>
      </c>
      <c r="U81" s="883"/>
      <c r="W81" s="425" t="s">
        <v>154</v>
      </c>
      <c r="X81" s="425"/>
      <c r="Y81" s="425"/>
      <c r="Z81" s="425"/>
      <c r="AA81" s="425"/>
      <c r="AB81" s="425"/>
      <c r="AC81" s="425"/>
      <c r="AD81" s="868" t="s">
        <v>160</v>
      </c>
      <c r="AE81" s="869"/>
      <c r="AF81" s="869"/>
      <c r="AG81" s="869"/>
      <c r="AH81" s="869"/>
      <c r="AI81" s="870"/>
    </row>
    <row r="82" spans="1:35" ht="18" customHeight="1" thickBot="1" x14ac:dyDescent="0.3">
      <c r="A82" s="639"/>
      <c r="B82" s="375"/>
      <c r="C82" s="372"/>
      <c r="D82" s="372"/>
      <c r="E82" s="372"/>
      <c r="F82" s="372"/>
      <c r="G82" s="366">
        <f>+(D82-C82)+(F82-E82)</f>
        <v>0</v>
      </c>
      <c r="H82" s="367">
        <f>+G82*1440</f>
        <v>0</v>
      </c>
      <c r="I82" s="859" t="s">
        <v>155</v>
      </c>
      <c r="J82" s="860"/>
      <c r="K82" s="373"/>
      <c r="L82" s="374"/>
      <c r="M82" s="423"/>
      <c r="N82" s="629">
        <f>+J79+L79+K79+K82+L82</f>
        <v>0</v>
      </c>
      <c r="O82" s="368">
        <f>+(Setup_and_Criteria!$K$31+(J79*Setup_and_Criteria!$F$20)+('M1_1-15th'!K79*Setup_and_Criteria!$F$21)+('M1_1-15th'!L79*Setup_and_Criteria!$F$20))+T82+(K82*Setup_and_Criteria!$F$21)+(Setup_and_Criteria!$F$22*'M1_1-15th'!L82)</f>
        <v>75</v>
      </c>
      <c r="P82" s="367">
        <f>+H82</f>
        <v>0</v>
      </c>
      <c r="Q82" s="367">
        <f>+O82-P82</f>
        <v>75</v>
      </c>
      <c r="R82" s="861" t="s">
        <v>252</v>
      </c>
      <c r="S82" s="861"/>
      <c r="T82" s="862"/>
      <c r="U82" s="863"/>
      <c r="V82" s="265" t="s">
        <v>156</v>
      </c>
      <c r="W82" s="854"/>
      <c r="X82" s="855"/>
      <c r="Y82" s="855"/>
      <c r="Z82" s="855"/>
      <c r="AA82" s="855"/>
      <c r="AB82" s="855"/>
      <c r="AC82" s="855"/>
      <c r="AD82" s="868"/>
      <c r="AE82" s="869"/>
      <c r="AF82" s="869"/>
      <c r="AG82" s="869"/>
      <c r="AH82" s="869"/>
      <c r="AI82" s="870"/>
    </row>
    <row r="83" spans="1:35" ht="15.75" thickBot="1" x14ac:dyDescent="0.3">
      <c r="A83" s="449" t="str">
        <f>+A70</f>
        <v>Password to enter data = "Enter Info"</v>
      </c>
      <c r="B83" s="450"/>
      <c r="C83" s="451"/>
      <c r="D83" s="451"/>
      <c r="E83" s="451"/>
      <c r="F83" s="451"/>
      <c r="G83" s="451"/>
      <c r="H83" s="451"/>
      <c r="I83" s="450"/>
      <c r="J83" s="451"/>
      <c r="K83" s="451"/>
      <c r="L83" s="451"/>
      <c r="M83" s="451"/>
      <c r="N83" s="451"/>
      <c r="O83" s="451"/>
      <c r="P83" s="451"/>
      <c r="Q83" s="450"/>
      <c r="R83" s="451"/>
      <c r="S83" s="451"/>
      <c r="T83" s="451"/>
      <c r="U83" s="451"/>
      <c r="V83" s="451"/>
      <c r="W83" s="451"/>
      <c r="X83" s="451"/>
      <c r="Y83" s="451"/>
      <c r="Z83" s="451"/>
      <c r="AA83" s="451"/>
      <c r="AB83" s="450"/>
      <c r="AC83" s="450"/>
      <c r="AD83" s="871"/>
      <c r="AE83" s="872"/>
      <c r="AF83" s="872"/>
      <c r="AG83" s="872"/>
      <c r="AH83" s="872"/>
      <c r="AI83" s="873"/>
    </row>
    <row r="84" spans="1:35" ht="35.25" customHeight="1" x14ac:dyDescent="0.4">
      <c r="A84" s="434" t="str">
        <f>+A71</f>
        <v>May</v>
      </c>
      <c r="B84" s="624">
        <f>+B71+1</f>
        <v>22</v>
      </c>
      <c r="C84" s="884" t="s">
        <v>128</v>
      </c>
      <c r="D84" s="884"/>
      <c r="E84" s="884"/>
      <c r="F84" s="884"/>
      <c r="G84" s="377"/>
      <c r="H84" s="377"/>
      <c r="I84" s="21"/>
      <c r="J84" s="874" t="s">
        <v>129</v>
      </c>
      <c r="K84" s="875"/>
      <c r="L84" s="875"/>
      <c r="M84" s="875"/>
      <c r="N84" s="876" t="s">
        <v>130</v>
      </c>
      <c r="O84" s="876"/>
      <c r="P84" s="876"/>
      <c r="Q84" s="876"/>
      <c r="R84" s="424" t="str">
        <f>+R71</f>
        <v xml:space="preserve"> Corrections Tracking - Check out rooms</v>
      </c>
      <c r="S84" s="424"/>
      <c r="T84" s="424"/>
      <c r="U84" s="424"/>
      <c r="V84" s="424"/>
      <c r="W84" s="424"/>
      <c r="X84" s="424"/>
      <c r="Y84" s="424"/>
      <c r="Z84" s="424"/>
      <c r="AA84" s="424"/>
      <c r="AB84" s="424"/>
      <c r="AC84" s="424"/>
      <c r="AD84" s="461" t="s">
        <v>132</v>
      </c>
      <c r="AE84" s="426"/>
      <c r="AF84" s="426"/>
      <c r="AG84" s="426"/>
      <c r="AH84" s="426"/>
      <c r="AI84" s="427"/>
    </row>
    <row r="85" spans="1:35" ht="59.25" customHeight="1" x14ac:dyDescent="0.25">
      <c r="A85" s="378" t="s">
        <v>133</v>
      </c>
      <c r="C85" s="435" t="s">
        <v>134</v>
      </c>
      <c r="D85" s="435" t="s">
        <v>135</v>
      </c>
      <c r="E85" s="435" t="s">
        <v>134</v>
      </c>
      <c r="F85" s="435" t="s">
        <v>135</v>
      </c>
      <c r="G85" s="1" t="s">
        <v>136</v>
      </c>
      <c r="H85" s="1" t="s">
        <v>108</v>
      </c>
      <c r="I85" s="436"/>
      <c r="J85" s="437" t="str">
        <f>+Setup_and_Criteria!$B$13</f>
        <v>Checkouts</v>
      </c>
      <c r="K85" s="437" t="str">
        <f>+Setup_and_Criteria!$B$14</f>
        <v>Pet Rooms</v>
      </c>
      <c r="L85" s="437" t="str">
        <f>+Setup_and_Criteria!$B$15</f>
        <v>2 Rm &amp; Jac Stes</v>
      </c>
      <c r="M85" s="438" t="str">
        <f>+Setup_and_Criteria!$B$16</f>
        <v>Stayovers</v>
      </c>
      <c r="N85" s="269" t="s">
        <v>137</v>
      </c>
      <c r="O85" s="269" t="s">
        <v>138</v>
      </c>
      <c r="P85" s="439" t="s">
        <v>139</v>
      </c>
      <c r="Q85" s="439" t="s">
        <v>140</v>
      </c>
      <c r="R85" s="440" t="str">
        <f>+Corrections!$C$8</f>
        <v>Vanity</v>
      </c>
      <c r="S85" s="440" t="str">
        <f>+Corrections!$I$8</f>
        <v>Toilet</v>
      </c>
      <c r="T85" s="440" t="str">
        <f>+Corrections!$O$8</f>
        <v>Bed/Pillows</v>
      </c>
      <c r="U85" s="440" t="str">
        <f>+Corrections!$U$8</f>
        <v>Floor</v>
      </c>
      <c r="V85" s="440" t="str">
        <f>+Corrections!$AA$8</f>
        <v>Dusting</v>
      </c>
      <c r="W85" s="440" t="str">
        <f>+Corrections!$AG$8</f>
        <v>Fridge/Micro</v>
      </c>
      <c r="X85" s="440" t="str">
        <f>+Corrections!$AM$8</f>
        <v>Tub</v>
      </c>
      <c r="Y85" s="441" t="str">
        <f>+Corrections!$AS$8</f>
        <v>Mirrors/Glass</v>
      </c>
      <c r="Z85" s="440" t="str">
        <f>+Corrections!$AY$8</f>
        <v>Stocking</v>
      </c>
      <c r="AA85" s="440" t="str">
        <f>+Corrections!$BE$8</f>
        <v>Other</v>
      </c>
      <c r="AB85" s="269" t="s">
        <v>141</v>
      </c>
      <c r="AC85" s="269" t="str">
        <f>+$AC$7</f>
        <v>Daily Corr / Inspected Checkout</v>
      </c>
      <c r="AD85" s="889" t="s">
        <v>143</v>
      </c>
      <c r="AE85" s="890"/>
      <c r="AF85" s="890"/>
      <c r="AG85" s="890"/>
      <c r="AH85" s="890"/>
      <c r="AI85" s="891"/>
    </row>
    <row r="86" spans="1:35" x14ac:dyDescent="0.25">
      <c r="A86" s="638"/>
      <c r="C86" s="369"/>
      <c r="D86" s="369"/>
      <c r="E86" s="369"/>
      <c r="F86" s="369"/>
      <c r="G86" s="264">
        <f t="shared" ref="G86:G91" si="49">+(D86-C86)+(F86-E86)</f>
        <v>0</v>
      </c>
      <c r="H86" s="442">
        <f t="shared" ref="H86:H91" si="50">+G86*1440</f>
        <v>0</v>
      </c>
      <c r="J86" s="630"/>
      <c r="K86" s="630"/>
      <c r="L86" s="630"/>
      <c r="M86" s="630"/>
      <c r="N86" s="1">
        <f>IF(C86&gt;0,((J86*Setup_and_Criteria!$F$13)+('M1_1-15th'!K86*Setup_and_Criteria!$F$14)+('M1_1-15th'!L86*Setup_and_Criteria!$F$15)+('M1_1-15th'!M86*Setup_and_Criteria!$F$16)+Setup_and_Criteria!$J$16),0)</f>
        <v>0</v>
      </c>
      <c r="O86" s="442">
        <f>+H86</f>
        <v>0</v>
      </c>
      <c r="P86" s="443">
        <f t="shared" ref="P86:P92" si="51">+N86-O86</f>
        <v>0</v>
      </c>
      <c r="Q86" s="357" t="e">
        <f t="shared" ref="Q86:Q92" si="52">O86/_xlfn.SINGLE(SUM(J86:M86))</f>
        <v>#DIV/0!</v>
      </c>
      <c r="R86" s="630"/>
      <c r="S86" s="630"/>
      <c r="T86" s="630"/>
      <c r="U86" s="630"/>
      <c r="V86" s="630"/>
      <c r="W86" s="630"/>
      <c r="X86" s="630"/>
      <c r="Y86" s="630"/>
      <c r="Z86" s="630"/>
      <c r="AA86" s="630"/>
      <c r="AB86" s="1">
        <f t="shared" ref="AB86:AB92" si="53">SUM(R86:AA86)</f>
        <v>0</v>
      </c>
      <c r="AC86" s="357" t="e">
        <f t="shared" ref="AC86:AC92" si="54">+AB86/(J86+K86+L86)</f>
        <v>#DIV/0!</v>
      </c>
      <c r="AD86" s="864" t="s">
        <v>144</v>
      </c>
      <c r="AE86" s="865"/>
      <c r="AF86" s="865"/>
      <c r="AG86" s="866"/>
      <c r="AH86" s="866"/>
      <c r="AI86" s="867"/>
    </row>
    <row r="87" spans="1:35" x14ac:dyDescent="0.25">
      <c r="A87" s="638"/>
      <c r="C87" s="630"/>
      <c r="D87" s="630"/>
      <c r="E87" s="630"/>
      <c r="F87" s="630"/>
      <c r="G87" s="264">
        <f t="shared" si="49"/>
        <v>0</v>
      </c>
      <c r="H87" s="442">
        <f t="shared" si="50"/>
        <v>0</v>
      </c>
      <c r="J87" s="630"/>
      <c r="K87" s="630"/>
      <c r="L87" s="630"/>
      <c r="M87" s="630"/>
      <c r="N87" s="1">
        <f>IF(C87&gt;0,((J87*Setup_and_Criteria!$F$13)+('M1_1-15th'!K87*Setup_and_Criteria!$F$14)+('M1_1-15th'!L87*Setup_and_Criteria!$F$15)+('M1_1-15th'!M87*Setup_and_Criteria!$F$16)+Setup_and_Criteria!$J$16),0)</f>
        <v>0</v>
      </c>
      <c r="O87" s="442">
        <f t="shared" ref="O87:O92" si="55">+H87</f>
        <v>0</v>
      </c>
      <c r="P87" s="443">
        <f t="shared" si="51"/>
        <v>0</v>
      </c>
      <c r="Q87" s="357" t="e">
        <f t="shared" si="52"/>
        <v>#DIV/0!</v>
      </c>
      <c r="R87" s="630"/>
      <c r="S87" s="630"/>
      <c r="T87" s="630"/>
      <c r="U87" s="630"/>
      <c r="V87" s="630"/>
      <c r="W87" s="630"/>
      <c r="X87" s="630"/>
      <c r="Y87" s="630"/>
      <c r="Z87" s="630"/>
      <c r="AA87" s="630"/>
      <c r="AB87" s="1">
        <f t="shared" si="53"/>
        <v>0</v>
      </c>
      <c r="AC87" s="357" t="e">
        <f t="shared" si="54"/>
        <v>#DIV/0!</v>
      </c>
      <c r="AD87" s="864"/>
      <c r="AE87" s="865"/>
      <c r="AF87" s="865"/>
      <c r="AG87" s="866"/>
      <c r="AH87" s="866"/>
      <c r="AI87" s="867"/>
    </row>
    <row r="88" spans="1:35" x14ac:dyDescent="0.25">
      <c r="A88" s="638"/>
      <c r="C88" s="630"/>
      <c r="D88" s="630"/>
      <c r="E88" s="630"/>
      <c r="F88" s="630"/>
      <c r="G88" s="264">
        <f t="shared" si="49"/>
        <v>0</v>
      </c>
      <c r="H88" s="442">
        <f t="shared" si="50"/>
        <v>0</v>
      </c>
      <c r="J88" s="630"/>
      <c r="K88" s="630"/>
      <c r="L88" s="630"/>
      <c r="M88" s="630"/>
      <c r="N88" s="1">
        <f>IF(C88&gt;0,((J88*Setup_and_Criteria!$F$13)+('M1_1-15th'!K88*Setup_and_Criteria!$F$14)+('M1_1-15th'!L88*Setup_and_Criteria!$F$15)+('M1_1-15th'!M88*Setup_and_Criteria!$F$16)+Setup_and_Criteria!$J$16),0)</f>
        <v>0</v>
      </c>
      <c r="O88" s="442">
        <f t="shared" si="55"/>
        <v>0</v>
      </c>
      <c r="P88" s="443">
        <f t="shared" si="51"/>
        <v>0</v>
      </c>
      <c r="Q88" s="357" t="e">
        <f t="shared" si="52"/>
        <v>#DIV/0!</v>
      </c>
      <c r="R88" s="630"/>
      <c r="S88" s="630"/>
      <c r="T88" s="630"/>
      <c r="U88" s="630"/>
      <c r="V88" s="630"/>
      <c r="W88" s="630"/>
      <c r="X88" s="630"/>
      <c r="Y88" s="630"/>
      <c r="Z88" s="630"/>
      <c r="AA88" s="630"/>
      <c r="AB88" s="1">
        <f t="shared" si="53"/>
        <v>0</v>
      </c>
      <c r="AC88" s="357" t="e">
        <f t="shared" si="54"/>
        <v>#DIV/0!</v>
      </c>
      <c r="AD88" s="864"/>
      <c r="AE88" s="865"/>
      <c r="AF88" s="865"/>
      <c r="AG88" s="866"/>
      <c r="AH88" s="866"/>
      <c r="AI88" s="867"/>
    </row>
    <row r="89" spans="1:35" x14ac:dyDescent="0.25">
      <c r="A89" s="638"/>
      <c r="C89" s="630"/>
      <c r="D89" s="630"/>
      <c r="E89" s="630"/>
      <c r="F89" s="630"/>
      <c r="G89" s="264">
        <f t="shared" si="49"/>
        <v>0</v>
      </c>
      <c r="H89" s="442">
        <f t="shared" si="50"/>
        <v>0</v>
      </c>
      <c r="J89" s="630"/>
      <c r="K89" s="630"/>
      <c r="L89" s="630"/>
      <c r="M89" s="630"/>
      <c r="N89" s="1">
        <f>IF(C89&gt;0,((J89*Setup_and_Criteria!$F$13)+('M1_1-15th'!K89*Setup_and_Criteria!$F$14)+('M1_1-15th'!L89*Setup_and_Criteria!$F$15)+('M1_1-15th'!M89*Setup_and_Criteria!$F$16)+Setup_and_Criteria!$J$16),0)</f>
        <v>0</v>
      </c>
      <c r="O89" s="442">
        <f t="shared" si="55"/>
        <v>0</v>
      </c>
      <c r="P89" s="443">
        <f t="shared" si="51"/>
        <v>0</v>
      </c>
      <c r="Q89" s="357" t="e">
        <f t="shared" si="52"/>
        <v>#DIV/0!</v>
      </c>
      <c r="R89" s="630"/>
      <c r="S89" s="630"/>
      <c r="T89" s="630"/>
      <c r="U89" s="630"/>
      <c r="V89" s="630"/>
      <c r="W89" s="630"/>
      <c r="X89" s="630"/>
      <c r="Y89" s="630"/>
      <c r="Z89" s="630"/>
      <c r="AA89" s="630"/>
      <c r="AB89" s="1">
        <f t="shared" si="53"/>
        <v>0</v>
      </c>
      <c r="AC89" s="357" t="e">
        <f t="shared" si="54"/>
        <v>#DIV/0!</v>
      </c>
      <c r="AD89" s="864"/>
      <c r="AE89" s="865"/>
      <c r="AF89" s="865"/>
      <c r="AG89" s="866"/>
      <c r="AH89" s="866"/>
      <c r="AI89" s="867"/>
    </row>
    <row r="90" spans="1:35" x14ac:dyDescent="0.25">
      <c r="A90" s="638"/>
      <c r="C90" s="630"/>
      <c r="D90" s="630"/>
      <c r="E90" s="630"/>
      <c r="F90" s="630"/>
      <c r="G90" s="264">
        <f t="shared" si="49"/>
        <v>0</v>
      </c>
      <c r="H90" s="442">
        <f t="shared" si="50"/>
        <v>0</v>
      </c>
      <c r="J90" s="630"/>
      <c r="K90" s="630"/>
      <c r="L90" s="630"/>
      <c r="M90" s="630"/>
      <c r="N90" s="1">
        <f>IF(C90&gt;0,((J90*Setup_and_Criteria!$F$13)+('M1_1-15th'!K90*Setup_and_Criteria!$F$14)+('M1_1-15th'!L90*Setup_and_Criteria!$F$15)+('M1_1-15th'!M90*Setup_and_Criteria!$F$16)+Setup_and_Criteria!$J$16),0)</f>
        <v>0</v>
      </c>
      <c r="O90" s="442">
        <f t="shared" si="55"/>
        <v>0</v>
      </c>
      <c r="P90" s="443">
        <f t="shared" si="51"/>
        <v>0</v>
      </c>
      <c r="Q90" s="357" t="e">
        <f t="shared" si="52"/>
        <v>#DIV/0!</v>
      </c>
      <c r="R90" s="630"/>
      <c r="S90" s="630"/>
      <c r="T90" s="630"/>
      <c r="U90" s="630"/>
      <c r="V90" s="630"/>
      <c r="W90" s="630"/>
      <c r="X90" s="630"/>
      <c r="Y90" s="630"/>
      <c r="Z90" s="630"/>
      <c r="AA90" s="630"/>
      <c r="AB90" s="1">
        <f t="shared" si="53"/>
        <v>0</v>
      </c>
      <c r="AC90" s="357" t="e">
        <f t="shared" si="54"/>
        <v>#DIV/0!</v>
      </c>
      <c r="AD90" s="864"/>
      <c r="AE90" s="865"/>
      <c r="AF90" s="865"/>
      <c r="AG90" s="866"/>
      <c r="AH90" s="866"/>
      <c r="AI90" s="867"/>
    </row>
    <row r="91" spans="1:35" ht="15.75" thickBot="1" x14ac:dyDescent="0.3">
      <c r="A91" s="638"/>
      <c r="C91" s="370"/>
      <c r="D91" s="370"/>
      <c r="E91" s="630"/>
      <c r="F91" s="630"/>
      <c r="G91" s="264">
        <f t="shared" si="49"/>
        <v>0</v>
      </c>
      <c r="H91" s="442">
        <f t="shared" si="50"/>
        <v>0</v>
      </c>
      <c r="J91" s="371"/>
      <c r="K91" s="371"/>
      <c r="L91" s="371"/>
      <c r="M91" s="371"/>
      <c r="N91" s="358">
        <f>IF(C91&gt;0,((J91*Setup_and_Criteria!$F$13)+('M1_1-15th'!K91*Setup_and_Criteria!$F$14)+('M1_1-15th'!L91*Setup_and_Criteria!$F$15)+('M1_1-15th'!M91*Setup_and_Criteria!$F$16)+Setup_and_Criteria!$J$16),0)</f>
        <v>0</v>
      </c>
      <c r="O91" s="359">
        <f t="shared" si="55"/>
        <v>0</v>
      </c>
      <c r="P91" s="383">
        <f t="shared" si="51"/>
        <v>0</v>
      </c>
      <c r="Q91" s="360" t="e">
        <f t="shared" si="52"/>
        <v>#DIV/0!</v>
      </c>
      <c r="R91" s="511"/>
      <c r="S91" s="511"/>
      <c r="T91" s="511"/>
      <c r="U91" s="511"/>
      <c r="V91" s="511"/>
      <c r="W91" s="511"/>
      <c r="X91" s="511"/>
      <c r="Y91" s="511"/>
      <c r="Z91" s="511"/>
      <c r="AA91" s="511"/>
      <c r="AB91" s="1">
        <f t="shared" si="53"/>
        <v>0</v>
      </c>
      <c r="AC91" s="357" t="e">
        <f t="shared" si="54"/>
        <v>#DIV/0!</v>
      </c>
      <c r="AD91" s="864"/>
      <c r="AE91" s="865"/>
      <c r="AF91" s="865"/>
      <c r="AG91" s="866"/>
      <c r="AH91" s="866"/>
      <c r="AI91" s="867"/>
    </row>
    <row r="92" spans="1:35" ht="15.75" thickTop="1" x14ac:dyDescent="0.25">
      <c r="A92" s="58"/>
      <c r="H92" s="442">
        <f>SUM(H86:H91)</f>
        <v>0</v>
      </c>
      <c r="J92" s="1">
        <f>SUM(J86:J91)</f>
        <v>0</v>
      </c>
      <c r="K92" s="1">
        <f>SUM(K86:K91)</f>
        <v>0</v>
      </c>
      <c r="L92" s="1">
        <f>SUM(L86:L91)</f>
        <v>0</v>
      </c>
      <c r="M92" s="1">
        <f>SUM(M86:M91)</f>
        <v>0</v>
      </c>
      <c r="N92" s="1">
        <f>SUM(N86:N91)</f>
        <v>0</v>
      </c>
      <c r="O92" s="1">
        <f t="shared" si="55"/>
        <v>0</v>
      </c>
      <c r="P92" s="443">
        <f t="shared" si="51"/>
        <v>0</v>
      </c>
      <c r="Q92" s="357" t="e">
        <f t="shared" si="52"/>
        <v>#DIV/0!</v>
      </c>
      <c r="R92" s="1">
        <f t="shared" ref="R92:AA92" si="56">SUM(R86:R91)</f>
        <v>0</v>
      </c>
      <c r="S92" s="1">
        <f t="shared" si="56"/>
        <v>0</v>
      </c>
      <c r="T92" s="1">
        <f t="shared" si="56"/>
        <v>0</v>
      </c>
      <c r="U92" s="1">
        <f t="shared" si="56"/>
        <v>0</v>
      </c>
      <c r="V92" s="1">
        <f t="shared" si="56"/>
        <v>0</v>
      </c>
      <c r="W92" s="1">
        <f t="shared" si="56"/>
        <v>0</v>
      </c>
      <c r="X92" s="1">
        <f t="shared" si="56"/>
        <v>0</v>
      </c>
      <c r="Y92" s="1">
        <f t="shared" si="56"/>
        <v>0</v>
      </c>
      <c r="Z92" s="1">
        <f t="shared" si="56"/>
        <v>0</v>
      </c>
      <c r="AA92" s="1">
        <f t="shared" si="56"/>
        <v>0</v>
      </c>
      <c r="AB92" s="1">
        <f t="shared" si="53"/>
        <v>0</v>
      </c>
      <c r="AC92" s="357" t="e">
        <f t="shared" si="54"/>
        <v>#DIV/0!</v>
      </c>
      <c r="AD92" s="877"/>
      <c r="AE92" s="878"/>
      <c r="AF92" s="878"/>
      <c r="AG92" s="749"/>
      <c r="AH92" s="749"/>
      <c r="AI92" s="879"/>
    </row>
    <row r="93" spans="1:35" ht="21" customHeight="1" x14ac:dyDescent="0.35">
      <c r="A93" s="58"/>
      <c r="H93" s="442"/>
      <c r="N93" s="888" t="s">
        <v>145</v>
      </c>
      <c r="O93" s="888"/>
      <c r="P93" s="888"/>
      <c r="Q93" s="888"/>
      <c r="R93" s="431" t="s">
        <v>146</v>
      </c>
      <c r="S93" s="431"/>
      <c r="T93" s="431"/>
      <c r="U93" s="431"/>
      <c r="V93" s="431"/>
      <c r="W93" s="431"/>
      <c r="X93" s="431"/>
      <c r="Y93" s="431"/>
      <c r="Z93" s="431"/>
      <c r="AA93" s="431"/>
      <c r="AB93" s="431"/>
      <c r="AC93" s="431"/>
      <c r="AD93" s="880" t="s">
        <v>132</v>
      </c>
      <c r="AE93" s="881"/>
      <c r="AF93" s="881"/>
      <c r="AG93" s="881"/>
      <c r="AH93" s="881"/>
      <c r="AI93" s="882"/>
    </row>
    <row r="94" spans="1:35" ht="31.5" customHeight="1" x14ac:dyDescent="0.35">
      <c r="A94" s="378" t="s">
        <v>147</v>
      </c>
      <c r="C94" s="885" t="s">
        <v>128</v>
      </c>
      <c r="D94" s="885"/>
      <c r="E94" s="885"/>
      <c r="F94" s="885"/>
      <c r="H94" s="442"/>
      <c r="J94" s="444"/>
      <c r="K94" s="445" t="s">
        <v>35</v>
      </c>
      <c r="L94" s="445" t="s">
        <v>148</v>
      </c>
      <c r="N94" s="446" t="s">
        <v>149</v>
      </c>
      <c r="O94" s="447" t="s">
        <v>150</v>
      </c>
      <c r="P94" s="447" t="s">
        <v>138</v>
      </c>
      <c r="Q94" s="447" t="s">
        <v>151</v>
      </c>
      <c r="R94" s="749" t="s">
        <v>152</v>
      </c>
      <c r="S94" s="749"/>
      <c r="T94" s="883" t="s">
        <v>153</v>
      </c>
      <c r="U94" s="883"/>
      <c r="W94" s="425" t="s">
        <v>154</v>
      </c>
      <c r="X94" s="425"/>
      <c r="Y94" s="425"/>
      <c r="Z94" s="425"/>
      <c r="AA94" s="425"/>
      <c r="AB94" s="425"/>
      <c r="AC94" s="425"/>
      <c r="AD94" s="868" t="s">
        <v>160</v>
      </c>
      <c r="AE94" s="869"/>
      <c r="AF94" s="869"/>
      <c r="AG94" s="869"/>
      <c r="AH94" s="869"/>
      <c r="AI94" s="870"/>
    </row>
    <row r="95" spans="1:35" ht="18" customHeight="1" thickBot="1" x14ac:dyDescent="0.3">
      <c r="A95" s="639"/>
      <c r="B95" s="375"/>
      <c r="C95" s="372"/>
      <c r="D95" s="372"/>
      <c r="E95" s="372"/>
      <c r="F95" s="372"/>
      <c r="G95" s="366">
        <f>+(D95-C95)+(F95-E95)</f>
        <v>0</v>
      </c>
      <c r="H95" s="367">
        <f>+G95*1440</f>
        <v>0</v>
      </c>
      <c r="I95" s="859" t="s">
        <v>155</v>
      </c>
      <c r="J95" s="860"/>
      <c r="K95" s="373"/>
      <c r="L95" s="374"/>
      <c r="M95" s="423"/>
      <c r="N95" s="629">
        <f>+J92+L92+K92+K95+L95</f>
        <v>0</v>
      </c>
      <c r="O95" s="368">
        <f>+(Setup_and_Criteria!$K$31+(J92*Setup_and_Criteria!$F$20)+('M1_1-15th'!K92*Setup_and_Criteria!$F$21)+('M1_1-15th'!L92*Setup_and_Criteria!$F$20))+T95+(K95*Setup_and_Criteria!$F$21)+(Setup_and_Criteria!$F$22*'M1_1-15th'!L95)</f>
        <v>75</v>
      </c>
      <c r="P95" s="367">
        <f>+H95</f>
        <v>0</v>
      </c>
      <c r="Q95" s="367">
        <f>+O95-P95</f>
        <v>75</v>
      </c>
      <c r="R95" s="861" t="s">
        <v>252</v>
      </c>
      <c r="S95" s="861"/>
      <c r="T95" s="862"/>
      <c r="U95" s="863"/>
      <c r="V95" s="265" t="s">
        <v>156</v>
      </c>
      <c r="W95" s="854"/>
      <c r="X95" s="855"/>
      <c r="Y95" s="855"/>
      <c r="Z95" s="855"/>
      <c r="AA95" s="855"/>
      <c r="AB95" s="855"/>
      <c r="AC95" s="855"/>
      <c r="AD95" s="868"/>
      <c r="AE95" s="869"/>
      <c r="AF95" s="869"/>
      <c r="AG95" s="869"/>
      <c r="AH95" s="869"/>
      <c r="AI95" s="870"/>
    </row>
    <row r="96" spans="1:35" ht="15.75" thickBot="1" x14ac:dyDescent="0.3">
      <c r="A96" s="449" t="str">
        <f>+A83</f>
        <v>Password to enter data = "Enter Info"</v>
      </c>
      <c r="B96" s="450"/>
      <c r="C96" s="451"/>
      <c r="D96" s="451"/>
      <c r="E96" s="451"/>
      <c r="F96" s="451"/>
      <c r="G96" s="451"/>
      <c r="H96" s="451"/>
      <c r="I96" s="450"/>
      <c r="J96" s="451"/>
      <c r="K96" s="451"/>
      <c r="L96" s="451"/>
      <c r="M96" s="451"/>
      <c r="N96" s="451"/>
      <c r="O96" s="451"/>
      <c r="P96" s="451"/>
      <c r="Q96" s="450"/>
      <c r="R96" s="451"/>
      <c r="S96" s="451"/>
      <c r="T96" s="451"/>
      <c r="U96" s="451"/>
      <c r="V96" s="451"/>
      <c r="W96" s="451"/>
      <c r="X96" s="451"/>
      <c r="Y96" s="451"/>
      <c r="Z96" s="451"/>
      <c r="AA96" s="451"/>
      <c r="AB96" s="450"/>
      <c r="AC96" s="450"/>
      <c r="AD96" s="871"/>
      <c r="AE96" s="872"/>
      <c r="AF96" s="872"/>
      <c r="AG96" s="872"/>
      <c r="AH96" s="872"/>
      <c r="AI96" s="873"/>
    </row>
    <row r="97" spans="1:35" ht="35.25" customHeight="1" x14ac:dyDescent="0.4">
      <c r="A97" s="434" t="str">
        <f>+A84</f>
        <v>May</v>
      </c>
      <c r="B97" s="624">
        <f>+B84+1</f>
        <v>23</v>
      </c>
      <c r="C97" s="884" t="s">
        <v>128</v>
      </c>
      <c r="D97" s="884"/>
      <c r="E97" s="884"/>
      <c r="F97" s="884"/>
      <c r="G97" s="377"/>
      <c r="H97" s="377"/>
      <c r="I97" s="21"/>
      <c r="J97" s="874" t="s">
        <v>129</v>
      </c>
      <c r="K97" s="875"/>
      <c r="L97" s="875"/>
      <c r="M97" s="875"/>
      <c r="N97" s="876" t="s">
        <v>130</v>
      </c>
      <c r="O97" s="876"/>
      <c r="P97" s="876"/>
      <c r="Q97" s="876"/>
      <c r="R97" s="424" t="str">
        <f>+R84</f>
        <v xml:space="preserve"> Corrections Tracking - Check out rooms</v>
      </c>
      <c r="S97" s="424"/>
      <c r="T97" s="424"/>
      <c r="U97" s="424"/>
      <c r="V97" s="424"/>
      <c r="W97" s="424"/>
      <c r="X97" s="424"/>
      <c r="Y97" s="424"/>
      <c r="Z97" s="424"/>
      <c r="AA97" s="424"/>
      <c r="AB97" s="424"/>
      <c r="AC97" s="424"/>
      <c r="AD97" s="461" t="s">
        <v>132</v>
      </c>
      <c r="AE97" s="426"/>
      <c r="AF97" s="426"/>
      <c r="AG97" s="426"/>
      <c r="AH97" s="426"/>
      <c r="AI97" s="427"/>
    </row>
    <row r="98" spans="1:35" ht="59.25" customHeight="1" x14ac:dyDescent="0.25">
      <c r="A98" s="378" t="s">
        <v>133</v>
      </c>
      <c r="C98" s="435" t="s">
        <v>134</v>
      </c>
      <c r="D98" s="435" t="s">
        <v>135</v>
      </c>
      <c r="E98" s="435" t="s">
        <v>134</v>
      </c>
      <c r="F98" s="435" t="s">
        <v>135</v>
      </c>
      <c r="G98" s="1" t="s">
        <v>136</v>
      </c>
      <c r="H98" s="1" t="s">
        <v>108</v>
      </c>
      <c r="I98" s="436"/>
      <c r="J98" s="437" t="str">
        <f>+Setup_and_Criteria!$B$13</f>
        <v>Checkouts</v>
      </c>
      <c r="K98" s="437" t="str">
        <f>+Setup_and_Criteria!$B$14</f>
        <v>Pet Rooms</v>
      </c>
      <c r="L98" s="437" t="str">
        <f>+Setup_and_Criteria!$B$15</f>
        <v>2 Rm &amp; Jac Stes</v>
      </c>
      <c r="M98" s="438" t="str">
        <f>+Setup_and_Criteria!$B$16</f>
        <v>Stayovers</v>
      </c>
      <c r="N98" s="269" t="s">
        <v>137</v>
      </c>
      <c r="O98" s="269" t="s">
        <v>138</v>
      </c>
      <c r="P98" s="439" t="s">
        <v>139</v>
      </c>
      <c r="Q98" s="439" t="s">
        <v>140</v>
      </c>
      <c r="R98" s="440" t="str">
        <f>+Corrections!$C$8</f>
        <v>Vanity</v>
      </c>
      <c r="S98" s="440" t="str">
        <f>+Corrections!$I$8</f>
        <v>Toilet</v>
      </c>
      <c r="T98" s="440" t="str">
        <f>+Corrections!$O$8</f>
        <v>Bed/Pillows</v>
      </c>
      <c r="U98" s="440" t="str">
        <f>+Corrections!$U$8</f>
        <v>Floor</v>
      </c>
      <c r="V98" s="440" t="str">
        <f>+Corrections!$AA$8</f>
        <v>Dusting</v>
      </c>
      <c r="W98" s="440" t="str">
        <f>+Corrections!$AG$8</f>
        <v>Fridge/Micro</v>
      </c>
      <c r="X98" s="440" t="str">
        <f>+Corrections!$AM$8</f>
        <v>Tub</v>
      </c>
      <c r="Y98" s="441" t="str">
        <f>+Corrections!$AS$8</f>
        <v>Mirrors/Glass</v>
      </c>
      <c r="Z98" s="440" t="str">
        <f>+Corrections!$AY$8</f>
        <v>Stocking</v>
      </c>
      <c r="AA98" s="440" t="str">
        <f>+Corrections!$BE$8</f>
        <v>Other</v>
      </c>
      <c r="AB98" s="269" t="s">
        <v>141</v>
      </c>
      <c r="AC98" s="269" t="str">
        <f>+$AC$7</f>
        <v>Daily Corr / Inspected Checkout</v>
      </c>
      <c r="AD98" s="889" t="s">
        <v>143</v>
      </c>
      <c r="AE98" s="890"/>
      <c r="AF98" s="890"/>
      <c r="AG98" s="890"/>
      <c r="AH98" s="890"/>
      <c r="AI98" s="891"/>
    </row>
    <row r="99" spans="1:35" x14ac:dyDescent="0.25">
      <c r="A99" s="638"/>
      <c r="C99" s="369"/>
      <c r="D99" s="369"/>
      <c r="E99" s="369"/>
      <c r="F99" s="369"/>
      <c r="G99" s="264">
        <f t="shared" ref="G99:G104" si="57">+(D99-C99)+(F99-E99)</f>
        <v>0</v>
      </c>
      <c r="H99" s="442">
        <f t="shared" ref="H99:H104" si="58">+G99*1440</f>
        <v>0</v>
      </c>
      <c r="J99" s="630"/>
      <c r="K99" s="630"/>
      <c r="L99" s="630"/>
      <c r="M99" s="630"/>
      <c r="N99" s="1">
        <f>IF(C99&gt;0,((J99*Setup_and_Criteria!$F$13)+('M1_1-15th'!K99*Setup_and_Criteria!$F$14)+('M1_1-15th'!L99*Setup_and_Criteria!$F$15)+('M1_1-15th'!M99*Setup_and_Criteria!$F$16)+Setup_and_Criteria!$J$16),0)</f>
        <v>0</v>
      </c>
      <c r="O99" s="442">
        <f>+H99</f>
        <v>0</v>
      </c>
      <c r="P99" s="443">
        <f t="shared" ref="P99:P105" si="59">+N99-O99</f>
        <v>0</v>
      </c>
      <c r="Q99" s="357" t="e">
        <f t="shared" ref="Q99:Q105" si="60">O99/_xlfn.SINGLE(SUM(J99:M99))</f>
        <v>#DIV/0!</v>
      </c>
      <c r="R99" s="630"/>
      <c r="S99" s="630"/>
      <c r="T99" s="630"/>
      <c r="U99" s="630"/>
      <c r="V99" s="630"/>
      <c r="W99" s="630"/>
      <c r="X99" s="630"/>
      <c r="Y99" s="630"/>
      <c r="Z99" s="630"/>
      <c r="AA99" s="630"/>
      <c r="AB99" s="1">
        <f t="shared" ref="AB99:AB105" si="61">SUM(R99:AA99)</f>
        <v>0</v>
      </c>
      <c r="AC99" s="357" t="e">
        <f t="shared" ref="AC99:AC105" si="62">+AB99/(J99+K99+L99)</f>
        <v>#DIV/0!</v>
      </c>
      <c r="AD99" s="864" t="s">
        <v>144</v>
      </c>
      <c r="AE99" s="865"/>
      <c r="AF99" s="865"/>
      <c r="AG99" s="866"/>
      <c r="AH99" s="866"/>
      <c r="AI99" s="867"/>
    </row>
    <row r="100" spans="1:35" x14ac:dyDescent="0.25">
      <c r="A100" s="638"/>
      <c r="C100" s="630"/>
      <c r="D100" s="630"/>
      <c r="E100" s="630"/>
      <c r="F100" s="630"/>
      <c r="G100" s="264">
        <f t="shared" si="57"/>
        <v>0</v>
      </c>
      <c r="H100" s="442">
        <f t="shared" si="58"/>
        <v>0</v>
      </c>
      <c r="J100" s="630"/>
      <c r="K100" s="630"/>
      <c r="L100" s="630"/>
      <c r="M100" s="630"/>
      <c r="N100" s="1">
        <f>IF(C100&gt;0,((J100*Setup_and_Criteria!$F$13)+('M1_1-15th'!K100*Setup_and_Criteria!$F$14)+('M1_1-15th'!L100*Setup_and_Criteria!$F$15)+('M1_1-15th'!M100*Setup_and_Criteria!$F$16)+Setup_and_Criteria!$J$16),0)</f>
        <v>0</v>
      </c>
      <c r="O100" s="442">
        <f t="shared" ref="O100:O105" si="63">+H100</f>
        <v>0</v>
      </c>
      <c r="P100" s="443">
        <f t="shared" si="59"/>
        <v>0</v>
      </c>
      <c r="Q100" s="357" t="e">
        <f t="shared" si="60"/>
        <v>#DIV/0!</v>
      </c>
      <c r="R100" s="630"/>
      <c r="S100" s="630"/>
      <c r="T100" s="630"/>
      <c r="U100" s="630"/>
      <c r="V100" s="630"/>
      <c r="W100" s="630"/>
      <c r="X100" s="630"/>
      <c r="Y100" s="630"/>
      <c r="Z100" s="630"/>
      <c r="AA100" s="630"/>
      <c r="AB100" s="1">
        <f t="shared" si="61"/>
        <v>0</v>
      </c>
      <c r="AC100" s="357" t="e">
        <f t="shared" si="62"/>
        <v>#DIV/0!</v>
      </c>
      <c r="AD100" s="864"/>
      <c r="AE100" s="865"/>
      <c r="AF100" s="865"/>
      <c r="AG100" s="866"/>
      <c r="AH100" s="866"/>
      <c r="AI100" s="867"/>
    </row>
    <row r="101" spans="1:35" x14ac:dyDescent="0.25">
      <c r="A101" s="638"/>
      <c r="C101" s="630"/>
      <c r="D101" s="630"/>
      <c r="E101" s="630"/>
      <c r="F101" s="630"/>
      <c r="G101" s="264">
        <f t="shared" si="57"/>
        <v>0</v>
      </c>
      <c r="H101" s="442">
        <f t="shared" si="58"/>
        <v>0</v>
      </c>
      <c r="J101" s="630"/>
      <c r="K101" s="630"/>
      <c r="L101" s="630"/>
      <c r="M101" s="630"/>
      <c r="N101" s="1">
        <f>IF(C101&gt;0,((J101*Setup_and_Criteria!$F$13)+('M1_1-15th'!K101*Setup_and_Criteria!$F$14)+('M1_1-15th'!L101*Setup_and_Criteria!$F$15)+('M1_1-15th'!M101*Setup_and_Criteria!$F$16)+Setup_and_Criteria!$J$16),0)</f>
        <v>0</v>
      </c>
      <c r="O101" s="442">
        <f t="shared" si="63"/>
        <v>0</v>
      </c>
      <c r="P101" s="443">
        <f t="shared" si="59"/>
        <v>0</v>
      </c>
      <c r="Q101" s="357" t="e">
        <f t="shared" si="60"/>
        <v>#DIV/0!</v>
      </c>
      <c r="R101" s="630"/>
      <c r="S101" s="630"/>
      <c r="T101" s="630"/>
      <c r="U101" s="630"/>
      <c r="V101" s="630"/>
      <c r="W101" s="630"/>
      <c r="X101" s="630"/>
      <c r="Y101" s="630"/>
      <c r="Z101" s="630"/>
      <c r="AA101" s="630"/>
      <c r="AB101" s="1">
        <f t="shared" si="61"/>
        <v>0</v>
      </c>
      <c r="AC101" s="357" t="e">
        <f t="shared" si="62"/>
        <v>#DIV/0!</v>
      </c>
      <c r="AD101" s="864"/>
      <c r="AE101" s="865"/>
      <c r="AF101" s="865"/>
      <c r="AG101" s="866"/>
      <c r="AH101" s="866"/>
      <c r="AI101" s="867"/>
    </row>
    <row r="102" spans="1:35" x14ac:dyDescent="0.25">
      <c r="A102" s="638"/>
      <c r="C102" s="630"/>
      <c r="D102" s="630"/>
      <c r="E102" s="630"/>
      <c r="F102" s="630"/>
      <c r="G102" s="264">
        <f t="shared" si="57"/>
        <v>0</v>
      </c>
      <c r="H102" s="442">
        <f t="shared" si="58"/>
        <v>0</v>
      </c>
      <c r="J102" s="630"/>
      <c r="K102" s="630"/>
      <c r="L102" s="630"/>
      <c r="M102" s="630"/>
      <c r="N102" s="1">
        <f>IF(C102&gt;0,((J102*Setup_and_Criteria!$F$13)+('M1_1-15th'!K102*Setup_and_Criteria!$F$14)+('M1_1-15th'!L102*Setup_and_Criteria!$F$15)+('M1_1-15th'!M102*Setup_and_Criteria!$F$16)+Setup_and_Criteria!$J$16),0)</f>
        <v>0</v>
      </c>
      <c r="O102" s="442">
        <f t="shared" si="63"/>
        <v>0</v>
      </c>
      <c r="P102" s="443">
        <f t="shared" si="59"/>
        <v>0</v>
      </c>
      <c r="Q102" s="357" t="e">
        <f t="shared" si="60"/>
        <v>#DIV/0!</v>
      </c>
      <c r="R102" s="630"/>
      <c r="S102" s="630"/>
      <c r="T102" s="630"/>
      <c r="U102" s="630"/>
      <c r="V102" s="630"/>
      <c r="W102" s="630"/>
      <c r="X102" s="630"/>
      <c r="Y102" s="630"/>
      <c r="Z102" s="630"/>
      <c r="AA102" s="630"/>
      <c r="AB102" s="1">
        <f t="shared" si="61"/>
        <v>0</v>
      </c>
      <c r="AC102" s="357" t="e">
        <f t="shared" si="62"/>
        <v>#DIV/0!</v>
      </c>
      <c r="AD102" s="864"/>
      <c r="AE102" s="865"/>
      <c r="AF102" s="865"/>
      <c r="AG102" s="866"/>
      <c r="AH102" s="866"/>
      <c r="AI102" s="867"/>
    </row>
    <row r="103" spans="1:35" x14ac:dyDescent="0.25">
      <c r="A103" s="638"/>
      <c r="C103" s="630"/>
      <c r="D103" s="630"/>
      <c r="E103" s="630"/>
      <c r="F103" s="630"/>
      <c r="G103" s="264">
        <f t="shared" si="57"/>
        <v>0</v>
      </c>
      <c r="H103" s="442">
        <f t="shared" si="58"/>
        <v>0</v>
      </c>
      <c r="J103" s="630"/>
      <c r="K103" s="630"/>
      <c r="L103" s="630"/>
      <c r="M103" s="630"/>
      <c r="N103" s="1">
        <f>IF(C103&gt;0,((J103*Setup_and_Criteria!$F$13)+('M1_1-15th'!K103*Setup_and_Criteria!$F$14)+('M1_1-15th'!L103*Setup_and_Criteria!$F$15)+('M1_1-15th'!M103*Setup_and_Criteria!$F$16)+Setup_and_Criteria!$J$16),0)</f>
        <v>0</v>
      </c>
      <c r="O103" s="442">
        <f t="shared" si="63"/>
        <v>0</v>
      </c>
      <c r="P103" s="443">
        <f t="shared" si="59"/>
        <v>0</v>
      </c>
      <c r="Q103" s="357" t="e">
        <f t="shared" si="60"/>
        <v>#DIV/0!</v>
      </c>
      <c r="R103" s="630"/>
      <c r="S103" s="630"/>
      <c r="T103" s="630"/>
      <c r="U103" s="630"/>
      <c r="V103" s="630"/>
      <c r="W103" s="630"/>
      <c r="X103" s="630"/>
      <c r="Y103" s="630"/>
      <c r="Z103" s="630"/>
      <c r="AA103" s="630"/>
      <c r="AB103" s="1">
        <f t="shared" si="61"/>
        <v>0</v>
      </c>
      <c r="AC103" s="357" t="e">
        <f t="shared" si="62"/>
        <v>#DIV/0!</v>
      </c>
      <c r="AD103" s="864"/>
      <c r="AE103" s="865"/>
      <c r="AF103" s="865"/>
      <c r="AG103" s="866"/>
      <c r="AH103" s="866"/>
      <c r="AI103" s="867"/>
    </row>
    <row r="104" spans="1:35" ht="15.75" thickBot="1" x14ac:dyDescent="0.3">
      <c r="A104" s="638"/>
      <c r="C104" s="370"/>
      <c r="D104" s="370"/>
      <c r="E104" s="630"/>
      <c r="F104" s="630"/>
      <c r="G104" s="264">
        <f t="shared" si="57"/>
        <v>0</v>
      </c>
      <c r="H104" s="442">
        <f t="shared" si="58"/>
        <v>0</v>
      </c>
      <c r="J104" s="371"/>
      <c r="K104" s="371"/>
      <c r="L104" s="371"/>
      <c r="M104" s="371"/>
      <c r="N104" s="358">
        <f>IF(C104&gt;0,((J104*Setup_and_Criteria!$F$13)+('M1_1-15th'!K104*Setup_and_Criteria!$F$14)+('M1_1-15th'!L104*Setup_and_Criteria!$F$15)+('M1_1-15th'!M104*Setup_and_Criteria!$F$16)+Setup_and_Criteria!$J$16),0)</f>
        <v>0</v>
      </c>
      <c r="O104" s="359">
        <f t="shared" si="63"/>
        <v>0</v>
      </c>
      <c r="P104" s="383">
        <f t="shared" si="59"/>
        <v>0</v>
      </c>
      <c r="Q104" s="360" t="e">
        <f t="shared" si="60"/>
        <v>#DIV/0!</v>
      </c>
      <c r="R104" s="511"/>
      <c r="S104" s="511"/>
      <c r="T104" s="511"/>
      <c r="U104" s="511"/>
      <c r="V104" s="511"/>
      <c r="W104" s="511"/>
      <c r="X104" s="511"/>
      <c r="Y104" s="511"/>
      <c r="Z104" s="511"/>
      <c r="AA104" s="511"/>
      <c r="AB104" s="1">
        <f t="shared" si="61"/>
        <v>0</v>
      </c>
      <c r="AC104" s="357" t="e">
        <f t="shared" si="62"/>
        <v>#DIV/0!</v>
      </c>
      <c r="AD104" s="864"/>
      <c r="AE104" s="865"/>
      <c r="AF104" s="865"/>
      <c r="AG104" s="866"/>
      <c r="AH104" s="866"/>
      <c r="AI104" s="867"/>
    </row>
    <row r="105" spans="1:35" ht="15.75" thickTop="1" x14ac:dyDescent="0.25">
      <c r="A105" s="58"/>
      <c r="H105" s="442">
        <f>SUM(H99:H104)</f>
        <v>0</v>
      </c>
      <c r="J105" s="1">
        <f>SUM(J99:J104)</f>
        <v>0</v>
      </c>
      <c r="K105" s="1">
        <f>SUM(K99:K104)</f>
        <v>0</v>
      </c>
      <c r="L105" s="1">
        <f>SUM(L99:L104)</f>
        <v>0</v>
      </c>
      <c r="M105" s="1">
        <f>SUM(M99:M104)</f>
        <v>0</v>
      </c>
      <c r="N105" s="1">
        <f>SUM(N99:N104)</f>
        <v>0</v>
      </c>
      <c r="O105" s="1">
        <f t="shared" si="63"/>
        <v>0</v>
      </c>
      <c r="P105" s="443">
        <f t="shared" si="59"/>
        <v>0</v>
      </c>
      <c r="Q105" s="357" t="e">
        <f t="shared" si="60"/>
        <v>#DIV/0!</v>
      </c>
      <c r="R105" s="1">
        <f t="shared" ref="R105:AA105" si="64">SUM(R99:R104)</f>
        <v>0</v>
      </c>
      <c r="S105" s="1">
        <f t="shared" si="64"/>
        <v>0</v>
      </c>
      <c r="T105" s="1">
        <f t="shared" si="64"/>
        <v>0</v>
      </c>
      <c r="U105" s="1">
        <f t="shared" si="64"/>
        <v>0</v>
      </c>
      <c r="V105" s="1">
        <f t="shared" si="64"/>
        <v>0</v>
      </c>
      <c r="W105" s="1">
        <f t="shared" si="64"/>
        <v>0</v>
      </c>
      <c r="X105" s="1">
        <f t="shared" si="64"/>
        <v>0</v>
      </c>
      <c r="Y105" s="1">
        <f t="shared" si="64"/>
        <v>0</v>
      </c>
      <c r="Z105" s="1">
        <f t="shared" si="64"/>
        <v>0</v>
      </c>
      <c r="AA105" s="1">
        <f t="shared" si="64"/>
        <v>0</v>
      </c>
      <c r="AB105" s="1">
        <f t="shared" si="61"/>
        <v>0</v>
      </c>
      <c r="AC105" s="357" t="e">
        <f t="shared" si="62"/>
        <v>#DIV/0!</v>
      </c>
      <c r="AD105" s="877"/>
      <c r="AE105" s="878"/>
      <c r="AF105" s="878"/>
      <c r="AG105" s="749"/>
      <c r="AH105" s="749"/>
      <c r="AI105" s="879"/>
    </row>
    <row r="106" spans="1:35" ht="21" customHeight="1" x14ac:dyDescent="0.35">
      <c r="A106" s="58"/>
      <c r="H106" s="442"/>
      <c r="N106" s="888" t="s">
        <v>145</v>
      </c>
      <c r="O106" s="888"/>
      <c r="P106" s="888"/>
      <c r="Q106" s="888"/>
      <c r="R106" s="431" t="s">
        <v>146</v>
      </c>
      <c r="S106" s="431"/>
      <c r="T106" s="431"/>
      <c r="U106" s="431"/>
      <c r="V106" s="431"/>
      <c r="W106" s="431"/>
      <c r="X106" s="431"/>
      <c r="Y106" s="431"/>
      <c r="Z106" s="431"/>
      <c r="AA106" s="431"/>
      <c r="AB106" s="431"/>
      <c r="AC106" s="431"/>
      <c r="AD106" s="880" t="s">
        <v>132</v>
      </c>
      <c r="AE106" s="881"/>
      <c r="AF106" s="881"/>
      <c r="AG106" s="881"/>
      <c r="AH106" s="881"/>
      <c r="AI106" s="882"/>
    </row>
    <row r="107" spans="1:35" ht="31.5" customHeight="1" x14ac:dyDescent="0.35">
      <c r="A107" s="378" t="s">
        <v>147</v>
      </c>
      <c r="C107" s="885" t="s">
        <v>128</v>
      </c>
      <c r="D107" s="885"/>
      <c r="E107" s="885"/>
      <c r="F107" s="885"/>
      <c r="H107" s="442"/>
      <c r="J107" s="444"/>
      <c r="K107" s="445" t="s">
        <v>35</v>
      </c>
      <c r="L107" s="445" t="s">
        <v>148</v>
      </c>
      <c r="N107" s="446" t="s">
        <v>149</v>
      </c>
      <c r="O107" s="447" t="s">
        <v>150</v>
      </c>
      <c r="P107" s="447" t="s">
        <v>138</v>
      </c>
      <c r="Q107" s="447" t="s">
        <v>151</v>
      </c>
      <c r="R107" s="749" t="s">
        <v>152</v>
      </c>
      <c r="S107" s="749"/>
      <c r="T107" s="883" t="s">
        <v>153</v>
      </c>
      <c r="U107" s="883"/>
      <c r="W107" s="425" t="s">
        <v>154</v>
      </c>
      <c r="X107" s="425"/>
      <c r="Y107" s="425"/>
      <c r="Z107" s="425"/>
      <c r="AA107" s="425"/>
      <c r="AB107" s="425"/>
      <c r="AC107" s="425"/>
      <c r="AD107" s="868" t="s">
        <v>160</v>
      </c>
      <c r="AE107" s="869"/>
      <c r="AF107" s="869"/>
      <c r="AG107" s="869"/>
      <c r="AH107" s="869"/>
      <c r="AI107" s="870"/>
    </row>
    <row r="108" spans="1:35" ht="18" customHeight="1" thickBot="1" x14ac:dyDescent="0.3">
      <c r="A108" s="639"/>
      <c r="B108" s="364"/>
      <c r="C108" s="372"/>
      <c r="D108" s="372"/>
      <c r="E108" s="372"/>
      <c r="F108" s="372"/>
      <c r="G108" s="366">
        <f>+(D108-C108)+(F108-E108)</f>
        <v>0</v>
      </c>
      <c r="H108" s="367">
        <f>+G108*1440</f>
        <v>0</v>
      </c>
      <c r="I108" s="859" t="s">
        <v>155</v>
      </c>
      <c r="J108" s="860"/>
      <c r="K108" s="373"/>
      <c r="L108" s="374"/>
      <c r="M108" s="423"/>
      <c r="N108" s="629">
        <f>+J105+L105+K105+K108+L108</f>
        <v>0</v>
      </c>
      <c r="O108" s="368">
        <f>+(Setup_and_Criteria!$K$31+(J105*Setup_and_Criteria!$F$20)+('M1_1-15th'!K105*Setup_and_Criteria!$F$21)+('M1_1-15th'!L105*Setup_and_Criteria!$F$20))+T108+(K108*Setup_and_Criteria!$F$21)+(Setup_and_Criteria!$F$22*'M1_1-15th'!L108)</f>
        <v>75</v>
      </c>
      <c r="P108" s="367">
        <f>+H108</f>
        <v>0</v>
      </c>
      <c r="Q108" s="367">
        <f>+O108-P108</f>
        <v>75</v>
      </c>
      <c r="R108" s="861" t="s">
        <v>252</v>
      </c>
      <c r="S108" s="861"/>
      <c r="T108" s="862"/>
      <c r="U108" s="863"/>
      <c r="V108" s="265" t="s">
        <v>156</v>
      </c>
      <c r="W108" s="854"/>
      <c r="X108" s="855"/>
      <c r="Y108" s="855"/>
      <c r="Z108" s="855"/>
      <c r="AA108" s="855"/>
      <c r="AB108" s="855"/>
      <c r="AC108" s="855"/>
      <c r="AD108" s="868"/>
      <c r="AE108" s="869"/>
      <c r="AF108" s="869"/>
      <c r="AG108" s="869"/>
      <c r="AH108" s="869"/>
      <c r="AI108" s="870"/>
    </row>
    <row r="109" spans="1:35" ht="15.75" thickBot="1" x14ac:dyDescent="0.3">
      <c r="A109" s="449" t="str">
        <f>+A96</f>
        <v>Password to enter data = "Enter Info"</v>
      </c>
      <c r="B109" s="450"/>
      <c r="C109" s="451"/>
      <c r="D109" s="451"/>
      <c r="E109" s="451"/>
      <c r="F109" s="451"/>
      <c r="G109" s="451"/>
      <c r="H109" s="451"/>
      <c r="I109" s="450"/>
      <c r="J109" s="451"/>
      <c r="K109" s="451"/>
      <c r="L109" s="451"/>
      <c r="M109" s="451"/>
      <c r="N109" s="451"/>
      <c r="O109" s="451"/>
      <c r="P109" s="451"/>
      <c r="Q109" s="450"/>
      <c r="R109" s="451"/>
      <c r="S109" s="451"/>
      <c r="T109" s="451"/>
      <c r="U109" s="451"/>
      <c r="V109" s="451"/>
      <c r="W109" s="451"/>
      <c r="X109" s="451"/>
      <c r="Y109" s="451"/>
      <c r="Z109" s="451"/>
      <c r="AA109" s="451"/>
      <c r="AB109" s="450"/>
      <c r="AC109" s="450"/>
      <c r="AD109" s="871"/>
      <c r="AE109" s="872"/>
      <c r="AF109" s="872"/>
      <c r="AG109" s="872"/>
      <c r="AH109" s="872"/>
      <c r="AI109" s="873"/>
    </row>
    <row r="110" spans="1:35" ht="35.25" customHeight="1" x14ac:dyDescent="0.4">
      <c r="A110" s="434" t="str">
        <f>+A97</f>
        <v>May</v>
      </c>
      <c r="B110" s="624">
        <f>+B97+1</f>
        <v>24</v>
      </c>
      <c r="C110" s="884" t="s">
        <v>128</v>
      </c>
      <c r="D110" s="884"/>
      <c r="E110" s="884"/>
      <c r="F110" s="884"/>
      <c r="G110" s="377"/>
      <c r="H110" s="377"/>
      <c r="I110" s="21"/>
      <c r="J110" s="874" t="s">
        <v>129</v>
      </c>
      <c r="K110" s="875"/>
      <c r="L110" s="875"/>
      <c r="M110" s="875"/>
      <c r="N110" s="876" t="s">
        <v>130</v>
      </c>
      <c r="O110" s="876"/>
      <c r="P110" s="876"/>
      <c r="Q110" s="876"/>
      <c r="R110" s="424" t="str">
        <f>+R97</f>
        <v xml:space="preserve"> Corrections Tracking - Check out rooms</v>
      </c>
      <c r="S110" s="424"/>
      <c r="T110" s="424"/>
      <c r="U110" s="424"/>
      <c r="V110" s="424"/>
      <c r="W110" s="424"/>
      <c r="X110" s="424"/>
      <c r="Y110" s="424"/>
      <c r="Z110" s="424"/>
      <c r="AA110" s="424"/>
      <c r="AB110" s="424"/>
      <c r="AC110" s="424"/>
      <c r="AD110" s="461" t="s">
        <v>132</v>
      </c>
      <c r="AE110" s="426"/>
      <c r="AF110" s="426"/>
      <c r="AG110" s="426"/>
      <c r="AH110" s="426"/>
      <c r="AI110" s="427"/>
    </row>
    <row r="111" spans="1:35" ht="59.25" customHeight="1" x14ac:dyDescent="0.25">
      <c r="A111" s="378" t="s">
        <v>133</v>
      </c>
      <c r="C111" s="435" t="s">
        <v>134</v>
      </c>
      <c r="D111" s="435" t="s">
        <v>135</v>
      </c>
      <c r="E111" s="435" t="s">
        <v>134</v>
      </c>
      <c r="F111" s="435" t="s">
        <v>135</v>
      </c>
      <c r="G111" s="1" t="s">
        <v>136</v>
      </c>
      <c r="H111" s="1" t="s">
        <v>108</v>
      </c>
      <c r="I111" s="436"/>
      <c r="J111" s="437" t="str">
        <f>+Setup_and_Criteria!$B$13</f>
        <v>Checkouts</v>
      </c>
      <c r="K111" s="437" t="str">
        <f>+Setup_and_Criteria!$B$14</f>
        <v>Pet Rooms</v>
      </c>
      <c r="L111" s="437" t="str">
        <f>+Setup_and_Criteria!$B$15</f>
        <v>2 Rm &amp; Jac Stes</v>
      </c>
      <c r="M111" s="438" t="str">
        <f>+Setup_and_Criteria!$B$16</f>
        <v>Stayovers</v>
      </c>
      <c r="N111" s="269" t="s">
        <v>137</v>
      </c>
      <c r="O111" s="269" t="s">
        <v>138</v>
      </c>
      <c r="P111" s="439" t="s">
        <v>139</v>
      </c>
      <c r="Q111" s="439" t="s">
        <v>140</v>
      </c>
      <c r="R111" s="440" t="str">
        <f>+Corrections!$C$8</f>
        <v>Vanity</v>
      </c>
      <c r="S111" s="440" t="str">
        <f>+Corrections!$I$8</f>
        <v>Toilet</v>
      </c>
      <c r="T111" s="440" t="str">
        <f>+Corrections!$O$8</f>
        <v>Bed/Pillows</v>
      </c>
      <c r="U111" s="440" t="str">
        <f>+Corrections!$U$8</f>
        <v>Floor</v>
      </c>
      <c r="V111" s="440" t="str">
        <f>+Corrections!$AA$8</f>
        <v>Dusting</v>
      </c>
      <c r="W111" s="440" t="str">
        <f>+Corrections!$AG$8</f>
        <v>Fridge/Micro</v>
      </c>
      <c r="X111" s="440" t="str">
        <f>+Corrections!$AM$8</f>
        <v>Tub</v>
      </c>
      <c r="Y111" s="441" t="str">
        <f>+Corrections!$AS$8</f>
        <v>Mirrors/Glass</v>
      </c>
      <c r="Z111" s="440" t="str">
        <f>+Corrections!$AY$8</f>
        <v>Stocking</v>
      </c>
      <c r="AA111" s="440" t="str">
        <f>+Corrections!$BE$8</f>
        <v>Other</v>
      </c>
      <c r="AB111" s="269" t="s">
        <v>141</v>
      </c>
      <c r="AC111" s="269" t="str">
        <f>+$AC$7</f>
        <v>Daily Corr / Inspected Checkout</v>
      </c>
      <c r="AD111" s="889" t="s">
        <v>143</v>
      </c>
      <c r="AE111" s="890"/>
      <c r="AF111" s="890"/>
      <c r="AG111" s="890"/>
      <c r="AH111" s="890"/>
      <c r="AI111" s="891"/>
    </row>
    <row r="112" spans="1:35" x14ac:dyDescent="0.25">
      <c r="A112" s="638"/>
      <c r="C112" s="369"/>
      <c r="D112" s="369"/>
      <c r="E112" s="369"/>
      <c r="F112" s="369"/>
      <c r="G112" s="264">
        <f t="shared" ref="G112:G117" si="65">+(D112-C112)+(F112-E112)</f>
        <v>0</v>
      </c>
      <c r="H112" s="442">
        <f t="shared" ref="H112:H117" si="66">+G112*1440</f>
        <v>0</v>
      </c>
      <c r="J112" s="630"/>
      <c r="K112" s="630"/>
      <c r="L112" s="630"/>
      <c r="M112" s="630"/>
      <c r="N112" s="1">
        <f>IF(C112&gt;0,((J112*Setup_and_Criteria!$F$13)+('M1_1-15th'!K112*Setup_and_Criteria!$F$14)+('M1_1-15th'!L112*Setup_and_Criteria!$F$15)+('M1_1-15th'!M112*Setup_and_Criteria!$F$16)+Setup_and_Criteria!$J$16),0)</f>
        <v>0</v>
      </c>
      <c r="O112" s="442">
        <f>+H112</f>
        <v>0</v>
      </c>
      <c r="P112" s="443">
        <f t="shared" ref="P112:P118" si="67">+N112-O112</f>
        <v>0</v>
      </c>
      <c r="Q112" s="357" t="e">
        <f t="shared" ref="Q112:Q118" si="68">O112/_xlfn.SINGLE(SUM(J112:M112))</f>
        <v>#DIV/0!</v>
      </c>
      <c r="R112" s="630"/>
      <c r="S112" s="630"/>
      <c r="T112" s="630"/>
      <c r="U112" s="630"/>
      <c r="V112" s="630"/>
      <c r="W112" s="630"/>
      <c r="X112" s="630"/>
      <c r="Y112" s="630"/>
      <c r="Z112" s="630"/>
      <c r="AA112" s="630"/>
      <c r="AB112" s="1">
        <f t="shared" ref="AB112:AB118" si="69">SUM(R112:AA112)</f>
        <v>0</v>
      </c>
      <c r="AC112" s="357" t="e">
        <f t="shared" ref="AC112:AC118" si="70">+AB112/(J112+K112+L112)</f>
        <v>#DIV/0!</v>
      </c>
      <c r="AD112" s="864" t="s">
        <v>144</v>
      </c>
      <c r="AE112" s="865"/>
      <c r="AF112" s="865"/>
      <c r="AG112" s="866"/>
      <c r="AH112" s="866"/>
      <c r="AI112" s="867"/>
    </row>
    <row r="113" spans="1:35" x14ac:dyDescent="0.25">
      <c r="A113" s="638"/>
      <c r="C113" s="630"/>
      <c r="D113" s="630"/>
      <c r="E113" s="630"/>
      <c r="F113" s="630"/>
      <c r="G113" s="264">
        <f t="shared" si="65"/>
        <v>0</v>
      </c>
      <c r="H113" s="442">
        <f t="shared" si="66"/>
        <v>0</v>
      </c>
      <c r="J113" s="630"/>
      <c r="K113" s="630"/>
      <c r="L113" s="630"/>
      <c r="M113" s="630"/>
      <c r="N113" s="1">
        <f>IF(C113&gt;0,((J113*Setup_and_Criteria!$F$13)+('M1_1-15th'!K113*Setup_and_Criteria!$F$14)+('M1_1-15th'!L113*Setup_and_Criteria!$F$15)+('M1_1-15th'!M113*Setup_and_Criteria!$F$16)+Setup_and_Criteria!$J$16),0)</f>
        <v>0</v>
      </c>
      <c r="O113" s="442">
        <f t="shared" ref="O113:O118" si="71">+H113</f>
        <v>0</v>
      </c>
      <c r="P113" s="443">
        <f t="shared" si="67"/>
        <v>0</v>
      </c>
      <c r="Q113" s="357" t="e">
        <f t="shared" si="68"/>
        <v>#DIV/0!</v>
      </c>
      <c r="R113" s="630"/>
      <c r="S113" s="630"/>
      <c r="T113" s="630"/>
      <c r="U113" s="630"/>
      <c r="V113" s="630"/>
      <c r="W113" s="630"/>
      <c r="X113" s="630"/>
      <c r="Y113" s="630"/>
      <c r="Z113" s="630"/>
      <c r="AA113" s="630"/>
      <c r="AB113" s="1">
        <f t="shared" si="69"/>
        <v>0</v>
      </c>
      <c r="AC113" s="357" t="e">
        <f t="shared" si="70"/>
        <v>#DIV/0!</v>
      </c>
      <c r="AD113" s="864"/>
      <c r="AE113" s="865"/>
      <c r="AF113" s="865"/>
      <c r="AG113" s="866"/>
      <c r="AH113" s="866"/>
      <c r="AI113" s="867"/>
    </row>
    <row r="114" spans="1:35" x14ac:dyDescent="0.25">
      <c r="A114" s="638"/>
      <c r="C114" s="630"/>
      <c r="D114" s="630"/>
      <c r="E114" s="630"/>
      <c r="F114" s="630"/>
      <c r="G114" s="264">
        <f t="shared" si="65"/>
        <v>0</v>
      </c>
      <c r="H114" s="442">
        <f t="shared" si="66"/>
        <v>0</v>
      </c>
      <c r="J114" s="630"/>
      <c r="K114" s="630"/>
      <c r="L114" s="630"/>
      <c r="M114" s="630"/>
      <c r="N114" s="1">
        <f>IF(C114&gt;0,((J114*Setup_and_Criteria!$F$13)+('M1_1-15th'!K114*Setup_and_Criteria!$F$14)+('M1_1-15th'!L114*Setup_and_Criteria!$F$15)+('M1_1-15th'!M114*Setup_and_Criteria!$F$16)+Setup_and_Criteria!$J$16),0)</f>
        <v>0</v>
      </c>
      <c r="O114" s="442">
        <f t="shared" si="71"/>
        <v>0</v>
      </c>
      <c r="P114" s="443">
        <f t="shared" si="67"/>
        <v>0</v>
      </c>
      <c r="Q114" s="357" t="e">
        <f t="shared" si="68"/>
        <v>#DIV/0!</v>
      </c>
      <c r="R114" s="630"/>
      <c r="S114" s="630"/>
      <c r="T114" s="630"/>
      <c r="U114" s="630"/>
      <c r="V114" s="630"/>
      <c r="W114" s="630"/>
      <c r="X114" s="630"/>
      <c r="Y114" s="630"/>
      <c r="Z114" s="630"/>
      <c r="AA114" s="630"/>
      <c r="AB114" s="1">
        <f t="shared" si="69"/>
        <v>0</v>
      </c>
      <c r="AC114" s="357" t="e">
        <f t="shared" si="70"/>
        <v>#DIV/0!</v>
      </c>
      <c r="AD114" s="864"/>
      <c r="AE114" s="865"/>
      <c r="AF114" s="865"/>
      <c r="AG114" s="866"/>
      <c r="AH114" s="866"/>
      <c r="AI114" s="867"/>
    </row>
    <row r="115" spans="1:35" x14ac:dyDescent="0.25">
      <c r="A115" s="638"/>
      <c r="C115" s="630"/>
      <c r="D115" s="630"/>
      <c r="E115" s="630"/>
      <c r="F115" s="630"/>
      <c r="G115" s="264">
        <f t="shared" si="65"/>
        <v>0</v>
      </c>
      <c r="H115" s="442">
        <f t="shared" si="66"/>
        <v>0</v>
      </c>
      <c r="J115" s="630"/>
      <c r="K115" s="630"/>
      <c r="L115" s="630"/>
      <c r="M115" s="630"/>
      <c r="N115" s="1">
        <f>IF(C115&gt;0,((J115*Setup_and_Criteria!$F$13)+('M1_1-15th'!K115*Setup_and_Criteria!$F$14)+('M1_1-15th'!L115*Setup_and_Criteria!$F$15)+('M1_1-15th'!M115*Setup_and_Criteria!$F$16)+Setup_and_Criteria!$J$16),0)</f>
        <v>0</v>
      </c>
      <c r="O115" s="442">
        <f t="shared" si="71"/>
        <v>0</v>
      </c>
      <c r="P115" s="443">
        <f t="shared" si="67"/>
        <v>0</v>
      </c>
      <c r="Q115" s="357" t="e">
        <f t="shared" si="68"/>
        <v>#DIV/0!</v>
      </c>
      <c r="R115" s="630"/>
      <c r="S115" s="630"/>
      <c r="T115" s="630"/>
      <c r="U115" s="630"/>
      <c r="V115" s="630"/>
      <c r="W115" s="630"/>
      <c r="X115" s="630"/>
      <c r="Y115" s="630"/>
      <c r="Z115" s="630"/>
      <c r="AA115" s="630"/>
      <c r="AB115" s="1">
        <f t="shared" si="69"/>
        <v>0</v>
      </c>
      <c r="AC115" s="357" t="e">
        <f t="shared" si="70"/>
        <v>#DIV/0!</v>
      </c>
      <c r="AD115" s="864"/>
      <c r="AE115" s="865"/>
      <c r="AF115" s="865"/>
      <c r="AG115" s="866"/>
      <c r="AH115" s="866"/>
      <c r="AI115" s="867"/>
    </row>
    <row r="116" spans="1:35" x14ac:dyDescent="0.25">
      <c r="A116" s="638"/>
      <c r="C116" s="630"/>
      <c r="D116" s="630"/>
      <c r="E116" s="630"/>
      <c r="F116" s="630"/>
      <c r="G116" s="264">
        <f t="shared" si="65"/>
        <v>0</v>
      </c>
      <c r="H116" s="442">
        <f t="shared" si="66"/>
        <v>0</v>
      </c>
      <c r="J116" s="630"/>
      <c r="K116" s="630"/>
      <c r="L116" s="630"/>
      <c r="M116" s="630"/>
      <c r="N116" s="1">
        <f>IF(C116&gt;0,((J116*Setup_and_Criteria!$F$13)+('M1_1-15th'!K116*Setup_and_Criteria!$F$14)+('M1_1-15th'!L116*Setup_and_Criteria!$F$15)+('M1_1-15th'!M116*Setup_and_Criteria!$F$16)+Setup_and_Criteria!$J$16),0)</f>
        <v>0</v>
      </c>
      <c r="O116" s="442">
        <f t="shared" si="71"/>
        <v>0</v>
      </c>
      <c r="P116" s="443">
        <f t="shared" si="67"/>
        <v>0</v>
      </c>
      <c r="Q116" s="357" t="e">
        <f t="shared" si="68"/>
        <v>#DIV/0!</v>
      </c>
      <c r="R116" s="630"/>
      <c r="S116" s="630"/>
      <c r="T116" s="630"/>
      <c r="U116" s="630"/>
      <c r="V116" s="630"/>
      <c r="W116" s="630"/>
      <c r="X116" s="630"/>
      <c r="Y116" s="630"/>
      <c r="Z116" s="630"/>
      <c r="AA116" s="630"/>
      <c r="AB116" s="1">
        <f t="shared" si="69"/>
        <v>0</v>
      </c>
      <c r="AC116" s="357" t="e">
        <f t="shared" si="70"/>
        <v>#DIV/0!</v>
      </c>
      <c r="AD116" s="864"/>
      <c r="AE116" s="865"/>
      <c r="AF116" s="865"/>
      <c r="AG116" s="866"/>
      <c r="AH116" s="866"/>
      <c r="AI116" s="867"/>
    </row>
    <row r="117" spans="1:35" ht="15.75" thickBot="1" x14ac:dyDescent="0.3">
      <c r="A117" s="638"/>
      <c r="C117" s="370"/>
      <c r="D117" s="370"/>
      <c r="E117" s="630"/>
      <c r="F117" s="630"/>
      <c r="G117" s="264">
        <f t="shared" si="65"/>
        <v>0</v>
      </c>
      <c r="H117" s="442">
        <f t="shared" si="66"/>
        <v>0</v>
      </c>
      <c r="J117" s="371"/>
      <c r="K117" s="371"/>
      <c r="L117" s="371"/>
      <c r="M117" s="371"/>
      <c r="N117" s="358">
        <f>IF(C117&gt;0,((J117*Setup_and_Criteria!$F$13)+('M1_1-15th'!K117*Setup_and_Criteria!$F$14)+('M1_1-15th'!L117*Setup_and_Criteria!$F$15)+('M1_1-15th'!M117*Setup_and_Criteria!$F$16)+Setup_and_Criteria!$J$16),0)</f>
        <v>0</v>
      </c>
      <c r="O117" s="359">
        <f t="shared" si="71"/>
        <v>0</v>
      </c>
      <c r="P117" s="383">
        <f t="shared" si="67"/>
        <v>0</v>
      </c>
      <c r="Q117" s="360" t="e">
        <f t="shared" si="68"/>
        <v>#DIV/0!</v>
      </c>
      <c r="R117" s="511"/>
      <c r="S117" s="511"/>
      <c r="T117" s="511"/>
      <c r="U117" s="511"/>
      <c r="V117" s="511"/>
      <c r="W117" s="511"/>
      <c r="X117" s="511"/>
      <c r="Y117" s="511"/>
      <c r="Z117" s="511"/>
      <c r="AA117" s="511"/>
      <c r="AB117" s="1">
        <f t="shared" si="69"/>
        <v>0</v>
      </c>
      <c r="AC117" s="357" t="e">
        <f t="shared" si="70"/>
        <v>#DIV/0!</v>
      </c>
      <c r="AD117" s="864"/>
      <c r="AE117" s="865"/>
      <c r="AF117" s="865"/>
      <c r="AG117" s="866"/>
      <c r="AH117" s="866"/>
      <c r="AI117" s="867"/>
    </row>
    <row r="118" spans="1:35" ht="15.75" thickTop="1" x14ac:dyDescent="0.25">
      <c r="A118" s="58"/>
      <c r="H118" s="442">
        <f>SUM(H112:H117)</f>
        <v>0</v>
      </c>
      <c r="J118" s="1">
        <f>SUM(J112:J117)</f>
        <v>0</v>
      </c>
      <c r="K118" s="1">
        <f>SUM(K112:K117)</f>
        <v>0</v>
      </c>
      <c r="L118" s="1">
        <f>SUM(L112:L117)</f>
        <v>0</v>
      </c>
      <c r="M118" s="1">
        <f>SUM(M112:M117)</f>
        <v>0</v>
      </c>
      <c r="N118" s="1">
        <f>SUM(N112:N117)</f>
        <v>0</v>
      </c>
      <c r="O118" s="1">
        <f t="shared" si="71"/>
        <v>0</v>
      </c>
      <c r="P118" s="443">
        <f t="shared" si="67"/>
        <v>0</v>
      </c>
      <c r="Q118" s="357" t="e">
        <f t="shared" si="68"/>
        <v>#DIV/0!</v>
      </c>
      <c r="R118" s="1">
        <f t="shared" ref="R118:AA118" si="72">SUM(R112:R117)</f>
        <v>0</v>
      </c>
      <c r="S118" s="1">
        <f t="shared" si="72"/>
        <v>0</v>
      </c>
      <c r="T118" s="1">
        <f t="shared" si="72"/>
        <v>0</v>
      </c>
      <c r="U118" s="1">
        <f t="shared" si="72"/>
        <v>0</v>
      </c>
      <c r="V118" s="1">
        <f t="shared" si="72"/>
        <v>0</v>
      </c>
      <c r="W118" s="1">
        <f t="shared" si="72"/>
        <v>0</v>
      </c>
      <c r="X118" s="1">
        <f t="shared" si="72"/>
        <v>0</v>
      </c>
      <c r="Y118" s="1">
        <f t="shared" si="72"/>
        <v>0</v>
      </c>
      <c r="Z118" s="1">
        <f t="shared" si="72"/>
        <v>0</v>
      </c>
      <c r="AA118" s="1">
        <f t="shared" si="72"/>
        <v>0</v>
      </c>
      <c r="AB118" s="1">
        <f t="shared" si="69"/>
        <v>0</v>
      </c>
      <c r="AC118" s="357" t="e">
        <f t="shared" si="70"/>
        <v>#DIV/0!</v>
      </c>
      <c r="AD118" s="877"/>
      <c r="AE118" s="878"/>
      <c r="AF118" s="878"/>
      <c r="AG118" s="749"/>
      <c r="AH118" s="749"/>
      <c r="AI118" s="879"/>
    </row>
    <row r="119" spans="1:35" ht="21" customHeight="1" x14ac:dyDescent="0.35">
      <c r="A119" s="58"/>
      <c r="H119" s="442"/>
      <c r="N119" s="888" t="s">
        <v>145</v>
      </c>
      <c r="O119" s="888"/>
      <c r="P119" s="888"/>
      <c r="Q119" s="888"/>
      <c r="R119" s="431" t="s">
        <v>146</v>
      </c>
      <c r="S119" s="431"/>
      <c r="T119" s="431"/>
      <c r="U119" s="431"/>
      <c r="V119" s="431"/>
      <c r="W119" s="431"/>
      <c r="X119" s="431"/>
      <c r="Y119" s="431"/>
      <c r="Z119" s="431"/>
      <c r="AA119" s="431"/>
      <c r="AB119" s="431"/>
      <c r="AC119" s="431"/>
      <c r="AD119" s="880" t="s">
        <v>132</v>
      </c>
      <c r="AE119" s="881"/>
      <c r="AF119" s="881"/>
      <c r="AG119" s="881"/>
      <c r="AH119" s="881"/>
      <c r="AI119" s="882"/>
    </row>
    <row r="120" spans="1:35" ht="31.5" customHeight="1" x14ac:dyDescent="0.35">
      <c r="A120" s="378" t="s">
        <v>147</v>
      </c>
      <c r="C120" s="885" t="s">
        <v>128</v>
      </c>
      <c r="D120" s="885"/>
      <c r="E120" s="885"/>
      <c r="F120" s="885"/>
      <c r="H120" s="442"/>
      <c r="J120" s="444"/>
      <c r="K120" s="445" t="s">
        <v>35</v>
      </c>
      <c r="L120" s="445" t="s">
        <v>148</v>
      </c>
      <c r="N120" s="446" t="s">
        <v>149</v>
      </c>
      <c r="O120" s="447" t="s">
        <v>150</v>
      </c>
      <c r="P120" s="447" t="s">
        <v>138</v>
      </c>
      <c r="Q120" s="447" t="s">
        <v>151</v>
      </c>
      <c r="R120" s="749" t="s">
        <v>152</v>
      </c>
      <c r="S120" s="749"/>
      <c r="T120" s="883" t="s">
        <v>153</v>
      </c>
      <c r="U120" s="883"/>
      <c r="W120" s="425" t="s">
        <v>154</v>
      </c>
      <c r="X120" s="425"/>
      <c r="Y120" s="425"/>
      <c r="Z120" s="425"/>
      <c r="AA120" s="425"/>
      <c r="AB120" s="425"/>
      <c r="AC120" s="425"/>
      <c r="AD120" s="868" t="s">
        <v>160</v>
      </c>
      <c r="AE120" s="869"/>
      <c r="AF120" s="869"/>
      <c r="AG120" s="869"/>
      <c r="AH120" s="869"/>
      <c r="AI120" s="870"/>
    </row>
    <row r="121" spans="1:35" ht="18" customHeight="1" thickBot="1" x14ac:dyDescent="0.3">
      <c r="A121" s="639"/>
      <c r="B121" s="375"/>
      <c r="C121" s="372"/>
      <c r="D121" s="372"/>
      <c r="E121" s="372"/>
      <c r="F121" s="372"/>
      <c r="G121" s="366">
        <f>+(D121-C121)+(F121-E121)</f>
        <v>0</v>
      </c>
      <c r="H121" s="367">
        <f>+G121*1440</f>
        <v>0</v>
      </c>
      <c r="I121" s="859" t="s">
        <v>155</v>
      </c>
      <c r="J121" s="860"/>
      <c r="K121" s="373"/>
      <c r="L121" s="374"/>
      <c r="M121" s="423"/>
      <c r="N121" s="629">
        <f>+J118+L118+K118+K121+L121</f>
        <v>0</v>
      </c>
      <c r="O121" s="368">
        <f>+(Setup_and_Criteria!$K$31+(J118*Setup_and_Criteria!$F$20)+('M1_1-15th'!K118*Setup_and_Criteria!$F$21)+('M1_1-15th'!L118*Setup_and_Criteria!$F$20))+T121+(K121*Setup_and_Criteria!$F$21)+(Setup_and_Criteria!$F$22*'M1_1-15th'!L121)</f>
        <v>75</v>
      </c>
      <c r="P121" s="367">
        <f>+H121</f>
        <v>0</v>
      </c>
      <c r="Q121" s="367">
        <f>+O121-P121</f>
        <v>75</v>
      </c>
      <c r="R121" s="861" t="s">
        <v>252</v>
      </c>
      <c r="S121" s="861"/>
      <c r="T121" s="862"/>
      <c r="U121" s="863"/>
      <c r="V121" s="265" t="s">
        <v>156</v>
      </c>
      <c r="W121" s="854"/>
      <c r="X121" s="855"/>
      <c r="Y121" s="855"/>
      <c r="Z121" s="855"/>
      <c r="AA121" s="855"/>
      <c r="AB121" s="855"/>
      <c r="AC121" s="855"/>
      <c r="AD121" s="868"/>
      <c r="AE121" s="869"/>
      <c r="AF121" s="869"/>
      <c r="AG121" s="869"/>
      <c r="AH121" s="869"/>
      <c r="AI121" s="870"/>
    </row>
    <row r="122" spans="1:35" ht="15.75" thickBot="1" x14ac:dyDescent="0.3">
      <c r="A122" s="449" t="str">
        <f>+A109</f>
        <v>Password to enter data = "Enter Info"</v>
      </c>
      <c r="B122" s="450"/>
      <c r="C122" s="451"/>
      <c r="D122" s="451"/>
      <c r="E122" s="451"/>
      <c r="F122" s="451"/>
      <c r="G122" s="451"/>
      <c r="H122" s="451"/>
      <c r="I122" s="450"/>
      <c r="J122" s="451"/>
      <c r="K122" s="451"/>
      <c r="L122" s="451"/>
      <c r="M122" s="451"/>
      <c r="N122" s="451"/>
      <c r="O122" s="451"/>
      <c r="P122" s="451"/>
      <c r="Q122" s="450"/>
      <c r="R122" s="451"/>
      <c r="S122" s="451"/>
      <c r="T122" s="451"/>
      <c r="U122" s="451"/>
      <c r="V122" s="451"/>
      <c r="W122" s="451"/>
      <c r="X122" s="451"/>
      <c r="Y122" s="451"/>
      <c r="Z122" s="451"/>
      <c r="AA122" s="451"/>
      <c r="AB122" s="450"/>
      <c r="AC122" s="450"/>
      <c r="AD122" s="871"/>
      <c r="AE122" s="872"/>
      <c r="AF122" s="872"/>
      <c r="AG122" s="872"/>
      <c r="AH122" s="872"/>
      <c r="AI122" s="873"/>
    </row>
    <row r="123" spans="1:35" ht="35.25" customHeight="1" x14ac:dyDescent="0.4">
      <c r="A123" s="434" t="str">
        <f>+A110</f>
        <v>May</v>
      </c>
      <c r="B123" s="624">
        <f>+B110+1</f>
        <v>25</v>
      </c>
      <c r="C123" s="884" t="s">
        <v>128</v>
      </c>
      <c r="D123" s="884"/>
      <c r="E123" s="884"/>
      <c r="F123" s="884"/>
      <c r="G123" s="377"/>
      <c r="H123" s="377"/>
      <c r="I123" s="21"/>
      <c r="J123" s="874" t="s">
        <v>129</v>
      </c>
      <c r="K123" s="875"/>
      <c r="L123" s="875"/>
      <c r="M123" s="875"/>
      <c r="N123" s="876" t="s">
        <v>130</v>
      </c>
      <c r="O123" s="876"/>
      <c r="P123" s="876"/>
      <c r="Q123" s="876"/>
      <c r="R123" s="424" t="str">
        <f>+R110</f>
        <v xml:space="preserve"> Corrections Tracking - Check out rooms</v>
      </c>
      <c r="S123" s="424"/>
      <c r="T123" s="424"/>
      <c r="U123" s="424"/>
      <c r="V123" s="424"/>
      <c r="W123" s="424"/>
      <c r="X123" s="424"/>
      <c r="Y123" s="424"/>
      <c r="Z123" s="424"/>
      <c r="AA123" s="424"/>
      <c r="AB123" s="424"/>
      <c r="AC123" s="424"/>
      <c r="AD123" s="461" t="s">
        <v>132</v>
      </c>
      <c r="AE123" s="426"/>
      <c r="AF123" s="426"/>
      <c r="AG123" s="426"/>
      <c r="AH123" s="426"/>
      <c r="AI123" s="427"/>
    </row>
    <row r="124" spans="1:35" ht="59.25" customHeight="1" x14ac:dyDescent="0.25">
      <c r="A124" s="378" t="s">
        <v>133</v>
      </c>
      <c r="C124" s="435" t="s">
        <v>134</v>
      </c>
      <c r="D124" s="435" t="s">
        <v>135</v>
      </c>
      <c r="E124" s="435" t="s">
        <v>134</v>
      </c>
      <c r="F124" s="435" t="s">
        <v>135</v>
      </c>
      <c r="G124" s="1" t="s">
        <v>136</v>
      </c>
      <c r="H124" s="1" t="s">
        <v>108</v>
      </c>
      <c r="I124" s="436"/>
      <c r="J124" s="437" t="str">
        <f>+Setup_and_Criteria!$B$13</f>
        <v>Checkouts</v>
      </c>
      <c r="K124" s="437" t="str">
        <f>+Setup_and_Criteria!$B$14</f>
        <v>Pet Rooms</v>
      </c>
      <c r="L124" s="437" t="str">
        <f>+Setup_and_Criteria!$B$15</f>
        <v>2 Rm &amp; Jac Stes</v>
      </c>
      <c r="M124" s="438" t="str">
        <f>+Setup_and_Criteria!$B$16</f>
        <v>Stayovers</v>
      </c>
      <c r="N124" s="269" t="s">
        <v>137</v>
      </c>
      <c r="O124" s="269" t="s">
        <v>138</v>
      </c>
      <c r="P124" s="439" t="s">
        <v>139</v>
      </c>
      <c r="Q124" s="439" t="s">
        <v>140</v>
      </c>
      <c r="R124" s="440" t="str">
        <f>+Corrections!$C$8</f>
        <v>Vanity</v>
      </c>
      <c r="S124" s="440" t="str">
        <f>+Corrections!$I$8</f>
        <v>Toilet</v>
      </c>
      <c r="T124" s="440" t="str">
        <f>+Corrections!$O$8</f>
        <v>Bed/Pillows</v>
      </c>
      <c r="U124" s="440" t="str">
        <f>+Corrections!$U$8</f>
        <v>Floor</v>
      </c>
      <c r="V124" s="440" t="str">
        <f>+Corrections!$AA$8</f>
        <v>Dusting</v>
      </c>
      <c r="W124" s="440" t="str">
        <f>+Corrections!$AG$8</f>
        <v>Fridge/Micro</v>
      </c>
      <c r="X124" s="440" t="str">
        <f>+Corrections!$AM$8</f>
        <v>Tub</v>
      </c>
      <c r="Y124" s="441" t="str">
        <f>+Corrections!$AS$8</f>
        <v>Mirrors/Glass</v>
      </c>
      <c r="Z124" s="440" t="str">
        <f>+Corrections!$AY$8</f>
        <v>Stocking</v>
      </c>
      <c r="AA124" s="440" t="str">
        <f>+Corrections!$BE$8</f>
        <v>Other</v>
      </c>
      <c r="AB124" s="269" t="s">
        <v>141</v>
      </c>
      <c r="AC124" s="269" t="str">
        <f>+$AC$7</f>
        <v>Daily Corr / Inspected Checkout</v>
      </c>
      <c r="AD124" s="889" t="s">
        <v>143</v>
      </c>
      <c r="AE124" s="890"/>
      <c r="AF124" s="890"/>
      <c r="AG124" s="890"/>
      <c r="AH124" s="890"/>
      <c r="AI124" s="891"/>
    </row>
    <row r="125" spans="1:35" x14ac:dyDescent="0.25">
      <c r="A125" s="638"/>
      <c r="C125" s="369"/>
      <c r="D125" s="369"/>
      <c r="E125" s="369"/>
      <c r="F125" s="369"/>
      <c r="G125" s="264">
        <f t="shared" ref="G125:G130" si="73">+(D125-C125)+(F125-E125)</f>
        <v>0</v>
      </c>
      <c r="H125" s="442">
        <f t="shared" ref="H125:H130" si="74">+G125*1440</f>
        <v>0</v>
      </c>
      <c r="J125" s="630"/>
      <c r="K125" s="630"/>
      <c r="L125" s="630"/>
      <c r="M125" s="630"/>
      <c r="N125" s="1">
        <f>IF(C125&gt;0,((J125*Setup_and_Criteria!$F$13)+('M1_1-15th'!K125*Setup_and_Criteria!$F$14)+('M1_1-15th'!L125*Setup_and_Criteria!$F$15)+('M1_1-15th'!M125*Setup_and_Criteria!$F$16)+Setup_and_Criteria!$J$16),0)</f>
        <v>0</v>
      </c>
      <c r="O125" s="442">
        <f>+H125</f>
        <v>0</v>
      </c>
      <c r="P125" s="443">
        <f t="shared" ref="P125:P131" si="75">+N125-O125</f>
        <v>0</v>
      </c>
      <c r="Q125" s="357" t="e">
        <f t="shared" ref="Q125:Q131" si="76">O125/_xlfn.SINGLE(SUM(J125:M125))</f>
        <v>#DIV/0!</v>
      </c>
      <c r="R125" s="630"/>
      <c r="S125" s="630"/>
      <c r="T125" s="630"/>
      <c r="U125" s="630"/>
      <c r="V125" s="630"/>
      <c r="W125" s="630"/>
      <c r="X125" s="630"/>
      <c r="Y125" s="630"/>
      <c r="Z125" s="630"/>
      <c r="AA125" s="630"/>
      <c r="AB125" s="1">
        <f t="shared" ref="AB125:AB131" si="77">SUM(R125:AA125)</f>
        <v>0</v>
      </c>
      <c r="AC125" s="357" t="e">
        <f t="shared" ref="AC125:AC131" si="78">+AB125/(J125+K125+L125)</f>
        <v>#DIV/0!</v>
      </c>
      <c r="AD125" s="864" t="s">
        <v>144</v>
      </c>
      <c r="AE125" s="865"/>
      <c r="AF125" s="865"/>
      <c r="AG125" s="866"/>
      <c r="AH125" s="866"/>
      <c r="AI125" s="867"/>
    </row>
    <row r="126" spans="1:35" x14ac:dyDescent="0.25">
      <c r="A126" s="638"/>
      <c r="C126" s="630"/>
      <c r="D126" s="630"/>
      <c r="E126" s="630"/>
      <c r="F126" s="630"/>
      <c r="G126" s="264">
        <f t="shared" si="73"/>
        <v>0</v>
      </c>
      <c r="H126" s="442">
        <f t="shared" si="74"/>
        <v>0</v>
      </c>
      <c r="J126" s="630"/>
      <c r="K126" s="630"/>
      <c r="L126" s="630"/>
      <c r="M126" s="630"/>
      <c r="N126" s="1">
        <f>IF(C126&gt;0,((J126*Setup_and_Criteria!$F$13)+('M1_1-15th'!K126*Setup_and_Criteria!$F$14)+('M1_1-15th'!L126*Setup_and_Criteria!$F$15)+('M1_1-15th'!M126*Setup_and_Criteria!$F$16)+Setup_and_Criteria!$J$16),0)</f>
        <v>0</v>
      </c>
      <c r="O126" s="442">
        <f t="shared" ref="O126:O131" si="79">+H126</f>
        <v>0</v>
      </c>
      <c r="P126" s="443">
        <f t="shared" si="75"/>
        <v>0</v>
      </c>
      <c r="Q126" s="357" t="e">
        <f t="shared" si="76"/>
        <v>#DIV/0!</v>
      </c>
      <c r="R126" s="630"/>
      <c r="S126" s="630"/>
      <c r="T126" s="630"/>
      <c r="U126" s="630"/>
      <c r="V126" s="630"/>
      <c r="W126" s="630"/>
      <c r="X126" s="630"/>
      <c r="Y126" s="630"/>
      <c r="Z126" s="630"/>
      <c r="AA126" s="630"/>
      <c r="AB126" s="1">
        <f t="shared" si="77"/>
        <v>0</v>
      </c>
      <c r="AC126" s="357" t="e">
        <f t="shared" si="78"/>
        <v>#DIV/0!</v>
      </c>
      <c r="AD126" s="864"/>
      <c r="AE126" s="865"/>
      <c r="AF126" s="865"/>
      <c r="AG126" s="866"/>
      <c r="AH126" s="866"/>
      <c r="AI126" s="867"/>
    </row>
    <row r="127" spans="1:35" x14ac:dyDescent="0.25">
      <c r="A127" s="638"/>
      <c r="C127" s="630"/>
      <c r="D127" s="630"/>
      <c r="E127" s="630"/>
      <c r="F127" s="630"/>
      <c r="G127" s="264">
        <f t="shared" si="73"/>
        <v>0</v>
      </c>
      <c r="H127" s="442">
        <f t="shared" si="74"/>
        <v>0</v>
      </c>
      <c r="J127" s="630"/>
      <c r="K127" s="630"/>
      <c r="L127" s="630"/>
      <c r="M127" s="630"/>
      <c r="N127" s="1">
        <f>IF(C127&gt;0,((J127*Setup_and_Criteria!$F$13)+('M1_1-15th'!K127*Setup_and_Criteria!$F$14)+('M1_1-15th'!L127*Setup_and_Criteria!$F$15)+('M1_1-15th'!M127*Setup_and_Criteria!$F$16)+Setup_and_Criteria!$J$16),0)</f>
        <v>0</v>
      </c>
      <c r="O127" s="442">
        <f t="shared" si="79"/>
        <v>0</v>
      </c>
      <c r="P127" s="443">
        <f t="shared" si="75"/>
        <v>0</v>
      </c>
      <c r="Q127" s="357" t="e">
        <f t="shared" si="76"/>
        <v>#DIV/0!</v>
      </c>
      <c r="R127" s="630"/>
      <c r="S127" s="630"/>
      <c r="T127" s="630"/>
      <c r="U127" s="630"/>
      <c r="V127" s="630"/>
      <c r="W127" s="630"/>
      <c r="X127" s="630"/>
      <c r="Y127" s="630"/>
      <c r="Z127" s="630"/>
      <c r="AA127" s="630"/>
      <c r="AB127" s="1">
        <f t="shared" si="77"/>
        <v>0</v>
      </c>
      <c r="AC127" s="357" t="e">
        <f t="shared" si="78"/>
        <v>#DIV/0!</v>
      </c>
      <c r="AD127" s="864"/>
      <c r="AE127" s="865"/>
      <c r="AF127" s="865"/>
      <c r="AG127" s="866"/>
      <c r="AH127" s="866"/>
      <c r="AI127" s="867"/>
    </row>
    <row r="128" spans="1:35" x14ac:dyDescent="0.25">
      <c r="A128" s="638"/>
      <c r="C128" s="630"/>
      <c r="D128" s="630"/>
      <c r="E128" s="630"/>
      <c r="F128" s="630"/>
      <c r="G128" s="264">
        <f t="shared" si="73"/>
        <v>0</v>
      </c>
      <c r="H128" s="442">
        <f t="shared" si="74"/>
        <v>0</v>
      </c>
      <c r="J128" s="630"/>
      <c r="K128" s="630"/>
      <c r="L128" s="630"/>
      <c r="M128" s="630"/>
      <c r="N128" s="1">
        <f>IF(C128&gt;0,((J128*Setup_and_Criteria!$F$13)+('M1_1-15th'!K128*Setup_and_Criteria!$F$14)+('M1_1-15th'!L128*Setup_and_Criteria!$F$15)+('M1_1-15th'!M128*Setup_and_Criteria!$F$16)+Setup_and_Criteria!$J$16),0)</f>
        <v>0</v>
      </c>
      <c r="O128" s="442">
        <f t="shared" si="79"/>
        <v>0</v>
      </c>
      <c r="P128" s="443">
        <f t="shared" si="75"/>
        <v>0</v>
      </c>
      <c r="Q128" s="357" t="e">
        <f t="shared" si="76"/>
        <v>#DIV/0!</v>
      </c>
      <c r="R128" s="630"/>
      <c r="S128" s="630"/>
      <c r="T128" s="630"/>
      <c r="U128" s="630"/>
      <c r="V128" s="630"/>
      <c r="W128" s="630"/>
      <c r="X128" s="630"/>
      <c r="Y128" s="630"/>
      <c r="Z128" s="630"/>
      <c r="AA128" s="630"/>
      <c r="AB128" s="1">
        <f t="shared" si="77"/>
        <v>0</v>
      </c>
      <c r="AC128" s="357" t="e">
        <f t="shared" si="78"/>
        <v>#DIV/0!</v>
      </c>
      <c r="AD128" s="864"/>
      <c r="AE128" s="865"/>
      <c r="AF128" s="865"/>
      <c r="AG128" s="866"/>
      <c r="AH128" s="866"/>
      <c r="AI128" s="867"/>
    </row>
    <row r="129" spans="1:35" x14ac:dyDescent="0.25">
      <c r="A129" s="638"/>
      <c r="C129" s="630"/>
      <c r="D129" s="630"/>
      <c r="E129" s="630"/>
      <c r="F129" s="630"/>
      <c r="G129" s="264">
        <f t="shared" si="73"/>
        <v>0</v>
      </c>
      <c r="H129" s="442">
        <f t="shared" si="74"/>
        <v>0</v>
      </c>
      <c r="J129" s="630"/>
      <c r="K129" s="630"/>
      <c r="L129" s="630"/>
      <c r="M129" s="630"/>
      <c r="N129" s="1">
        <f>IF(C129&gt;0,((J129*Setup_and_Criteria!$F$13)+('M1_1-15th'!K129*Setup_and_Criteria!$F$14)+('M1_1-15th'!L129*Setup_and_Criteria!$F$15)+('M1_1-15th'!M129*Setup_and_Criteria!$F$16)+Setup_and_Criteria!$J$16),0)</f>
        <v>0</v>
      </c>
      <c r="O129" s="442">
        <f t="shared" si="79"/>
        <v>0</v>
      </c>
      <c r="P129" s="443">
        <f t="shared" si="75"/>
        <v>0</v>
      </c>
      <c r="Q129" s="357" t="e">
        <f t="shared" si="76"/>
        <v>#DIV/0!</v>
      </c>
      <c r="R129" s="630"/>
      <c r="S129" s="630"/>
      <c r="T129" s="630"/>
      <c r="U129" s="630"/>
      <c r="V129" s="630"/>
      <c r="W129" s="630"/>
      <c r="X129" s="630"/>
      <c r="Y129" s="630"/>
      <c r="Z129" s="630"/>
      <c r="AA129" s="630"/>
      <c r="AB129" s="1">
        <f t="shared" si="77"/>
        <v>0</v>
      </c>
      <c r="AC129" s="357" t="e">
        <f t="shared" si="78"/>
        <v>#DIV/0!</v>
      </c>
      <c r="AD129" s="864"/>
      <c r="AE129" s="865"/>
      <c r="AF129" s="865"/>
      <c r="AG129" s="866"/>
      <c r="AH129" s="866"/>
      <c r="AI129" s="867"/>
    </row>
    <row r="130" spans="1:35" ht="15.75" thickBot="1" x14ac:dyDescent="0.3">
      <c r="A130" s="638"/>
      <c r="C130" s="370"/>
      <c r="D130" s="370"/>
      <c r="E130" s="630"/>
      <c r="F130" s="630"/>
      <c r="G130" s="264">
        <f t="shared" si="73"/>
        <v>0</v>
      </c>
      <c r="H130" s="442">
        <f t="shared" si="74"/>
        <v>0</v>
      </c>
      <c r="J130" s="371"/>
      <c r="K130" s="371"/>
      <c r="L130" s="371"/>
      <c r="M130" s="371"/>
      <c r="N130" s="358">
        <f>IF(C130&gt;0,((J130*Setup_and_Criteria!$F$13)+('M1_1-15th'!K130*Setup_and_Criteria!$F$14)+('M1_1-15th'!L130*Setup_and_Criteria!$F$15)+('M1_1-15th'!M130*Setup_and_Criteria!$F$16)+Setup_and_Criteria!$J$16),0)</f>
        <v>0</v>
      </c>
      <c r="O130" s="359">
        <f t="shared" si="79"/>
        <v>0</v>
      </c>
      <c r="P130" s="383">
        <f t="shared" si="75"/>
        <v>0</v>
      </c>
      <c r="Q130" s="360" t="e">
        <f t="shared" si="76"/>
        <v>#DIV/0!</v>
      </c>
      <c r="R130" s="511"/>
      <c r="S130" s="511"/>
      <c r="T130" s="511"/>
      <c r="U130" s="511"/>
      <c r="V130" s="511"/>
      <c r="W130" s="511"/>
      <c r="X130" s="511"/>
      <c r="Y130" s="511"/>
      <c r="Z130" s="511"/>
      <c r="AA130" s="511"/>
      <c r="AB130" s="1">
        <f t="shared" si="77"/>
        <v>0</v>
      </c>
      <c r="AC130" s="357" t="e">
        <f t="shared" si="78"/>
        <v>#DIV/0!</v>
      </c>
      <c r="AD130" s="864"/>
      <c r="AE130" s="865"/>
      <c r="AF130" s="865"/>
      <c r="AG130" s="866"/>
      <c r="AH130" s="866"/>
      <c r="AI130" s="867"/>
    </row>
    <row r="131" spans="1:35" ht="15.75" thickTop="1" x14ac:dyDescent="0.25">
      <c r="A131" s="58"/>
      <c r="H131" s="442">
        <f>SUM(H125:H130)</f>
        <v>0</v>
      </c>
      <c r="J131" s="1">
        <f>SUM(J125:J130)</f>
        <v>0</v>
      </c>
      <c r="K131" s="1">
        <f>SUM(K125:K130)</f>
        <v>0</v>
      </c>
      <c r="L131" s="1">
        <f>SUM(L125:L130)</f>
        <v>0</v>
      </c>
      <c r="M131" s="1">
        <f>SUM(M125:M130)</f>
        <v>0</v>
      </c>
      <c r="N131" s="1">
        <f>SUM(N125:N130)</f>
        <v>0</v>
      </c>
      <c r="O131" s="1">
        <f t="shared" si="79"/>
        <v>0</v>
      </c>
      <c r="P131" s="443">
        <f t="shared" si="75"/>
        <v>0</v>
      </c>
      <c r="Q131" s="357" t="e">
        <f t="shared" si="76"/>
        <v>#DIV/0!</v>
      </c>
      <c r="R131" s="1">
        <f t="shared" ref="R131:AA131" si="80">SUM(R125:R130)</f>
        <v>0</v>
      </c>
      <c r="S131" s="1">
        <f t="shared" si="80"/>
        <v>0</v>
      </c>
      <c r="T131" s="1">
        <f t="shared" si="80"/>
        <v>0</v>
      </c>
      <c r="U131" s="1">
        <f t="shared" si="80"/>
        <v>0</v>
      </c>
      <c r="V131" s="1">
        <f t="shared" si="80"/>
        <v>0</v>
      </c>
      <c r="W131" s="1">
        <f t="shared" si="80"/>
        <v>0</v>
      </c>
      <c r="X131" s="1">
        <f t="shared" si="80"/>
        <v>0</v>
      </c>
      <c r="Y131" s="1">
        <f t="shared" si="80"/>
        <v>0</v>
      </c>
      <c r="Z131" s="1">
        <f t="shared" si="80"/>
        <v>0</v>
      </c>
      <c r="AA131" s="1">
        <f t="shared" si="80"/>
        <v>0</v>
      </c>
      <c r="AB131" s="1">
        <f t="shared" si="77"/>
        <v>0</v>
      </c>
      <c r="AC131" s="357" t="e">
        <f t="shared" si="78"/>
        <v>#DIV/0!</v>
      </c>
      <c r="AD131" s="877"/>
      <c r="AE131" s="878"/>
      <c r="AF131" s="878"/>
      <c r="AG131" s="749"/>
      <c r="AH131" s="749"/>
      <c r="AI131" s="879"/>
    </row>
    <row r="132" spans="1:35" ht="21" customHeight="1" x14ac:dyDescent="0.35">
      <c r="A132" s="58"/>
      <c r="H132" s="442"/>
      <c r="N132" s="888" t="s">
        <v>145</v>
      </c>
      <c r="O132" s="888"/>
      <c r="P132" s="888"/>
      <c r="Q132" s="888"/>
      <c r="R132" s="431" t="s">
        <v>146</v>
      </c>
      <c r="S132" s="431"/>
      <c r="T132" s="431"/>
      <c r="U132" s="431"/>
      <c r="V132" s="431"/>
      <c r="W132" s="431"/>
      <c r="X132" s="431"/>
      <c r="Y132" s="431"/>
      <c r="Z132" s="431"/>
      <c r="AA132" s="431"/>
      <c r="AB132" s="431"/>
      <c r="AC132" s="431"/>
      <c r="AD132" s="880" t="s">
        <v>132</v>
      </c>
      <c r="AE132" s="881"/>
      <c r="AF132" s="881"/>
      <c r="AG132" s="881"/>
      <c r="AH132" s="881"/>
      <c r="AI132" s="882"/>
    </row>
    <row r="133" spans="1:35" ht="31.5" customHeight="1" x14ac:dyDescent="0.35">
      <c r="A133" s="617" t="s">
        <v>147</v>
      </c>
      <c r="C133" s="885" t="s">
        <v>128</v>
      </c>
      <c r="D133" s="885"/>
      <c r="E133" s="885"/>
      <c r="F133" s="885"/>
      <c r="H133" s="442"/>
      <c r="J133" s="444"/>
      <c r="K133" s="445" t="s">
        <v>35</v>
      </c>
      <c r="L133" s="445" t="s">
        <v>148</v>
      </c>
      <c r="N133" s="446" t="s">
        <v>149</v>
      </c>
      <c r="O133" s="447" t="s">
        <v>150</v>
      </c>
      <c r="P133" s="447" t="s">
        <v>138</v>
      </c>
      <c r="Q133" s="447" t="s">
        <v>151</v>
      </c>
      <c r="R133" s="749" t="s">
        <v>152</v>
      </c>
      <c r="S133" s="749"/>
      <c r="T133" s="883" t="s">
        <v>153</v>
      </c>
      <c r="U133" s="883"/>
      <c r="W133" s="425" t="s">
        <v>154</v>
      </c>
      <c r="X133" s="425"/>
      <c r="Y133" s="425"/>
      <c r="Z133" s="425"/>
      <c r="AA133" s="425"/>
      <c r="AB133" s="425"/>
      <c r="AC133" s="425"/>
      <c r="AD133" s="868" t="s">
        <v>160</v>
      </c>
      <c r="AE133" s="869"/>
      <c r="AF133" s="869"/>
      <c r="AG133" s="869"/>
      <c r="AH133" s="869"/>
      <c r="AI133" s="870"/>
    </row>
    <row r="134" spans="1:35" ht="18" customHeight="1" thickBot="1" x14ac:dyDescent="0.3">
      <c r="A134" s="639"/>
      <c r="B134" s="375"/>
      <c r="C134" s="372"/>
      <c r="D134" s="372"/>
      <c r="E134" s="372"/>
      <c r="F134" s="372"/>
      <c r="G134" s="366">
        <f>+(D134-C134)+(F134-E134)</f>
        <v>0</v>
      </c>
      <c r="H134" s="367">
        <f>+G134*1440</f>
        <v>0</v>
      </c>
      <c r="I134" s="859" t="s">
        <v>155</v>
      </c>
      <c r="J134" s="860"/>
      <c r="K134" s="373"/>
      <c r="L134" s="374"/>
      <c r="M134" s="423"/>
      <c r="N134" s="629">
        <f>+J131+L131+K131+K134+L134</f>
        <v>0</v>
      </c>
      <c r="O134" s="368">
        <f>+(Setup_and_Criteria!$K$31+(J131*Setup_and_Criteria!$F$20)+('M1_1-15th'!K131*Setup_and_Criteria!$F$21)+('M1_1-15th'!L131*Setup_and_Criteria!$F$20))+T134+(K134*Setup_and_Criteria!$F$21)+(Setup_and_Criteria!$F$22*'M1_1-15th'!L134)</f>
        <v>75</v>
      </c>
      <c r="P134" s="367">
        <f>+H134</f>
        <v>0</v>
      </c>
      <c r="Q134" s="367">
        <f>+O134-P134</f>
        <v>75</v>
      </c>
      <c r="R134" s="861" t="s">
        <v>252</v>
      </c>
      <c r="S134" s="861"/>
      <c r="T134" s="862"/>
      <c r="U134" s="863"/>
      <c r="V134" s="265" t="s">
        <v>156</v>
      </c>
      <c r="W134" s="854"/>
      <c r="X134" s="855"/>
      <c r="Y134" s="855"/>
      <c r="Z134" s="855"/>
      <c r="AA134" s="855"/>
      <c r="AB134" s="855"/>
      <c r="AC134" s="855"/>
      <c r="AD134" s="868"/>
      <c r="AE134" s="869"/>
      <c r="AF134" s="869"/>
      <c r="AG134" s="869"/>
      <c r="AH134" s="869"/>
      <c r="AI134" s="870"/>
    </row>
    <row r="135" spans="1:35" ht="15.75" thickBot="1" x14ac:dyDescent="0.3">
      <c r="A135" s="449" t="str">
        <f>+A122</f>
        <v>Password to enter data = "Enter Info"</v>
      </c>
      <c r="B135" s="450"/>
      <c r="C135" s="451"/>
      <c r="D135" s="451"/>
      <c r="E135" s="451"/>
      <c r="F135" s="451"/>
      <c r="G135" s="451"/>
      <c r="H135" s="451"/>
      <c r="I135" s="450"/>
      <c r="J135" s="451"/>
      <c r="K135" s="451"/>
      <c r="L135" s="451"/>
      <c r="M135" s="451"/>
      <c r="N135" s="451"/>
      <c r="O135" s="451"/>
      <c r="P135" s="451"/>
      <c r="Q135" s="450"/>
      <c r="R135" s="451"/>
      <c r="S135" s="451"/>
      <c r="T135" s="451"/>
      <c r="U135" s="451"/>
      <c r="V135" s="451"/>
      <c r="W135" s="451"/>
      <c r="X135" s="451"/>
      <c r="Y135" s="451"/>
      <c r="Z135" s="451"/>
      <c r="AA135" s="451"/>
      <c r="AB135" s="450"/>
      <c r="AC135" s="450"/>
      <c r="AD135" s="871"/>
      <c r="AE135" s="872"/>
      <c r="AF135" s="872"/>
      <c r="AG135" s="872"/>
      <c r="AH135" s="872"/>
      <c r="AI135" s="873"/>
    </row>
    <row r="136" spans="1:35" ht="35.25" customHeight="1" x14ac:dyDescent="0.4">
      <c r="A136" s="434" t="str">
        <f>+A123</f>
        <v>May</v>
      </c>
      <c r="B136" s="624">
        <f>+B123+1</f>
        <v>26</v>
      </c>
      <c r="C136" s="884" t="s">
        <v>128</v>
      </c>
      <c r="D136" s="884"/>
      <c r="E136" s="884"/>
      <c r="F136" s="884"/>
      <c r="G136" s="377"/>
      <c r="H136" s="377"/>
      <c r="I136" s="21"/>
      <c r="J136" s="874" t="s">
        <v>129</v>
      </c>
      <c r="K136" s="875"/>
      <c r="L136" s="875"/>
      <c r="M136" s="875"/>
      <c r="N136" s="876" t="s">
        <v>130</v>
      </c>
      <c r="O136" s="876"/>
      <c r="P136" s="876"/>
      <c r="Q136" s="876"/>
      <c r="R136" s="424" t="str">
        <f>+R123</f>
        <v xml:space="preserve"> Corrections Tracking - Check out rooms</v>
      </c>
      <c r="S136" s="424"/>
      <c r="T136" s="424"/>
      <c r="U136" s="424"/>
      <c r="V136" s="424"/>
      <c r="W136" s="424"/>
      <c r="X136" s="424"/>
      <c r="Y136" s="424"/>
      <c r="Z136" s="424"/>
      <c r="AA136" s="424"/>
      <c r="AB136" s="424"/>
      <c r="AC136" s="424"/>
      <c r="AD136" s="461" t="s">
        <v>132</v>
      </c>
      <c r="AE136" s="426"/>
      <c r="AF136" s="426"/>
      <c r="AG136" s="426"/>
      <c r="AH136" s="426"/>
      <c r="AI136" s="427"/>
    </row>
    <row r="137" spans="1:35" ht="59.25" customHeight="1" x14ac:dyDescent="0.25">
      <c r="A137" s="378" t="s">
        <v>133</v>
      </c>
      <c r="C137" s="435" t="s">
        <v>134</v>
      </c>
      <c r="D137" s="435" t="s">
        <v>135</v>
      </c>
      <c r="E137" s="435" t="s">
        <v>134</v>
      </c>
      <c r="F137" s="435" t="s">
        <v>135</v>
      </c>
      <c r="G137" s="1" t="s">
        <v>136</v>
      </c>
      <c r="H137" s="1" t="s">
        <v>108</v>
      </c>
      <c r="I137" s="436"/>
      <c r="J137" s="437" t="str">
        <f>+Setup_and_Criteria!$B$13</f>
        <v>Checkouts</v>
      </c>
      <c r="K137" s="437" t="str">
        <f>+Setup_and_Criteria!$B$14</f>
        <v>Pet Rooms</v>
      </c>
      <c r="L137" s="437" t="str">
        <f>+Setup_and_Criteria!$B$15</f>
        <v>2 Rm &amp; Jac Stes</v>
      </c>
      <c r="M137" s="438" t="str">
        <f>+Setup_and_Criteria!$B$16</f>
        <v>Stayovers</v>
      </c>
      <c r="N137" s="269" t="s">
        <v>137</v>
      </c>
      <c r="O137" s="269" t="s">
        <v>138</v>
      </c>
      <c r="P137" s="439" t="s">
        <v>139</v>
      </c>
      <c r="Q137" s="439" t="s">
        <v>140</v>
      </c>
      <c r="R137" s="440" t="str">
        <f>+Corrections!$C$8</f>
        <v>Vanity</v>
      </c>
      <c r="S137" s="440" t="str">
        <f>+Corrections!$I$8</f>
        <v>Toilet</v>
      </c>
      <c r="T137" s="440" t="str">
        <f>+Corrections!$O$8</f>
        <v>Bed/Pillows</v>
      </c>
      <c r="U137" s="440" t="str">
        <f>+Corrections!$U$8</f>
        <v>Floor</v>
      </c>
      <c r="V137" s="440" t="str">
        <f>+Corrections!$AA$8</f>
        <v>Dusting</v>
      </c>
      <c r="W137" s="440" t="str">
        <f>+Corrections!$AG$8</f>
        <v>Fridge/Micro</v>
      </c>
      <c r="X137" s="440" t="str">
        <f>+Corrections!$AM$8</f>
        <v>Tub</v>
      </c>
      <c r="Y137" s="441" t="str">
        <f>+Corrections!$AS$8</f>
        <v>Mirrors/Glass</v>
      </c>
      <c r="Z137" s="440" t="str">
        <f>+Corrections!$AY$8</f>
        <v>Stocking</v>
      </c>
      <c r="AA137" s="440" t="str">
        <f>+Corrections!$BE$8</f>
        <v>Other</v>
      </c>
      <c r="AB137" s="269" t="s">
        <v>141</v>
      </c>
      <c r="AC137" s="269" t="str">
        <f>+$AC$7</f>
        <v>Daily Corr / Inspected Checkout</v>
      </c>
      <c r="AD137" s="889" t="s">
        <v>143</v>
      </c>
      <c r="AE137" s="890"/>
      <c r="AF137" s="890"/>
      <c r="AG137" s="890"/>
      <c r="AH137" s="890"/>
      <c r="AI137" s="891"/>
    </row>
    <row r="138" spans="1:35" x14ac:dyDescent="0.25">
      <c r="A138" s="638"/>
      <c r="C138" s="369"/>
      <c r="D138" s="369"/>
      <c r="E138" s="369"/>
      <c r="F138" s="369"/>
      <c r="G138" s="264">
        <f t="shared" ref="G138:G143" si="81">+(D138-C138)+(F138-E138)</f>
        <v>0</v>
      </c>
      <c r="H138" s="442">
        <f t="shared" ref="H138:H143" si="82">+G138*1440</f>
        <v>0</v>
      </c>
      <c r="J138" s="630"/>
      <c r="K138" s="630"/>
      <c r="L138" s="630"/>
      <c r="M138" s="630"/>
      <c r="N138" s="1">
        <f>IF(C138&gt;0,((J138*Setup_and_Criteria!$F$13)+('M1_1-15th'!K138*Setup_and_Criteria!$F$14)+('M1_1-15th'!L138*Setup_and_Criteria!$F$15)+('M1_1-15th'!M138*Setup_and_Criteria!$F$16)+Setup_and_Criteria!$J$16),0)</f>
        <v>0</v>
      </c>
      <c r="O138" s="442">
        <f t="shared" ref="O138:O141" si="83">+H138</f>
        <v>0</v>
      </c>
      <c r="P138" s="443">
        <f t="shared" ref="P138:P144" si="84">+N138-O138</f>
        <v>0</v>
      </c>
      <c r="Q138" s="357" t="e">
        <f t="shared" ref="Q138:Q144" si="85">O138/_xlfn.SINGLE(SUM(J138:M138))</f>
        <v>#DIV/0!</v>
      </c>
      <c r="R138" s="630"/>
      <c r="S138" s="630"/>
      <c r="T138" s="630"/>
      <c r="U138" s="630"/>
      <c r="V138" s="630"/>
      <c r="W138" s="630"/>
      <c r="X138" s="630"/>
      <c r="Y138" s="630"/>
      <c r="Z138" s="630"/>
      <c r="AA138" s="630"/>
      <c r="AB138" s="1">
        <f t="shared" ref="AB138:AB144" si="86">SUM(R138:AA138)</f>
        <v>0</v>
      </c>
      <c r="AC138" s="357" t="e">
        <f t="shared" ref="AC138:AC144" si="87">+AB138/(J138+K138+L138)</f>
        <v>#DIV/0!</v>
      </c>
      <c r="AD138" s="864" t="s">
        <v>144</v>
      </c>
      <c r="AE138" s="865"/>
      <c r="AF138" s="865"/>
      <c r="AG138" s="866"/>
      <c r="AH138" s="866"/>
      <c r="AI138" s="867"/>
    </row>
    <row r="139" spans="1:35" x14ac:dyDescent="0.25">
      <c r="A139" s="638"/>
      <c r="C139" s="630"/>
      <c r="D139" s="630"/>
      <c r="E139" s="630"/>
      <c r="F139" s="630"/>
      <c r="G139" s="264">
        <f t="shared" si="81"/>
        <v>0</v>
      </c>
      <c r="H139" s="442">
        <f t="shared" si="82"/>
        <v>0</v>
      </c>
      <c r="J139" s="630"/>
      <c r="K139" s="630"/>
      <c r="L139" s="630"/>
      <c r="M139" s="630"/>
      <c r="N139" s="1">
        <f>IF(C139&gt;0,((J139*Setup_and_Criteria!$F$13)+('M1_1-15th'!K139*Setup_and_Criteria!$F$14)+('M1_1-15th'!L139*Setup_and_Criteria!$F$15)+('M1_1-15th'!M139*Setup_and_Criteria!$F$16)+Setup_and_Criteria!$J$16),0)</f>
        <v>0</v>
      </c>
      <c r="O139" s="442">
        <f t="shared" si="83"/>
        <v>0</v>
      </c>
      <c r="P139" s="443">
        <f t="shared" si="84"/>
        <v>0</v>
      </c>
      <c r="Q139" s="357" t="e">
        <f t="shared" si="85"/>
        <v>#DIV/0!</v>
      </c>
      <c r="R139" s="630"/>
      <c r="S139" s="630"/>
      <c r="T139" s="630"/>
      <c r="U139" s="630"/>
      <c r="V139" s="630"/>
      <c r="W139" s="630"/>
      <c r="X139" s="630"/>
      <c r="Y139" s="630"/>
      <c r="Z139" s="630"/>
      <c r="AA139" s="630"/>
      <c r="AB139" s="1">
        <f t="shared" si="86"/>
        <v>0</v>
      </c>
      <c r="AC139" s="357" t="e">
        <f t="shared" si="87"/>
        <v>#DIV/0!</v>
      </c>
      <c r="AD139" s="864"/>
      <c r="AE139" s="865"/>
      <c r="AF139" s="865"/>
      <c r="AG139" s="866"/>
      <c r="AH139" s="866"/>
      <c r="AI139" s="867"/>
    </row>
    <row r="140" spans="1:35" x14ac:dyDescent="0.25">
      <c r="A140" s="638"/>
      <c r="C140" s="630"/>
      <c r="D140" s="630"/>
      <c r="E140" s="630"/>
      <c r="F140" s="630"/>
      <c r="G140" s="264">
        <f t="shared" si="81"/>
        <v>0</v>
      </c>
      <c r="H140" s="442">
        <f t="shared" si="82"/>
        <v>0</v>
      </c>
      <c r="J140" s="630"/>
      <c r="K140" s="630"/>
      <c r="L140" s="630"/>
      <c r="M140" s="630"/>
      <c r="N140" s="1">
        <f>IF(C140&gt;0,((J140*Setup_and_Criteria!$F$13)+('M1_1-15th'!K140*Setup_and_Criteria!$F$14)+('M1_1-15th'!L140*Setup_and_Criteria!$F$15)+('M1_1-15th'!M140*Setup_and_Criteria!$F$16)+Setup_and_Criteria!$J$16),0)</f>
        <v>0</v>
      </c>
      <c r="O140" s="442">
        <f t="shared" si="83"/>
        <v>0</v>
      </c>
      <c r="P140" s="443">
        <f t="shared" si="84"/>
        <v>0</v>
      </c>
      <c r="Q140" s="357" t="e">
        <f t="shared" si="85"/>
        <v>#DIV/0!</v>
      </c>
      <c r="R140" s="630"/>
      <c r="S140" s="630"/>
      <c r="T140" s="630"/>
      <c r="U140" s="630"/>
      <c r="V140" s="630"/>
      <c r="W140" s="630"/>
      <c r="X140" s="630"/>
      <c r="Y140" s="630"/>
      <c r="Z140" s="630"/>
      <c r="AA140" s="630"/>
      <c r="AB140" s="1">
        <f t="shared" si="86"/>
        <v>0</v>
      </c>
      <c r="AC140" s="357" t="e">
        <f t="shared" si="87"/>
        <v>#DIV/0!</v>
      </c>
      <c r="AD140" s="864"/>
      <c r="AE140" s="865"/>
      <c r="AF140" s="865"/>
      <c r="AG140" s="866"/>
      <c r="AH140" s="866"/>
      <c r="AI140" s="867"/>
    </row>
    <row r="141" spans="1:35" x14ac:dyDescent="0.25">
      <c r="A141" s="638"/>
      <c r="C141" s="630"/>
      <c r="D141" s="630"/>
      <c r="E141" s="630"/>
      <c r="F141" s="630"/>
      <c r="G141" s="264">
        <f t="shared" si="81"/>
        <v>0</v>
      </c>
      <c r="H141" s="442">
        <f t="shared" si="82"/>
        <v>0</v>
      </c>
      <c r="J141" s="630"/>
      <c r="K141" s="630"/>
      <c r="L141" s="630"/>
      <c r="M141" s="630"/>
      <c r="N141" s="1">
        <f>IF(C141&gt;0,((J141*Setup_and_Criteria!$F$13)+('M1_1-15th'!K141*Setup_and_Criteria!$F$14)+('M1_1-15th'!L141*Setup_and_Criteria!$F$15)+('M1_1-15th'!M141*Setup_and_Criteria!$F$16)+Setup_and_Criteria!$J$16),0)</f>
        <v>0</v>
      </c>
      <c r="O141" s="442">
        <f t="shared" si="83"/>
        <v>0</v>
      </c>
      <c r="P141" s="443">
        <f t="shared" si="84"/>
        <v>0</v>
      </c>
      <c r="Q141" s="357" t="e">
        <f t="shared" si="85"/>
        <v>#DIV/0!</v>
      </c>
      <c r="R141" s="630"/>
      <c r="S141" s="630"/>
      <c r="T141" s="630"/>
      <c r="U141" s="630"/>
      <c r="V141" s="630"/>
      <c r="W141" s="630"/>
      <c r="X141" s="630"/>
      <c r="Y141" s="630"/>
      <c r="Z141" s="630"/>
      <c r="AA141" s="630"/>
      <c r="AB141" s="1">
        <f t="shared" si="86"/>
        <v>0</v>
      </c>
      <c r="AC141" s="357" t="e">
        <f t="shared" si="87"/>
        <v>#DIV/0!</v>
      </c>
      <c r="AD141" s="864"/>
      <c r="AE141" s="865"/>
      <c r="AF141" s="865"/>
      <c r="AG141" s="866"/>
      <c r="AH141" s="866"/>
      <c r="AI141" s="867"/>
    </row>
    <row r="142" spans="1:35" x14ac:dyDescent="0.25">
      <c r="A142" s="638"/>
      <c r="C142" s="630"/>
      <c r="D142" s="630"/>
      <c r="E142" s="630"/>
      <c r="F142" s="630"/>
      <c r="G142" s="264">
        <f t="shared" si="81"/>
        <v>0</v>
      </c>
      <c r="H142" s="442">
        <f t="shared" si="82"/>
        <v>0</v>
      </c>
      <c r="J142" s="630"/>
      <c r="K142" s="630"/>
      <c r="L142" s="630"/>
      <c r="M142" s="630"/>
      <c r="N142" s="1">
        <f>IF(C142&gt;0,((J142*Setup_and_Criteria!$F$13)+('M1_1-15th'!K142*Setup_and_Criteria!$F$14)+('M1_1-15th'!L142*Setup_and_Criteria!$F$15)+('M1_1-15th'!M142*Setup_and_Criteria!$F$16)+Setup_and_Criteria!$J$16),0)</f>
        <v>0</v>
      </c>
      <c r="O142" s="442">
        <f t="shared" ref="O142:O144" si="88">+H142</f>
        <v>0</v>
      </c>
      <c r="P142" s="443">
        <f t="shared" si="84"/>
        <v>0</v>
      </c>
      <c r="Q142" s="357" t="e">
        <f t="shared" si="85"/>
        <v>#DIV/0!</v>
      </c>
      <c r="R142" s="630"/>
      <c r="S142" s="630"/>
      <c r="T142" s="630"/>
      <c r="U142" s="630"/>
      <c r="V142" s="630"/>
      <c r="W142" s="630"/>
      <c r="X142" s="630"/>
      <c r="Y142" s="630"/>
      <c r="Z142" s="630"/>
      <c r="AA142" s="630"/>
      <c r="AB142" s="1">
        <f t="shared" si="86"/>
        <v>0</v>
      </c>
      <c r="AC142" s="357" t="e">
        <f t="shared" si="87"/>
        <v>#DIV/0!</v>
      </c>
      <c r="AD142" s="864"/>
      <c r="AE142" s="865"/>
      <c r="AF142" s="865"/>
      <c r="AG142" s="866"/>
      <c r="AH142" s="866"/>
      <c r="AI142" s="867"/>
    </row>
    <row r="143" spans="1:35" ht="15.75" thickBot="1" x14ac:dyDescent="0.3">
      <c r="A143" s="638"/>
      <c r="C143" s="370"/>
      <c r="D143" s="370"/>
      <c r="E143" s="630"/>
      <c r="F143" s="630"/>
      <c r="G143" s="264">
        <f t="shared" si="81"/>
        <v>0</v>
      </c>
      <c r="H143" s="442">
        <f t="shared" si="82"/>
        <v>0</v>
      </c>
      <c r="J143" s="371"/>
      <c r="K143" s="371"/>
      <c r="L143" s="371"/>
      <c r="M143" s="371"/>
      <c r="N143" s="358">
        <f>IF(C143&gt;0,((J143*Setup_and_Criteria!$F$13)+('M1_1-15th'!K143*Setup_and_Criteria!$F$14)+('M1_1-15th'!L143*Setup_and_Criteria!$F$15)+('M1_1-15th'!M143*Setup_and_Criteria!$F$16)+Setup_and_Criteria!$J$16),0)</f>
        <v>0</v>
      </c>
      <c r="O143" s="359">
        <f t="shared" si="88"/>
        <v>0</v>
      </c>
      <c r="P143" s="383">
        <f t="shared" si="84"/>
        <v>0</v>
      </c>
      <c r="Q143" s="360" t="e">
        <f t="shared" si="85"/>
        <v>#DIV/0!</v>
      </c>
      <c r="R143" s="511"/>
      <c r="S143" s="511"/>
      <c r="T143" s="511"/>
      <c r="U143" s="511"/>
      <c r="V143" s="511"/>
      <c r="W143" s="511"/>
      <c r="X143" s="511"/>
      <c r="Y143" s="511"/>
      <c r="Z143" s="511"/>
      <c r="AA143" s="511"/>
      <c r="AB143" s="1">
        <f t="shared" si="86"/>
        <v>0</v>
      </c>
      <c r="AC143" s="357" t="e">
        <f t="shared" si="87"/>
        <v>#DIV/0!</v>
      </c>
      <c r="AD143" s="864"/>
      <c r="AE143" s="865"/>
      <c r="AF143" s="865"/>
      <c r="AG143" s="866"/>
      <c r="AH143" s="866"/>
      <c r="AI143" s="867"/>
    </row>
    <row r="144" spans="1:35" ht="15.75" thickTop="1" x14ac:dyDescent="0.25">
      <c r="A144" s="58"/>
      <c r="H144" s="442">
        <f>SUM(H138:H143)</f>
        <v>0</v>
      </c>
      <c r="J144" s="1">
        <f>SUM(J138:J143)</f>
        <v>0</v>
      </c>
      <c r="K144" s="1">
        <f>SUM(K138:K143)</f>
        <v>0</v>
      </c>
      <c r="L144" s="1">
        <f>SUM(L138:L143)</f>
        <v>0</v>
      </c>
      <c r="M144" s="1">
        <f>SUM(M138:M143)</f>
        <v>0</v>
      </c>
      <c r="N144" s="1">
        <f>SUM(N138:N143)</f>
        <v>0</v>
      </c>
      <c r="O144" s="1">
        <f t="shared" si="88"/>
        <v>0</v>
      </c>
      <c r="P144" s="443">
        <f t="shared" si="84"/>
        <v>0</v>
      </c>
      <c r="Q144" s="357" t="e">
        <f t="shared" si="85"/>
        <v>#DIV/0!</v>
      </c>
      <c r="R144" s="1">
        <f t="shared" ref="R144:AA144" si="89">SUM(R138:R143)</f>
        <v>0</v>
      </c>
      <c r="S144" s="1">
        <f t="shared" si="89"/>
        <v>0</v>
      </c>
      <c r="T144" s="1">
        <f t="shared" si="89"/>
        <v>0</v>
      </c>
      <c r="U144" s="1">
        <f t="shared" si="89"/>
        <v>0</v>
      </c>
      <c r="V144" s="1">
        <f t="shared" si="89"/>
        <v>0</v>
      </c>
      <c r="W144" s="1">
        <f t="shared" si="89"/>
        <v>0</v>
      </c>
      <c r="X144" s="1">
        <f t="shared" si="89"/>
        <v>0</v>
      </c>
      <c r="Y144" s="1">
        <f t="shared" si="89"/>
        <v>0</v>
      </c>
      <c r="Z144" s="1">
        <f t="shared" si="89"/>
        <v>0</v>
      </c>
      <c r="AA144" s="1">
        <f t="shared" si="89"/>
        <v>0</v>
      </c>
      <c r="AB144" s="1">
        <f t="shared" si="86"/>
        <v>0</v>
      </c>
      <c r="AC144" s="357" t="e">
        <f t="shared" si="87"/>
        <v>#DIV/0!</v>
      </c>
      <c r="AD144" s="877"/>
      <c r="AE144" s="878"/>
      <c r="AF144" s="878"/>
      <c r="AG144" s="749"/>
      <c r="AH144" s="749"/>
      <c r="AI144" s="879"/>
    </row>
    <row r="145" spans="1:35" ht="21" customHeight="1" x14ac:dyDescent="0.35">
      <c r="A145" s="58"/>
      <c r="H145" s="442"/>
      <c r="N145" s="888" t="s">
        <v>145</v>
      </c>
      <c r="O145" s="888"/>
      <c r="P145" s="888"/>
      <c r="Q145" s="888"/>
      <c r="R145" s="431" t="s">
        <v>146</v>
      </c>
      <c r="S145" s="431"/>
      <c r="T145" s="431"/>
      <c r="U145" s="431"/>
      <c r="V145" s="431"/>
      <c r="W145" s="431"/>
      <c r="X145" s="431"/>
      <c r="Y145" s="431"/>
      <c r="Z145" s="431"/>
      <c r="AA145" s="431"/>
      <c r="AB145" s="431"/>
      <c r="AC145" s="431"/>
      <c r="AD145" s="880" t="s">
        <v>132</v>
      </c>
      <c r="AE145" s="881"/>
      <c r="AF145" s="881"/>
      <c r="AG145" s="881"/>
      <c r="AH145" s="881"/>
      <c r="AI145" s="882"/>
    </row>
    <row r="146" spans="1:35" ht="31.5" customHeight="1" x14ac:dyDescent="0.35">
      <c r="A146" s="617" t="s">
        <v>147</v>
      </c>
      <c r="C146" s="885" t="s">
        <v>128</v>
      </c>
      <c r="D146" s="885"/>
      <c r="E146" s="885"/>
      <c r="F146" s="885"/>
      <c r="H146" s="442"/>
      <c r="J146" s="444"/>
      <c r="K146" s="445" t="s">
        <v>35</v>
      </c>
      <c r="L146" s="445" t="s">
        <v>148</v>
      </c>
      <c r="N146" s="446" t="s">
        <v>149</v>
      </c>
      <c r="O146" s="447" t="s">
        <v>150</v>
      </c>
      <c r="P146" s="447" t="s">
        <v>138</v>
      </c>
      <c r="Q146" s="447" t="s">
        <v>151</v>
      </c>
      <c r="R146" s="749" t="s">
        <v>152</v>
      </c>
      <c r="S146" s="749"/>
      <c r="T146" s="883" t="s">
        <v>153</v>
      </c>
      <c r="U146" s="883"/>
      <c r="W146" s="425" t="s">
        <v>154</v>
      </c>
      <c r="X146" s="425"/>
      <c r="Y146" s="425"/>
      <c r="Z146" s="425"/>
      <c r="AA146" s="425"/>
      <c r="AB146" s="425"/>
      <c r="AC146" s="425"/>
      <c r="AD146" s="868" t="s">
        <v>160</v>
      </c>
      <c r="AE146" s="869"/>
      <c r="AF146" s="869"/>
      <c r="AG146" s="869"/>
      <c r="AH146" s="869"/>
      <c r="AI146" s="870"/>
    </row>
    <row r="147" spans="1:35" ht="18" customHeight="1" thickBot="1" x14ac:dyDescent="0.3">
      <c r="A147" s="639"/>
      <c r="B147" s="375"/>
      <c r="C147" s="372"/>
      <c r="D147" s="372"/>
      <c r="E147" s="372"/>
      <c r="F147" s="372"/>
      <c r="G147" s="366">
        <f>+(D147-C147)+(F147-E147)</f>
        <v>0</v>
      </c>
      <c r="H147" s="367">
        <f>+G147*1440</f>
        <v>0</v>
      </c>
      <c r="I147" s="859" t="s">
        <v>155</v>
      </c>
      <c r="J147" s="860"/>
      <c r="K147" s="373"/>
      <c r="L147" s="374"/>
      <c r="M147" s="423"/>
      <c r="N147" s="629">
        <f>+J144+L144+K144+K147+L147</f>
        <v>0</v>
      </c>
      <c r="O147" s="368">
        <f>+(Setup_and_Criteria!$K$31+(J144*Setup_and_Criteria!$F$20)+('M1_1-15th'!K144*Setup_and_Criteria!$F$21)+('M1_1-15th'!L144*Setup_and_Criteria!$F$20))+T147+(K147*Setup_and_Criteria!$F$21)+(Setup_and_Criteria!$F$22*'M1_1-15th'!L147)</f>
        <v>75</v>
      </c>
      <c r="P147" s="367">
        <f>+H147</f>
        <v>0</v>
      </c>
      <c r="Q147" s="367">
        <f>+O147-P147</f>
        <v>75</v>
      </c>
      <c r="R147" s="861" t="s">
        <v>252</v>
      </c>
      <c r="S147" s="861"/>
      <c r="T147" s="862"/>
      <c r="U147" s="863"/>
      <c r="V147" s="265" t="s">
        <v>156</v>
      </c>
      <c r="W147" s="854"/>
      <c r="X147" s="855"/>
      <c r="Y147" s="855"/>
      <c r="Z147" s="855"/>
      <c r="AA147" s="855"/>
      <c r="AB147" s="855"/>
      <c r="AC147" s="855"/>
      <c r="AD147" s="868"/>
      <c r="AE147" s="869"/>
      <c r="AF147" s="869"/>
      <c r="AG147" s="869"/>
      <c r="AH147" s="869"/>
      <c r="AI147" s="870"/>
    </row>
    <row r="148" spans="1:35" ht="15.75" thickBot="1" x14ac:dyDescent="0.3">
      <c r="A148" s="449" t="str">
        <f>+A135</f>
        <v>Password to enter data = "Enter Info"</v>
      </c>
      <c r="B148" s="450"/>
      <c r="C148" s="451"/>
      <c r="D148" s="451"/>
      <c r="E148" s="451"/>
      <c r="F148" s="451"/>
      <c r="G148" s="451"/>
      <c r="H148" s="451"/>
      <c r="I148" s="450"/>
      <c r="J148" s="451"/>
      <c r="K148" s="451"/>
      <c r="L148" s="451"/>
      <c r="M148" s="451"/>
      <c r="N148" s="451"/>
      <c r="O148" s="451"/>
      <c r="P148" s="451"/>
      <c r="Q148" s="450"/>
      <c r="R148" s="451"/>
      <c r="S148" s="451"/>
      <c r="T148" s="451"/>
      <c r="U148" s="451"/>
      <c r="V148" s="451"/>
      <c r="W148" s="451"/>
      <c r="X148" s="451"/>
      <c r="Y148" s="451"/>
      <c r="Z148" s="451"/>
      <c r="AA148" s="451"/>
      <c r="AB148" s="450"/>
      <c r="AC148" s="450"/>
      <c r="AD148" s="871"/>
      <c r="AE148" s="872"/>
      <c r="AF148" s="872"/>
      <c r="AG148" s="872"/>
      <c r="AH148" s="872"/>
      <c r="AI148" s="873"/>
    </row>
    <row r="149" spans="1:35" ht="35.25" customHeight="1" x14ac:dyDescent="0.4">
      <c r="A149" s="434" t="str">
        <f>+A136</f>
        <v>May</v>
      </c>
      <c r="B149" s="624">
        <f>+B136+1</f>
        <v>27</v>
      </c>
      <c r="C149" s="884" t="s">
        <v>128</v>
      </c>
      <c r="D149" s="884"/>
      <c r="E149" s="884"/>
      <c r="F149" s="884"/>
      <c r="G149" s="377"/>
      <c r="H149" s="377"/>
      <c r="I149" s="21"/>
      <c r="J149" s="874" t="s">
        <v>129</v>
      </c>
      <c r="K149" s="875"/>
      <c r="L149" s="875"/>
      <c r="M149" s="875"/>
      <c r="N149" s="876" t="s">
        <v>130</v>
      </c>
      <c r="O149" s="876"/>
      <c r="P149" s="876"/>
      <c r="Q149" s="876"/>
      <c r="R149" s="424" t="str">
        <f>+R136</f>
        <v xml:space="preserve"> Corrections Tracking - Check out rooms</v>
      </c>
      <c r="S149" s="424"/>
      <c r="T149" s="424"/>
      <c r="U149" s="424"/>
      <c r="V149" s="424"/>
      <c r="W149" s="424"/>
      <c r="X149" s="424"/>
      <c r="Y149" s="424"/>
      <c r="Z149" s="424"/>
      <c r="AA149" s="424"/>
      <c r="AB149" s="424"/>
      <c r="AC149" s="424"/>
      <c r="AD149" s="461" t="s">
        <v>132</v>
      </c>
      <c r="AE149" s="426"/>
      <c r="AF149" s="426"/>
      <c r="AG149" s="426"/>
      <c r="AH149" s="426"/>
      <c r="AI149" s="427"/>
    </row>
    <row r="150" spans="1:35" ht="59.25" customHeight="1" x14ac:dyDescent="0.25">
      <c r="A150" s="378" t="s">
        <v>133</v>
      </c>
      <c r="C150" s="435" t="s">
        <v>134</v>
      </c>
      <c r="D150" s="435" t="s">
        <v>135</v>
      </c>
      <c r="E150" s="435" t="s">
        <v>134</v>
      </c>
      <c r="F150" s="435" t="s">
        <v>135</v>
      </c>
      <c r="G150" s="1" t="s">
        <v>136</v>
      </c>
      <c r="H150" s="1" t="s">
        <v>108</v>
      </c>
      <c r="I150" s="436"/>
      <c r="J150" s="437" t="str">
        <f>+Setup_and_Criteria!$B$13</f>
        <v>Checkouts</v>
      </c>
      <c r="K150" s="437" t="str">
        <f>+Setup_and_Criteria!$B$14</f>
        <v>Pet Rooms</v>
      </c>
      <c r="L150" s="437" t="str">
        <f>+Setup_and_Criteria!$B$15</f>
        <v>2 Rm &amp; Jac Stes</v>
      </c>
      <c r="M150" s="438" t="str">
        <f>+Setup_and_Criteria!$B$16</f>
        <v>Stayovers</v>
      </c>
      <c r="N150" s="269" t="s">
        <v>137</v>
      </c>
      <c r="O150" s="269" t="s">
        <v>138</v>
      </c>
      <c r="P150" s="439" t="s">
        <v>139</v>
      </c>
      <c r="Q150" s="439" t="s">
        <v>140</v>
      </c>
      <c r="R150" s="440" t="str">
        <f>+Corrections!$C$8</f>
        <v>Vanity</v>
      </c>
      <c r="S150" s="440" t="str">
        <f>+Corrections!$I$8</f>
        <v>Toilet</v>
      </c>
      <c r="T150" s="440" t="str">
        <f>+Corrections!$O$8</f>
        <v>Bed/Pillows</v>
      </c>
      <c r="U150" s="440" t="str">
        <f>+Corrections!$U$8</f>
        <v>Floor</v>
      </c>
      <c r="V150" s="440" t="str">
        <f>+Corrections!$AA$8</f>
        <v>Dusting</v>
      </c>
      <c r="W150" s="440" t="str">
        <f>+Corrections!$AG$8</f>
        <v>Fridge/Micro</v>
      </c>
      <c r="X150" s="440" t="str">
        <f>+Corrections!$AM$8</f>
        <v>Tub</v>
      </c>
      <c r="Y150" s="441" t="str">
        <f>+Corrections!$AS$8</f>
        <v>Mirrors/Glass</v>
      </c>
      <c r="Z150" s="440" t="str">
        <f>+Corrections!$AY$8</f>
        <v>Stocking</v>
      </c>
      <c r="AA150" s="440" t="str">
        <f>+Corrections!$BE$8</f>
        <v>Other</v>
      </c>
      <c r="AB150" s="269" t="s">
        <v>141</v>
      </c>
      <c r="AC150" s="269" t="str">
        <f>+$AC$7</f>
        <v>Daily Corr / Inspected Checkout</v>
      </c>
      <c r="AD150" s="889" t="s">
        <v>143</v>
      </c>
      <c r="AE150" s="890"/>
      <c r="AF150" s="890"/>
      <c r="AG150" s="890"/>
      <c r="AH150" s="890"/>
      <c r="AI150" s="891"/>
    </row>
    <row r="151" spans="1:35" x14ac:dyDescent="0.25">
      <c r="A151" s="638"/>
      <c r="C151" s="369"/>
      <c r="D151" s="369"/>
      <c r="E151" s="369"/>
      <c r="F151" s="369"/>
      <c r="G151" s="264">
        <f t="shared" ref="G151:G156" si="90">+(D151-C151)+(F151-E151)</f>
        <v>0</v>
      </c>
      <c r="H151" s="442">
        <f t="shared" ref="H151:H156" si="91">+G151*1440</f>
        <v>0</v>
      </c>
      <c r="J151" s="630"/>
      <c r="K151" s="630"/>
      <c r="L151" s="630"/>
      <c r="M151" s="630"/>
      <c r="N151" s="1">
        <f>IF(C151&gt;0,((J151*Setup_and_Criteria!$F$13)+('M1_1-15th'!K151*Setup_and_Criteria!$F$14)+('M1_1-15th'!L151*Setup_and_Criteria!$F$15)+('M1_1-15th'!M151*Setup_and_Criteria!$F$16)+Setup_and_Criteria!$J$16),0)</f>
        <v>0</v>
      </c>
      <c r="O151" s="442">
        <f>+H151</f>
        <v>0</v>
      </c>
      <c r="P151" s="443">
        <f t="shared" ref="P151:P157" si="92">+N151-O151</f>
        <v>0</v>
      </c>
      <c r="Q151" s="357" t="e">
        <f t="shared" ref="Q151:Q157" si="93">O151/_xlfn.SINGLE(SUM(J151:M151))</f>
        <v>#DIV/0!</v>
      </c>
      <c r="R151" s="630"/>
      <c r="S151" s="630"/>
      <c r="T151" s="630"/>
      <c r="U151" s="630"/>
      <c r="V151" s="630"/>
      <c r="W151" s="630"/>
      <c r="X151" s="630"/>
      <c r="Y151" s="630"/>
      <c r="Z151" s="630"/>
      <c r="AA151" s="630"/>
      <c r="AB151" s="1">
        <f t="shared" ref="AB151:AB157" si="94">SUM(R151:AA151)</f>
        <v>0</v>
      </c>
      <c r="AC151" s="357" t="e">
        <f t="shared" ref="AC151:AC157" si="95">+AB151/(J151+K151+L151)</f>
        <v>#DIV/0!</v>
      </c>
      <c r="AD151" s="864" t="s">
        <v>144</v>
      </c>
      <c r="AE151" s="865"/>
      <c r="AF151" s="865"/>
      <c r="AG151" s="866"/>
      <c r="AH151" s="866"/>
      <c r="AI151" s="867"/>
    </row>
    <row r="152" spans="1:35" x14ac:dyDescent="0.25">
      <c r="A152" s="638"/>
      <c r="C152" s="630"/>
      <c r="D152" s="630"/>
      <c r="E152" s="630"/>
      <c r="F152" s="630"/>
      <c r="G152" s="264">
        <f t="shared" si="90"/>
        <v>0</v>
      </c>
      <c r="H152" s="442">
        <f t="shared" si="91"/>
        <v>0</v>
      </c>
      <c r="J152" s="630"/>
      <c r="K152" s="630"/>
      <c r="L152" s="630"/>
      <c r="M152" s="630"/>
      <c r="N152" s="1">
        <f>IF(C152&gt;0,((J152*Setup_and_Criteria!$F$13)+('M1_1-15th'!K152*Setup_and_Criteria!$F$14)+('M1_1-15th'!L152*Setup_and_Criteria!$F$15)+('M1_1-15th'!M152*Setup_and_Criteria!$F$16)+Setup_and_Criteria!$J$16),0)</f>
        <v>0</v>
      </c>
      <c r="O152" s="442">
        <f t="shared" ref="O152:O157" si="96">+H152</f>
        <v>0</v>
      </c>
      <c r="P152" s="443">
        <f t="shared" si="92"/>
        <v>0</v>
      </c>
      <c r="Q152" s="357" t="e">
        <f t="shared" si="93"/>
        <v>#DIV/0!</v>
      </c>
      <c r="R152" s="630"/>
      <c r="S152" s="630"/>
      <c r="T152" s="630"/>
      <c r="U152" s="630"/>
      <c r="V152" s="630"/>
      <c r="W152" s="630"/>
      <c r="X152" s="630"/>
      <c r="Y152" s="630"/>
      <c r="Z152" s="630"/>
      <c r="AA152" s="630"/>
      <c r="AB152" s="1">
        <f t="shared" si="94"/>
        <v>0</v>
      </c>
      <c r="AC152" s="357" t="e">
        <f t="shared" si="95"/>
        <v>#DIV/0!</v>
      </c>
      <c r="AD152" s="864"/>
      <c r="AE152" s="865"/>
      <c r="AF152" s="865"/>
      <c r="AG152" s="866"/>
      <c r="AH152" s="866"/>
      <c r="AI152" s="867"/>
    </row>
    <row r="153" spans="1:35" x14ac:dyDescent="0.25">
      <c r="A153" s="638"/>
      <c r="C153" s="630"/>
      <c r="D153" s="630"/>
      <c r="E153" s="630"/>
      <c r="F153" s="630"/>
      <c r="G153" s="264">
        <f t="shared" si="90"/>
        <v>0</v>
      </c>
      <c r="H153" s="442">
        <f t="shared" si="91"/>
        <v>0</v>
      </c>
      <c r="J153" s="630"/>
      <c r="K153" s="630"/>
      <c r="L153" s="630"/>
      <c r="M153" s="630"/>
      <c r="N153" s="1">
        <f>IF(C153&gt;0,((J153*Setup_and_Criteria!$F$13)+('M1_1-15th'!K153*Setup_and_Criteria!$F$14)+('M1_1-15th'!L153*Setup_and_Criteria!$F$15)+('M1_1-15th'!M153*Setup_and_Criteria!$F$16)+Setup_and_Criteria!$J$16),0)</f>
        <v>0</v>
      </c>
      <c r="O153" s="442">
        <f t="shared" si="96"/>
        <v>0</v>
      </c>
      <c r="P153" s="443">
        <f t="shared" si="92"/>
        <v>0</v>
      </c>
      <c r="Q153" s="357" t="e">
        <f t="shared" si="93"/>
        <v>#DIV/0!</v>
      </c>
      <c r="R153" s="630"/>
      <c r="S153" s="630"/>
      <c r="T153" s="630"/>
      <c r="U153" s="630"/>
      <c r="V153" s="630"/>
      <c r="W153" s="630"/>
      <c r="X153" s="630"/>
      <c r="Y153" s="630"/>
      <c r="Z153" s="630"/>
      <c r="AA153" s="630"/>
      <c r="AB153" s="1">
        <f t="shared" si="94"/>
        <v>0</v>
      </c>
      <c r="AC153" s="357" t="e">
        <f t="shared" si="95"/>
        <v>#DIV/0!</v>
      </c>
      <c r="AD153" s="864"/>
      <c r="AE153" s="865"/>
      <c r="AF153" s="865"/>
      <c r="AG153" s="866"/>
      <c r="AH153" s="866"/>
      <c r="AI153" s="867"/>
    </row>
    <row r="154" spans="1:35" x14ac:dyDescent="0.25">
      <c r="A154" s="638"/>
      <c r="C154" s="630"/>
      <c r="D154" s="630"/>
      <c r="E154" s="630"/>
      <c r="F154" s="630"/>
      <c r="G154" s="264">
        <f t="shared" si="90"/>
        <v>0</v>
      </c>
      <c r="H154" s="442">
        <f t="shared" si="91"/>
        <v>0</v>
      </c>
      <c r="J154" s="630"/>
      <c r="K154" s="630"/>
      <c r="L154" s="630"/>
      <c r="M154" s="630"/>
      <c r="N154" s="1">
        <f>IF(C154&gt;0,((J154*Setup_and_Criteria!$F$13)+('M1_1-15th'!K154*Setup_and_Criteria!$F$14)+('M1_1-15th'!L154*Setup_and_Criteria!$F$15)+('M1_1-15th'!M154*Setup_and_Criteria!$F$16)+Setup_and_Criteria!$J$16),0)</f>
        <v>0</v>
      </c>
      <c r="O154" s="442">
        <f t="shared" si="96"/>
        <v>0</v>
      </c>
      <c r="P154" s="443">
        <f t="shared" si="92"/>
        <v>0</v>
      </c>
      <c r="Q154" s="357" t="e">
        <f t="shared" si="93"/>
        <v>#DIV/0!</v>
      </c>
      <c r="R154" s="630"/>
      <c r="S154" s="630"/>
      <c r="T154" s="630"/>
      <c r="U154" s="630"/>
      <c r="V154" s="630"/>
      <c r="W154" s="630"/>
      <c r="X154" s="630"/>
      <c r="Y154" s="630"/>
      <c r="Z154" s="630"/>
      <c r="AA154" s="630"/>
      <c r="AB154" s="1">
        <f t="shared" si="94"/>
        <v>0</v>
      </c>
      <c r="AC154" s="357" t="e">
        <f t="shared" si="95"/>
        <v>#DIV/0!</v>
      </c>
      <c r="AD154" s="864"/>
      <c r="AE154" s="865"/>
      <c r="AF154" s="865"/>
      <c r="AG154" s="866"/>
      <c r="AH154" s="866"/>
      <c r="AI154" s="867"/>
    </row>
    <row r="155" spans="1:35" x14ac:dyDescent="0.25">
      <c r="A155" s="638"/>
      <c r="C155" s="630"/>
      <c r="D155" s="630"/>
      <c r="E155" s="630"/>
      <c r="F155" s="630"/>
      <c r="G155" s="264">
        <f t="shared" si="90"/>
        <v>0</v>
      </c>
      <c r="H155" s="442">
        <f t="shared" si="91"/>
        <v>0</v>
      </c>
      <c r="J155" s="630"/>
      <c r="K155" s="630"/>
      <c r="L155" s="630"/>
      <c r="M155" s="630"/>
      <c r="N155" s="1">
        <f>IF(C155&gt;0,((J155*Setup_and_Criteria!$F$13)+('M1_1-15th'!K155*Setup_and_Criteria!$F$14)+('M1_1-15th'!L155*Setup_and_Criteria!$F$15)+('M1_1-15th'!M155*Setup_and_Criteria!$F$16)+Setup_and_Criteria!$J$16),0)</f>
        <v>0</v>
      </c>
      <c r="O155" s="442">
        <f t="shared" si="96"/>
        <v>0</v>
      </c>
      <c r="P155" s="443">
        <f t="shared" si="92"/>
        <v>0</v>
      </c>
      <c r="Q155" s="357" t="e">
        <f t="shared" si="93"/>
        <v>#DIV/0!</v>
      </c>
      <c r="R155" s="630"/>
      <c r="S155" s="630"/>
      <c r="T155" s="630"/>
      <c r="U155" s="630"/>
      <c r="V155" s="630"/>
      <c r="W155" s="630"/>
      <c r="X155" s="630"/>
      <c r="Y155" s="630"/>
      <c r="Z155" s="630"/>
      <c r="AA155" s="630"/>
      <c r="AB155" s="1">
        <f t="shared" si="94"/>
        <v>0</v>
      </c>
      <c r="AC155" s="357" t="e">
        <f t="shared" si="95"/>
        <v>#DIV/0!</v>
      </c>
      <c r="AD155" s="864"/>
      <c r="AE155" s="865"/>
      <c r="AF155" s="865"/>
      <c r="AG155" s="866"/>
      <c r="AH155" s="866"/>
      <c r="AI155" s="867"/>
    </row>
    <row r="156" spans="1:35" ht="15.75" thickBot="1" x14ac:dyDescent="0.3">
      <c r="A156" s="638"/>
      <c r="C156" s="370"/>
      <c r="D156" s="370"/>
      <c r="E156" s="630"/>
      <c r="F156" s="630"/>
      <c r="G156" s="264">
        <f t="shared" si="90"/>
        <v>0</v>
      </c>
      <c r="H156" s="442">
        <f t="shared" si="91"/>
        <v>0</v>
      </c>
      <c r="J156" s="371"/>
      <c r="K156" s="371"/>
      <c r="L156" s="371"/>
      <c r="M156" s="371"/>
      <c r="N156" s="358">
        <f>IF(C156&gt;0,((J156*Setup_and_Criteria!$F$13)+('M1_1-15th'!K156*Setup_and_Criteria!$F$14)+('M1_1-15th'!L156*Setup_and_Criteria!$F$15)+('M1_1-15th'!M156*Setup_and_Criteria!$F$16)+Setup_and_Criteria!$J$16),0)</f>
        <v>0</v>
      </c>
      <c r="O156" s="359">
        <f t="shared" si="96"/>
        <v>0</v>
      </c>
      <c r="P156" s="383">
        <f t="shared" si="92"/>
        <v>0</v>
      </c>
      <c r="Q156" s="360" t="e">
        <f t="shared" si="93"/>
        <v>#DIV/0!</v>
      </c>
      <c r="R156" s="511"/>
      <c r="S156" s="511"/>
      <c r="T156" s="511"/>
      <c r="U156" s="511"/>
      <c r="V156" s="511"/>
      <c r="W156" s="511"/>
      <c r="X156" s="511"/>
      <c r="Y156" s="511"/>
      <c r="Z156" s="511"/>
      <c r="AA156" s="511"/>
      <c r="AB156" s="1">
        <f t="shared" si="94"/>
        <v>0</v>
      </c>
      <c r="AC156" s="357" t="e">
        <f t="shared" si="95"/>
        <v>#DIV/0!</v>
      </c>
      <c r="AD156" s="864"/>
      <c r="AE156" s="865"/>
      <c r="AF156" s="865"/>
      <c r="AG156" s="866"/>
      <c r="AH156" s="866"/>
      <c r="AI156" s="867"/>
    </row>
    <row r="157" spans="1:35" ht="15.75" thickTop="1" x14ac:dyDescent="0.25">
      <c r="A157" s="58"/>
      <c r="H157" s="442">
        <f>SUM(H151:H156)</f>
        <v>0</v>
      </c>
      <c r="J157" s="1">
        <f>SUM(J151:J156)</f>
        <v>0</v>
      </c>
      <c r="K157" s="1">
        <f>SUM(K151:K156)</f>
        <v>0</v>
      </c>
      <c r="L157" s="1">
        <f>SUM(L151:L156)</f>
        <v>0</v>
      </c>
      <c r="M157" s="1">
        <f>SUM(M151:M156)</f>
        <v>0</v>
      </c>
      <c r="N157" s="1">
        <f>SUM(N151:N156)</f>
        <v>0</v>
      </c>
      <c r="O157" s="1">
        <f t="shared" si="96"/>
        <v>0</v>
      </c>
      <c r="P157" s="443">
        <f t="shared" si="92"/>
        <v>0</v>
      </c>
      <c r="Q157" s="357" t="e">
        <f t="shared" si="93"/>
        <v>#DIV/0!</v>
      </c>
      <c r="R157" s="1">
        <f t="shared" ref="R157:AA157" si="97">SUM(R151:R156)</f>
        <v>0</v>
      </c>
      <c r="S157" s="1">
        <f t="shared" si="97"/>
        <v>0</v>
      </c>
      <c r="T157" s="1">
        <f t="shared" si="97"/>
        <v>0</v>
      </c>
      <c r="U157" s="1">
        <f t="shared" si="97"/>
        <v>0</v>
      </c>
      <c r="V157" s="1">
        <f t="shared" si="97"/>
        <v>0</v>
      </c>
      <c r="W157" s="1">
        <f t="shared" si="97"/>
        <v>0</v>
      </c>
      <c r="X157" s="1">
        <f t="shared" si="97"/>
        <v>0</v>
      </c>
      <c r="Y157" s="1">
        <f t="shared" si="97"/>
        <v>0</v>
      </c>
      <c r="Z157" s="1">
        <f t="shared" si="97"/>
        <v>0</v>
      </c>
      <c r="AA157" s="1">
        <f t="shared" si="97"/>
        <v>0</v>
      </c>
      <c r="AB157" s="1">
        <f t="shared" si="94"/>
        <v>0</v>
      </c>
      <c r="AC157" s="357" t="e">
        <f t="shared" si="95"/>
        <v>#DIV/0!</v>
      </c>
      <c r="AD157" s="877"/>
      <c r="AE157" s="878"/>
      <c r="AF157" s="878"/>
      <c r="AG157" s="749"/>
      <c r="AH157" s="749"/>
      <c r="AI157" s="879"/>
    </row>
    <row r="158" spans="1:35" ht="21" customHeight="1" x14ac:dyDescent="0.35">
      <c r="A158" s="58"/>
      <c r="H158" s="442"/>
      <c r="N158" s="888" t="s">
        <v>145</v>
      </c>
      <c r="O158" s="888"/>
      <c r="P158" s="888"/>
      <c r="Q158" s="888"/>
      <c r="R158" s="431" t="s">
        <v>146</v>
      </c>
      <c r="S158" s="431"/>
      <c r="T158" s="431"/>
      <c r="U158" s="431"/>
      <c r="V158" s="431"/>
      <c r="W158" s="431"/>
      <c r="X158" s="431"/>
      <c r="Y158" s="431"/>
      <c r="Z158" s="431"/>
      <c r="AA158" s="431"/>
      <c r="AB158" s="431"/>
      <c r="AC158" s="431"/>
      <c r="AD158" s="880" t="s">
        <v>132</v>
      </c>
      <c r="AE158" s="881"/>
      <c r="AF158" s="881"/>
      <c r="AG158" s="881"/>
      <c r="AH158" s="881"/>
      <c r="AI158" s="882"/>
    </row>
    <row r="159" spans="1:35" ht="31.5" customHeight="1" x14ac:dyDescent="0.35">
      <c r="A159" s="617" t="s">
        <v>147</v>
      </c>
      <c r="C159" s="885" t="s">
        <v>128</v>
      </c>
      <c r="D159" s="885"/>
      <c r="E159" s="885"/>
      <c r="F159" s="885"/>
      <c r="H159" s="442"/>
      <c r="J159" s="444"/>
      <c r="K159" s="445" t="s">
        <v>35</v>
      </c>
      <c r="L159" s="445" t="s">
        <v>148</v>
      </c>
      <c r="N159" s="446" t="s">
        <v>149</v>
      </c>
      <c r="O159" s="447" t="s">
        <v>150</v>
      </c>
      <c r="P159" s="447" t="s">
        <v>138</v>
      </c>
      <c r="Q159" s="447" t="s">
        <v>151</v>
      </c>
      <c r="R159" s="749" t="s">
        <v>152</v>
      </c>
      <c r="S159" s="749"/>
      <c r="T159" s="883" t="s">
        <v>153</v>
      </c>
      <c r="U159" s="883"/>
      <c r="W159" s="425" t="s">
        <v>154</v>
      </c>
      <c r="X159" s="425"/>
      <c r="Y159" s="425"/>
      <c r="Z159" s="425"/>
      <c r="AA159" s="425"/>
      <c r="AB159" s="425"/>
      <c r="AC159" s="425"/>
      <c r="AD159" s="868" t="s">
        <v>160</v>
      </c>
      <c r="AE159" s="869"/>
      <c r="AF159" s="869"/>
      <c r="AG159" s="869"/>
      <c r="AH159" s="869"/>
      <c r="AI159" s="870"/>
    </row>
    <row r="160" spans="1:35" ht="18" customHeight="1" thickBot="1" x14ac:dyDescent="0.3">
      <c r="A160" s="639"/>
      <c r="B160" s="375"/>
      <c r="C160" s="372"/>
      <c r="D160" s="372"/>
      <c r="E160" s="372"/>
      <c r="F160" s="372"/>
      <c r="G160" s="366">
        <f>+(D160-C160)+(F160-E160)</f>
        <v>0</v>
      </c>
      <c r="H160" s="367">
        <f>+G160*1440</f>
        <v>0</v>
      </c>
      <c r="I160" s="859" t="s">
        <v>155</v>
      </c>
      <c r="J160" s="860"/>
      <c r="K160" s="373"/>
      <c r="L160" s="374"/>
      <c r="M160" s="423"/>
      <c r="N160" s="629">
        <f>+J157+L157+K157+K160+L160</f>
        <v>0</v>
      </c>
      <c r="O160" s="368">
        <f>+(Setup_and_Criteria!$K$31+(J157*Setup_and_Criteria!$F$20)+('M1_1-15th'!K157*Setup_and_Criteria!$F$21)+('M1_1-15th'!L157*Setup_and_Criteria!$F$20))+T160+(K160*Setup_and_Criteria!$F$21)+(Setup_and_Criteria!$F$22*'M1_1-15th'!L160)</f>
        <v>75</v>
      </c>
      <c r="P160" s="367">
        <f>+H160</f>
        <v>0</v>
      </c>
      <c r="Q160" s="367">
        <f>+O160-P160</f>
        <v>75</v>
      </c>
      <c r="R160" s="861" t="s">
        <v>252</v>
      </c>
      <c r="S160" s="861"/>
      <c r="T160" s="862"/>
      <c r="U160" s="863"/>
      <c r="V160" s="265" t="s">
        <v>156</v>
      </c>
      <c r="W160" s="854"/>
      <c r="X160" s="855"/>
      <c r="Y160" s="855"/>
      <c r="Z160" s="855"/>
      <c r="AA160" s="855"/>
      <c r="AB160" s="855"/>
      <c r="AC160" s="855"/>
      <c r="AD160" s="868"/>
      <c r="AE160" s="869"/>
      <c r="AF160" s="869"/>
      <c r="AG160" s="869"/>
      <c r="AH160" s="869"/>
      <c r="AI160" s="870"/>
    </row>
    <row r="161" spans="1:35" ht="15.75" thickBot="1" x14ac:dyDescent="0.3">
      <c r="A161" s="449" t="str">
        <f>+A148</f>
        <v>Password to enter data = "Enter Info"</v>
      </c>
      <c r="B161" s="450"/>
      <c r="C161" s="451"/>
      <c r="D161" s="451"/>
      <c r="E161" s="451"/>
      <c r="F161" s="451"/>
      <c r="G161" s="451"/>
      <c r="H161" s="451"/>
      <c r="I161" s="450"/>
      <c r="J161" s="451"/>
      <c r="K161" s="451"/>
      <c r="L161" s="451"/>
      <c r="M161" s="451"/>
      <c r="N161" s="451"/>
      <c r="O161" s="451"/>
      <c r="P161" s="451"/>
      <c r="Q161" s="450"/>
      <c r="R161" s="451"/>
      <c r="S161" s="451"/>
      <c r="T161" s="451"/>
      <c r="U161" s="451"/>
      <c r="V161" s="451"/>
      <c r="W161" s="451"/>
      <c r="X161" s="451"/>
      <c r="Y161" s="451"/>
      <c r="Z161" s="451"/>
      <c r="AA161" s="451"/>
      <c r="AB161" s="450"/>
      <c r="AC161" s="450"/>
      <c r="AD161" s="871"/>
      <c r="AE161" s="872"/>
      <c r="AF161" s="872"/>
      <c r="AG161" s="872"/>
      <c r="AH161" s="872"/>
      <c r="AI161" s="873"/>
    </row>
    <row r="162" spans="1:35" ht="35.25" customHeight="1" x14ac:dyDescent="0.4">
      <c r="A162" s="434" t="str">
        <f>+A149</f>
        <v>May</v>
      </c>
      <c r="B162" s="624">
        <f>+B149+1</f>
        <v>28</v>
      </c>
      <c r="C162" s="884" t="s">
        <v>128</v>
      </c>
      <c r="D162" s="884"/>
      <c r="E162" s="884"/>
      <c r="F162" s="884"/>
      <c r="G162" s="377"/>
      <c r="H162" s="377"/>
      <c r="I162" s="21"/>
      <c r="J162" s="874" t="s">
        <v>129</v>
      </c>
      <c r="K162" s="875"/>
      <c r="L162" s="875"/>
      <c r="M162" s="875"/>
      <c r="N162" s="876" t="s">
        <v>130</v>
      </c>
      <c r="O162" s="876"/>
      <c r="P162" s="876"/>
      <c r="Q162" s="876"/>
      <c r="R162" s="424" t="str">
        <f>+R149</f>
        <v xml:space="preserve"> Corrections Tracking - Check out rooms</v>
      </c>
      <c r="S162" s="424"/>
      <c r="T162" s="424"/>
      <c r="U162" s="424"/>
      <c r="V162" s="424"/>
      <c r="W162" s="424"/>
      <c r="X162" s="424"/>
      <c r="Y162" s="424"/>
      <c r="Z162" s="424"/>
      <c r="AA162" s="424"/>
      <c r="AB162" s="424"/>
      <c r="AC162" s="424"/>
      <c r="AD162" s="461" t="s">
        <v>132</v>
      </c>
      <c r="AE162" s="426"/>
      <c r="AF162" s="426"/>
      <c r="AG162" s="426"/>
      <c r="AH162" s="426"/>
      <c r="AI162" s="427"/>
    </row>
    <row r="163" spans="1:35" ht="59.25" customHeight="1" x14ac:dyDescent="0.25">
      <c r="A163" s="378" t="s">
        <v>133</v>
      </c>
      <c r="C163" s="435" t="s">
        <v>134</v>
      </c>
      <c r="D163" s="435" t="s">
        <v>135</v>
      </c>
      <c r="E163" s="435" t="s">
        <v>134</v>
      </c>
      <c r="F163" s="435" t="s">
        <v>135</v>
      </c>
      <c r="G163" s="1" t="s">
        <v>136</v>
      </c>
      <c r="H163" s="1" t="s">
        <v>108</v>
      </c>
      <c r="I163" s="436"/>
      <c r="J163" s="437" t="str">
        <f>+Setup_and_Criteria!$B$13</f>
        <v>Checkouts</v>
      </c>
      <c r="K163" s="437" t="str">
        <f>+Setup_and_Criteria!$B$14</f>
        <v>Pet Rooms</v>
      </c>
      <c r="L163" s="437" t="str">
        <f>+Setup_and_Criteria!$B$15</f>
        <v>2 Rm &amp; Jac Stes</v>
      </c>
      <c r="M163" s="438" t="str">
        <f>+Setup_and_Criteria!$B$16</f>
        <v>Stayovers</v>
      </c>
      <c r="N163" s="269" t="s">
        <v>137</v>
      </c>
      <c r="O163" s="269" t="s">
        <v>138</v>
      </c>
      <c r="P163" s="439" t="s">
        <v>139</v>
      </c>
      <c r="Q163" s="439" t="s">
        <v>140</v>
      </c>
      <c r="R163" s="440" t="str">
        <f>+Corrections!$C$8</f>
        <v>Vanity</v>
      </c>
      <c r="S163" s="440" t="str">
        <f>+Corrections!$I$8</f>
        <v>Toilet</v>
      </c>
      <c r="T163" s="440" t="str">
        <f>+Corrections!$O$8</f>
        <v>Bed/Pillows</v>
      </c>
      <c r="U163" s="440" t="str">
        <f>+Corrections!$U$8</f>
        <v>Floor</v>
      </c>
      <c r="V163" s="440" t="str">
        <f>+Corrections!$AA$8</f>
        <v>Dusting</v>
      </c>
      <c r="W163" s="440" t="str">
        <f>+Corrections!$AG$8</f>
        <v>Fridge/Micro</v>
      </c>
      <c r="X163" s="440" t="str">
        <f>+Corrections!$AM$8</f>
        <v>Tub</v>
      </c>
      <c r="Y163" s="441" t="str">
        <f>+Corrections!$AS$8</f>
        <v>Mirrors/Glass</v>
      </c>
      <c r="Z163" s="440" t="str">
        <f>+Corrections!$AY$8</f>
        <v>Stocking</v>
      </c>
      <c r="AA163" s="440" t="str">
        <f>+Corrections!$BE$8</f>
        <v>Other</v>
      </c>
      <c r="AB163" s="269" t="s">
        <v>141</v>
      </c>
      <c r="AC163" s="269" t="str">
        <f>+$AC$7</f>
        <v>Daily Corr / Inspected Checkout</v>
      </c>
      <c r="AD163" s="889" t="s">
        <v>143</v>
      </c>
      <c r="AE163" s="890"/>
      <c r="AF163" s="890"/>
      <c r="AG163" s="890"/>
      <c r="AH163" s="890"/>
      <c r="AI163" s="891"/>
    </row>
    <row r="164" spans="1:35" x14ac:dyDescent="0.25">
      <c r="A164" s="638"/>
      <c r="C164" s="369"/>
      <c r="D164" s="369"/>
      <c r="E164" s="369"/>
      <c r="F164" s="369"/>
      <c r="G164" s="264">
        <f t="shared" ref="G164:G169" si="98">+(D164-C164)+(F164-E164)</f>
        <v>0</v>
      </c>
      <c r="H164" s="442">
        <f t="shared" ref="H164:H169" si="99">+G164*1440</f>
        <v>0</v>
      </c>
      <c r="J164" s="630"/>
      <c r="K164" s="630"/>
      <c r="L164" s="630"/>
      <c r="M164" s="630"/>
      <c r="N164" s="1">
        <f>IF(C164&gt;0,((J164*Setup_and_Criteria!$F$13)+('M1_1-15th'!K164*Setup_and_Criteria!$F$14)+('M1_1-15th'!L164*Setup_and_Criteria!$F$15)+('M1_1-15th'!M164*Setup_and_Criteria!$F$16)+Setup_and_Criteria!$J$16),0)</f>
        <v>0</v>
      </c>
      <c r="O164" s="442">
        <f>+H164</f>
        <v>0</v>
      </c>
      <c r="P164" s="443">
        <f t="shared" ref="P164:P170" si="100">+N164-O164</f>
        <v>0</v>
      </c>
      <c r="Q164" s="357" t="e">
        <f t="shared" ref="Q164:Q170" si="101">O164/_xlfn.SINGLE(SUM(J164:M164))</f>
        <v>#DIV/0!</v>
      </c>
      <c r="R164" s="630"/>
      <c r="S164" s="630"/>
      <c r="T164" s="630"/>
      <c r="U164" s="630"/>
      <c r="V164" s="630"/>
      <c r="W164" s="630"/>
      <c r="X164" s="630"/>
      <c r="Y164" s="630"/>
      <c r="Z164" s="630"/>
      <c r="AA164" s="630"/>
      <c r="AB164" s="1">
        <f t="shared" ref="AB164:AB170" si="102">SUM(R164:AA164)</f>
        <v>0</v>
      </c>
      <c r="AC164" s="357" t="e">
        <f t="shared" ref="AC164:AC170" si="103">+AB164/(J164+K164+L164)</f>
        <v>#DIV/0!</v>
      </c>
      <c r="AD164" s="864" t="s">
        <v>144</v>
      </c>
      <c r="AE164" s="865"/>
      <c r="AF164" s="865"/>
      <c r="AG164" s="866"/>
      <c r="AH164" s="866"/>
      <c r="AI164" s="867"/>
    </row>
    <row r="165" spans="1:35" x14ac:dyDescent="0.25">
      <c r="A165" s="638"/>
      <c r="C165" s="630"/>
      <c r="D165" s="630"/>
      <c r="E165" s="630"/>
      <c r="F165" s="630"/>
      <c r="G165" s="264">
        <f t="shared" si="98"/>
        <v>0</v>
      </c>
      <c r="H165" s="442">
        <f t="shared" si="99"/>
        <v>0</v>
      </c>
      <c r="J165" s="630"/>
      <c r="K165" s="630"/>
      <c r="L165" s="630"/>
      <c r="M165" s="630"/>
      <c r="N165" s="1">
        <f>IF(C165&gt;0,((J165*Setup_and_Criteria!$F$13)+('M1_1-15th'!K165*Setup_and_Criteria!$F$14)+('M1_1-15th'!L165*Setup_and_Criteria!$F$15)+('M1_1-15th'!M165*Setup_and_Criteria!$F$16)+Setup_and_Criteria!$J$16),0)</f>
        <v>0</v>
      </c>
      <c r="O165" s="442">
        <f t="shared" ref="O165:O170" si="104">+H165</f>
        <v>0</v>
      </c>
      <c r="P165" s="443">
        <f t="shared" si="100"/>
        <v>0</v>
      </c>
      <c r="Q165" s="357" t="e">
        <f t="shared" si="101"/>
        <v>#DIV/0!</v>
      </c>
      <c r="R165" s="630"/>
      <c r="S165" s="630"/>
      <c r="T165" s="630"/>
      <c r="U165" s="630"/>
      <c r="V165" s="630"/>
      <c r="W165" s="630"/>
      <c r="X165" s="630"/>
      <c r="Y165" s="630"/>
      <c r="Z165" s="630"/>
      <c r="AA165" s="630"/>
      <c r="AB165" s="1">
        <f t="shared" si="102"/>
        <v>0</v>
      </c>
      <c r="AC165" s="357" t="e">
        <f t="shared" si="103"/>
        <v>#DIV/0!</v>
      </c>
      <c r="AD165" s="864"/>
      <c r="AE165" s="865"/>
      <c r="AF165" s="865"/>
      <c r="AG165" s="866"/>
      <c r="AH165" s="866"/>
      <c r="AI165" s="867"/>
    </row>
    <row r="166" spans="1:35" x14ac:dyDescent="0.25">
      <c r="A166" s="638"/>
      <c r="C166" s="630"/>
      <c r="D166" s="630"/>
      <c r="E166" s="630"/>
      <c r="F166" s="630"/>
      <c r="G166" s="264">
        <f t="shared" si="98"/>
        <v>0</v>
      </c>
      <c r="H166" s="442">
        <f t="shared" si="99"/>
        <v>0</v>
      </c>
      <c r="J166" s="630"/>
      <c r="K166" s="630"/>
      <c r="L166" s="630"/>
      <c r="M166" s="630"/>
      <c r="N166" s="1">
        <f>IF(C166&gt;0,((J166*Setup_and_Criteria!$F$13)+('M1_1-15th'!K166*Setup_and_Criteria!$F$14)+('M1_1-15th'!L166*Setup_and_Criteria!$F$15)+('M1_1-15th'!M166*Setup_and_Criteria!$F$16)+Setup_and_Criteria!$J$16),0)</f>
        <v>0</v>
      </c>
      <c r="O166" s="442">
        <f t="shared" si="104"/>
        <v>0</v>
      </c>
      <c r="P166" s="443">
        <f t="shared" si="100"/>
        <v>0</v>
      </c>
      <c r="Q166" s="357" t="e">
        <f t="shared" si="101"/>
        <v>#DIV/0!</v>
      </c>
      <c r="R166" s="630"/>
      <c r="S166" s="630"/>
      <c r="T166" s="630"/>
      <c r="U166" s="630"/>
      <c r="V166" s="630"/>
      <c r="W166" s="630"/>
      <c r="X166" s="630"/>
      <c r="Y166" s="630"/>
      <c r="Z166" s="630"/>
      <c r="AA166" s="630"/>
      <c r="AB166" s="1">
        <f t="shared" si="102"/>
        <v>0</v>
      </c>
      <c r="AC166" s="357" t="e">
        <f t="shared" si="103"/>
        <v>#DIV/0!</v>
      </c>
      <c r="AD166" s="864"/>
      <c r="AE166" s="865"/>
      <c r="AF166" s="865"/>
      <c r="AG166" s="866"/>
      <c r="AH166" s="866"/>
      <c r="AI166" s="867"/>
    </row>
    <row r="167" spans="1:35" x14ac:dyDescent="0.25">
      <c r="A167" s="638"/>
      <c r="C167" s="630"/>
      <c r="D167" s="630"/>
      <c r="E167" s="630"/>
      <c r="F167" s="630"/>
      <c r="G167" s="264">
        <f t="shared" si="98"/>
        <v>0</v>
      </c>
      <c r="H167" s="442">
        <f t="shared" si="99"/>
        <v>0</v>
      </c>
      <c r="J167" s="630"/>
      <c r="K167" s="630"/>
      <c r="L167" s="630"/>
      <c r="M167" s="630"/>
      <c r="N167" s="1">
        <f>IF(C167&gt;0,((J167*Setup_and_Criteria!$F$13)+('M1_1-15th'!K167*Setup_and_Criteria!$F$14)+('M1_1-15th'!L167*Setup_and_Criteria!$F$15)+('M1_1-15th'!M167*Setup_and_Criteria!$F$16)+Setup_and_Criteria!$J$16),0)</f>
        <v>0</v>
      </c>
      <c r="O167" s="442">
        <f t="shared" si="104"/>
        <v>0</v>
      </c>
      <c r="P167" s="443">
        <f t="shared" si="100"/>
        <v>0</v>
      </c>
      <c r="Q167" s="357" t="e">
        <f t="shared" si="101"/>
        <v>#DIV/0!</v>
      </c>
      <c r="R167" s="630"/>
      <c r="S167" s="630"/>
      <c r="T167" s="630"/>
      <c r="U167" s="630"/>
      <c r="V167" s="630"/>
      <c r="W167" s="630"/>
      <c r="X167" s="630"/>
      <c r="Y167" s="630"/>
      <c r="Z167" s="630"/>
      <c r="AA167" s="630"/>
      <c r="AB167" s="1">
        <f t="shared" si="102"/>
        <v>0</v>
      </c>
      <c r="AC167" s="357" t="e">
        <f t="shared" si="103"/>
        <v>#DIV/0!</v>
      </c>
      <c r="AD167" s="864"/>
      <c r="AE167" s="865"/>
      <c r="AF167" s="865"/>
      <c r="AG167" s="866"/>
      <c r="AH167" s="866"/>
      <c r="AI167" s="867"/>
    </row>
    <row r="168" spans="1:35" x14ac:dyDescent="0.25">
      <c r="A168" s="638"/>
      <c r="C168" s="630"/>
      <c r="D168" s="630"/>
      <c r="E168" s="630"/>
      <c r="F168" s="630"/>
      <c r="G168" s="264">
        <f t="shared" si="98"/>
        <v>0</v>
      </c>
      <c r="H168" s="442">
        <f t="shared" si="99"/>
        <v>0</v>
      </c>
      <c r="J168" s="630"/>
      <c r="K168" s="630"/>
      <c r="L168" s="630"/>
      <c r="M168" s="630"/>
      <c r="N168" s="1">
        <f>IF(C168&gt;0,((J168*Setup_and_Criteria!$F$13)+('M1_1-15th'!K168*Setup_and_Criteria!$F$14)+('M1_1-15th'!L168*Setup_and_Criteria!$F$15)+('M1_1-15th'!M168*Setup_and_Criteria!$F$16)+Setup_and_Criteria!$J$16),0)</f>
        <v>0</v>
      </c>
      <c r="O168" s="442">
        <f t="shared" si="104"/>
        <v>0</v>
      </c>
      <c r="P168" s="443">
        <f t="shared" si="100"/>
        <v>0</v>
      </c>
      <c r="Q168" s="357" t="e">
        <f t="shared" si="101"/>
        <v>#DIV/0!</v>
      </c>
      <c r="R168" s="630"/>
      <c r="S168" s="630"/>
      <c r="T168" s="630"/>
      <c r="U168" s="630"/>
      <c r="V168" s="630"/>
      <c r="W168" s="630"/>
      <c r="X168" s="630"/>
      <c r="Y168" s="630"/>
      <c r="Z168" s="630"/>
      <c r="AA168" s="630"/>
      <c r="AB168" s="1">
        <f t="shared" si="102"/>
        <v>0</v>
      </c>
      <c r="AC168" s="357" t="e">
        <f t="shared" si="103"/>
        <v>#DIV/0!</v>
      </c>
      <c r="AD168" s="864"/>
      <c r="AE168" s="865"/>
      <c r="AF168" s="865"/>
      <c r="AG168" s="866"/>
      <c r="AH168" s="866"/>
      <c r="AI168" s="867"/>
    </row>
    <row r="169" spans="1:35" ht="15.75" thickBot="1" x14ac:dyDescent="0.3">
      <c r="A169" s="638"/>
      <c r="C169" s="370"/>
      <c r="D169" s="370"/>
      <c r="E169" s="630"/>
      <c r="F169" s="630"/>
      <c r="G169" s="264">
        <f t="shared" si="98"/>
        <v>0</v>
      </c>
      <c r="H169" s="442">
        <f t="shared" si="99"/>
        <v>0</v>
      </c>
      <c r="J169" s="371"/>
      <c r="K169" s="371"/>
      <c r="L169" s="371"/>
      <c r="M169" s="371"/>
      <c r="N169" s="358">
        <f>IF(C169&gt;0,((J169*Setup_and_Criteria!$F$13)+('M1_1-15th'!K169*Setup_and_Criteria!$F$14)+('M1_1-15th'!L169*Setup_and_Criteria!$F$15)+('M1_1-15th'!M169*Setup_and_Criteria!$F$16)+Setup_and_Criteria!$J$16),0)</f>
        <v>0</v>
      </c>
      <c r="O169" s="359">
        <f t="shared" si="104"/>
        <v>0</v>
      </c>
      <c r="P169" s="383">
        <f t="shared" si="100"/>
        <v>0</v>
      </c>
      <c r="Q169" s="360" t="e">
        <f t="shared" si="101"/>
        <v>#DIV/0!</v>
      </c>
      <c r="R169" s="511"/>
      <c r="S169" s="511"/>
      <c r="T169" s="511"/>
      <c r="U169" s="511"/>
      <c r="V169" s="511"/>
      <c r="W169" s="511"/>
      <c r="X169" s="511"/>
      <c r="Y169" s="511"/>
      <c r="Z169" s="511"/>
      <c r="AA169" s="511"/>
      <c r="AB169" s="1">
        <f t="shared" si="102"/>
        <v>0</v>
      </c>
      <c r="AC169" s="357" t="e">
        <f t="shared" si="103"/>
        <v>#DIV/0!</v>
      </c>
      <c r="AD169" s="864"/>
      <c r="AE169" s="865"/>
      <c r="AF169" s="865"/>
      <c r="AG169" s="866"/>
      <c r="AH169" s="866"/>
      <c r="AI169" s="867"/>
    </row>
    <row r="170" spans="1:35" ht="15.75" thickTop="1" x14ac:dyDescent="0.25">
      <c r="A170" s="58"/>
      <c r="H170" s="442">
        <f>SUM(H164:H169)</f>
        <v>0</v>
      </c>
      <c r="J170" s="1">
        <f>SUM(J164:J169)</f>
        <v>0</v>
      </c>
      <c r="K170" s="1">
        <f>SUM(K164:K169)</f>
        <v>0</v>
      </c>
      <c r="L170" s="1">
        <f>SUM(L164:L169)</f>
        <v>0</v>
      </c>
      <c r="M170" s="1">
        <f>SUM(M164:M169)</f>
        <v>0</v>
      </c>
      <c r="N170" s="1">
        <f>SUM(N164:N169)</f>
        <v>0</v>
      </c>
      <c r="O170" s="1">
        <f t="shared" si="104"/>
        <v>0</v>
      </c>
      <c r="P170" s="443">
        <f t="shared" si="100"/>
        <v>0</v>
      </c>
      <c r="Q170" s="357" t="e">
        <f t="shared" si="101"/>
        <v>#DIV/0!</v>
      </c>
      <c r="S170" s="1">
        <f t="shared" ref="S170:AA170" si="105">SUM(S164:S169)</f>
        <v>0</v>
      </c>
      <c r="T170" s="1">
        <f t="shared" si="105"/>
        <v>0</v>
      </c>
      <c r="U170" s="1">
        <f t="shared" si="105"/>
        <v>0</v>
      </c>
      <c r="V170" s="1">
        <f t="shared" si="105"/>
        <v>0</v>
      </c>
      <c r="W170" s="1">
        <f t="shared" si="105"/>
        <v>0</v>
      </c>
      <c r="X170" s="1">
        <f t="shared" si="105"/>
        <v>0</v>
      </c>
      <c r="Y170" s="1">
        <f t="shared" si="105"/>
        <v>0</v>
      </c>
      <c r="Z170" s="1">
        <f t="shared" si="105"/>
        <v>0</v>
      </c>
      <c r="AA170" s="1">
        <f t="shared" si="105"/>
        <v>0</v>
      </c>
      <c r="AB170" s="1">
        <f t="shared" si="102"/>
        <v>0</v>
      </c>
      <c r="AC170" s="357" t="e">
        <f t="shared" si="103"/>
        <v>#DIV/0!</v>
      </c>
      <c r="AD170" s="877"/>
      <c r="AE170" s="878"/>
      <c r="AF170" s="878"/>
      <c r="AG170" s="749"/>
      <c r="AH170" s="749"/>
      <c r="AI170" s="879"/>
    </row>
    <row r="171" spans="1:35" ht="21" customHeight="1" x14ac:dyDescent="0.35">
      <c r="A171" s="58"/>
      <c r="H171" s="442"/>
      <c r="N171" s="888" t="s">
        <v>145</v>
      </c>
      <c r="O171" s="888"/>
      <c r="P171" s="888"/>
      <c r="Q171" s="888"/>
      <c r="R171" s="431" t="s">
        <v>146</v>
      </c>
      <c r="S171" s="431"/>
      <c r="T171" s="431"/>
      <c r="U171" s="431"/>
      <c r="V171" s="431"/>
      <c r="W171" s="431"/>
      <c r="X171" s="431"/>
      <c r="Y171" s="431"/>
      <c r="Z171" s="431"/>
      <c r="AA171" s="431"/>
      <c r="AB171" s="431"/>
      <c r="AC171" s="431"/>
      <c r="AD171" s="880" t="s">
        <v>132</v>
      </c>
      <c r="AE171" s="881"/>
      <c r="AF171" s="881"/>
      <c r="AG171" s="881"/>
      <c r="AH171" s="881"/>
      <c r="AI171" s="882"/>
    </row>
    <row r="172" spans="1:35" ht="31.5" customHeight="1" x14ac:dyDescent="0.35">
      <c r="A172" s="617" t="s">
        <v>147</v>
      </c>
      <c r="C172" s="885" t="s">
        <v>128</v>
      </c>
      <c r="D172" s="885"/>
      <c r="E172" s="885"/>
      <c r="F172" s="885"/>
      <c r="H172" s="442"/>
      <c r="J172" s="444"/>
      <c r="K172" s="445" t="s">
        <v>35</v>
      </c>
      <c r="L172" s="445" t="s">
        <v>148</v>
      </c>
      <c r="N172" s="446" t="s">
        <v>149</v>
      </c>
      <c r="O172" s="447" t="s">
        <v>150</v>
      </c>
      <c r="P172" s="447" t="s">
        <v>138</v>
      </c>
      <c r="Q172" s="447" t="s">
        <v>151</v>
      </c>
      <c r="R172" s="749" t="s">
        <v>152</v>
      </c>
      <c r="S172" s="749"/>
      <c r="T172" s="883" t="s">
        <v>153</v>
      </c>
      <c r="U172" s="883"/>
      <c r="W172" s="425" t="s">
        <v>154</v>
      </c>
      <c r="X172" s="425"/>
      <c r="Y172" s="425"/>
      <c r="Z172" s="425"/>
      <c r="AA172" s="425"/>
      <c r="AB172" s="425"/>
      <c r="AC172" s="425"/>
      <c r="AD172" s="868" t="s">
        <v>160</v>
      </c>
      <c r="AE172" s="869"/>
      <c r="AF172" s="869"/>
      <c r="AG172" s="869"/>
      <c r="AH172" s="869"/>
      <c r="AI172" s="870"/>
    </row>
    <row r="173" spans="1:35" ht="18" customHeight="1" thickBot="1" x14ac:dyDescent="0.3">
      <c r="A173" s="448"/>
      <c r="B173" s="375"/>
      <c r="C173" s="372"/>
      <c r="D173" s="372"/>
      <c r="E173" s="372"/>
      <c r="F173" s="372"/>
      <c r="G173" s="366">
        <f>+(D173-C173)+(F173-E173)</f>
        <v>0</v>
      </c>
      <c r="H173" s="367">
        <f>+G173*1440</f>
        <v>0</v>
      </c>
      <c r="I173" s="859" t="s">
        <v>155</v>
      </c>
      <c r="J173" s="860"/>
      <c r="K173" s="373"/>
      <c r="L173" s="374"/>
      <c r="M173" s="423"/>
      <c r="N173" s="629">
        <f>+J170+L170+K170+K173+L173</f>
        <v>0</v>
      </c>
      <c r="O173" s="368">
        <f>+(Setup_and_Criteria!$K$31+(J170*Setup_and_Criteria!$F$20)+('M1_1-15th'!K170*Setup_and_Criteria!$F$21)+('M1_1-15th'!L170*Setup_and_Criteria!$F$20))+T173+(K173*Setup_and_Criteria!$F$21)+(Setup_and_Criteria!$F$22*'M1_1-15th'!L173)</f>
        <v>75</v>
      </c>
      <c r="P173" s="367">
        <f>+H173</f>
        <v>0</v>
      </c>
      <c r="Q173" s="367">
        <f>+O173-P173</f>
        <v>75</v>
      </c>
      <c r="R173" s="861" t="s">
        <v>252</v>
      </c>
      <c r="S173" s="861"/>
      <c r="T173" s="862"/>
      <c r="U173" s="863"/>
      <c r="V173" s="265" t="s">
        <v>156</v>
      </c>
      <c r="W173" s="854"/>
      <c r="X173" s="855"/>
      <c r="Y173" s="855"/>
      <c r="Z173" s="855"/>
      <c r="AA173" s="855"/>
      <c r="AB173" s="855"/>
      <c r="AC173" s="855"/>
      <c r="AD173" s="868"/>
      <c r="AE173" s="869"/>
      <c r="AF173" s="869"/>
      <c r="AG173" s="869"/>
      <c r="AH173" s="869"/>
      <c r="AI173" s="870"/>
    </row>
    <row r="174" spans="1:35" ht="15.75" thickBot="1" x14ac:dyDescent="0.3">
      <c r="A174" s="449" t="str">
        <f>+A161</f>
        <v>Password to enter data = "Enter Info"</v>
      </c>
      <c r="B174" s="450"/>
      <c r="C174" s="451"/>
      <c r="D174" s="451"/>
      <c r="E174" s="451"/>
      <c r="F174" s="451"/>
      <c r="G174" s="451"/>
      <c r="H174" s="451"/>
      <c r="I174" s="450"/>
      <c r="J174" s="451"/>
      <c r="K174" s="451"/>
      <c r="L174" s="451"/>
      <c r="M174" s="451"/>
      <c r="N174" s="451"/>
      <c r="O174" s="451"/>
      <c r="P174" s="451"/>
      <c r="Q174" s="450"/>
      <c r="R174" s="451"/>
      <c r="S174" s="451"/>
      <c r="T174" s="451"/>
      <c r="U174" s="451"/>
      <c r="V174" s="451"/>
      <c r="W174" s="451"/>
      <c r="X174" s="451"/>
      <c r="Y174" s="451"/>
      <c r="Z174" s="451"/>
      <c r="AA174" s="451"/>
      <c r="AB174" s="450"/>
      <c r="AC174" s="450"/>
      <c r="AD174" s="871"/>
      <c r="AE174" s="872"/>
      <c r="AF174" s="872"/>
      <c r="AG174" s="872"/>
      <c r="AH174" s="872"/>
      <c r="AI174" s="873"/>
    </row>
    <row r="175" spans="1:35" ht="35.25" customHeight="1" x14ac:dyDescent="0.4">
      <c r="A175" s="434" t="str">
        <f>+A162</f>
        <v>May</v>
      </c>
      <c r="B175" s="624">
        <f>+B162+1</f>
        <v>29</v>
      </c>
      <c r="C175" s="884" t="s">
        <v>128</v>
      </c>
      <c r="D175" s="884"/>
      <c r="E175" s="884"/>
      <c r="F175" s="884"/>
      <c r="G175" s="377"/>
      <c r="H175" s="377"/>
      <c r="I175" s="21"/>
      <c r="J175" s="874" t="s">
        <v>129</v>
      </c>
      <c r="K175" s="875"/>
      <c r="L175" s="875"/>
      <c r="M175" s="875"/>
      <c r="N175" s="876" t="s">
        <v>130</v>
      </c>
      <c r="O175" s="876"/>
      <c r="P175" s="876"/>
      <c r="Q175" s="876"/>
      <c r="R175" s="424" t="str">
        <f>+R162</f>
        <v xml:space="preserve"> Corrections Tracking - Check out rooms</v>
      </c>
      <c r="S175" s="424"/>
      <c r="T175" s="424"/>
      <c r="U175" s="424"/>
      <c r="V175" s="424"/>
      <c r="W175" s="424"/>
      <c r="X175" s="424"/>
      <c r="Y175" s="424"/>
      <c r="Z175" s="424"/>
      <c r="AA175" s="424"/>
      <c r="AB175" s="424"/>
      <c r="AC175" s="424"/>
      <c r="AD175" s="461" t="s">
        <v>132</v>
      </c>
      <c r="AE175" s="426"/>
      <c r="AF175" s="426"/>
      <c r="AG175" s="426"/>
      <c r="AH175" s="426"/>
      <c r="AI175" s="427"/>
    </row>
    <row r="176" spans="1:35" ht="59.25" customHeight="1" x14ac:dyDescent="0.25">
      <c r="A176" s="378" t="s">
        <v>133</v>
      </c>
      <c r="C176" s="435" t="s">
        <v>134</v>
      </c>
      <c r="D176" s="435" t="s">
        <v>135</v>
      </c>
      <c r="E176" s="435" t="s">
        <v>134</v>
      </c>
      <c r="F176" s="435" t="s">
        <v>135</v>
      </c>
      <c r="G176" s="1" t="s">
        <v>136</v>
      </c>
      <c r="H176" s="1" t="s">
        <v>108</v>
      </c>
      <c r="I176" s="436"/>
      <c r="J176" s="437" t="str">
        <f>+Setup_and_Criteria!$B$13</f>
        <v>Checkouts</v>
      </c>
      <c r="K176" s="437" t="str">
        <f>+Setup_and_Criteria!$B$14</f>
        <v>Pet Rooms</v>
      </c>
      <c r="L176" s="437" t="str">
        <f>+Setup_and_Criteria!$B$15</f>
        <v>2 Rm &amp; Jac Stes</v>
      </c>
      <c r="M176" s="438" t="str">
        <f>+Setup_and_Criteria!$B$16</f>
        <v>Stayovers</v>
      </c>
      <c r="N176" s="269" t="s">
        <v>137</v>
      </c>
      <c r="O176" s="269" t="s">
        <v>138</v>
      </c>
      <c r="P176" s="439" t="s">
        <v>139</v>
      </c>
      <c r="Q176" s="439" t="s">
        <v>140</v>
      </c>
      <c r="R176" s="440" t="str">
        <f>+Corrections!$C$8</f>
        <v>Vanity</v>
      </c>
      <c r="S176" s="440" t="str">
        <f>+Corrections!$I$8</f>
        <v>Toilet</v>
      </c>
      <c r="T176" s="440" t="str">
        <f>+Corrections!$O$8</f>
        <v>Bed/Pillows</v>
      </c>
      <c r="U176" s="440" t="str">
        <f>+Corrections!$U$8</f>
        <v>Floor</v>
      </c>
      <c r="V176" s="440" t="str">
        <f>+Corrections!$AA$8</f>
        <v>Dusting</v>
      </c>
      <c r="W176" s="440" t="str">
        <f>+Corrections!$AG$8</f>
        <v>Fridge/Micro</v>
      </c>
      <c r="X176" s="440" t="str">
        <f>+Corrections!$AM$8</f>
        <v>Tub</v>
      </c>
      <c r="Y176" s="441" t="str">
        <f>+Corrections!$AS$8</f>
        <v>Mirrors/Glass</v>
      </c>
      <c r="Z176" s="440" t="str">
        <f>+Corrections!$AY$8</f>
        <v>Stocking</v>
      </c>
      <c r="AA176" s="440" t="str">
        <f>+Corrections!$BE$8</f>
        <v>Other</v>
      </c>
      <c r="AB176" s="269" t="s">
        <v>141</v>
      </c>
      <c r="AC176" s="269" t="str">
        <f>+$AC$7</f>
        <v>Daily Corr / Inspected Checkout</v>
      </c>
      <c r="AD176" s="889" t="s">
        <v>143</v>
      </c>
      <c r="AE176" s="890"/>
      <c r="AF176" s="890"/>
      <c r="AG176" s="890"/>
      <c r="AH176" s="890"/>
      <c r="AI176" s="891"/>
    </row>
    <row r="177" spans="1:35" x14ac:dyDescent="0.25">
      <c r="A177" s="638"/>
      <c r="C177" s="369"/>
      <c r="D177" s="369"/>
      <c r="E177" s="369"/>
      <c r="F177" s="369"/>
      <c r="G177" s="264">
        <f t="shared" ref="G177:G182" si="106">+(D177-C177)+(F177-E177)</f>
        <v>0</v>
      </c>
      <c r="H177" s="442">
        <f t="shared" ref="H177:H182" si="107">+G177*1440</f>
        <v>0</v>
      </c>
      <c r="J177" s="630"/>
      <c r="K177" s="630"/>
      <c r="L177" s="630"/>
      <c r="M177" s="630"/>
      <c r="N177" s="1">
        <f>+(J177*Setup_and_Criteria!$F$13)+(K177*Setup_and_Criteria!$F$14)+(L177*Setup_and_Criteria!$F$15)+(M177*Setup_and_Criteria!$F$16)+Setup_and_Criteria!$J$16</f>
        <v>15</v>
      </c>
      <c r="O177" s="442">
        <f>+H177</f>
        <v>0</v>
      </c>
      <c r="P177" s="443">
        <f t="shared" ref="P177:P183" si="108">+N177-O177</f>
        <v>15</v>
      </c>
      <c r="Q177" s="357" t="e">
        <f t="shared" ref="Q177:Q183" si="109">O177/_xlfn.SINGLE(SUM(J177:M177))</f>
        <v>#DIV/0!</v>
      </c>
      <c r="R177" s="630"/>
      <c r="S177" s="630"/>
      <c r="T177" s="630"/>
      <c r="U177" s="630"/>
      <c r="V177" s="630"/>
      <c r="W177" s="630"/>
      <c r="X177" s="630"/>
      <c r="Y177" s="630"/>
      <c r="Z177" s="630"/>
      <c r="AA177" s="630"/>
      <c r="AB177" s="1">
        <f t="shared" ref="AB177:AB183" si="110">SUM(R177:AA177)</f>
        <v>0</v>
      </c>
      <c r="AC177" s="357" t="e">
        <f t="shared" ref="AC177:AC183" si="111">+AB177/(J177+K177+L177)</f>
        <v>#DIV/0!</v>
      </c>
      <c r="AD177" s="864" t="s">
        <v>144</v>
      </c>
      <c r="AE177" s="865"/>
      <c r="AF177" s="865"/>
      <c r="AG177" s="866"/>
      <c r="AH177" s="866"/>
      <c r="AI177" s="867"/>
    </row>
    <row r="178" spans="1:35" x14ac:dyDescent="0.25">
      <c r="A178" s="638"/>
      <c r="C178" s="630"/>
      <c r="D178" s="630"/>
      <c r="E178" s="630"/>
      <c r="F178" s="630"/>
      <c r="G178" s="264">
        <f t="shared" si="106"/>
        <v>0</v>
      </c>
      <c r="H178" s="442">
        <f t="shared" si="107"/>
        <v>0</v>
      </c>
      <c r="J178" s="630"/>
      <c r="K178" s="630"/>
      <c r="L178" s="630"/>
      <c r="M178" s="630"/>
      <c r="N178" s="1">
        <f>+(J178*Setup_and_Criteria!$F$13)+(K178*Setup_and_Criteria!$F$14)+(L178*Setup_and_Criteria!$F$15)+(M178*Setup_and_Criteria!$F$16)+Setup_and_Criteria!$J$16</f>
        <v>15</v>
      </c>
      <c r="O178" s="442">
        <f t="shared" ref="O178:O183" si="112">+H178</f>
        <v>0</v>
      </c>
      <c r="P178" s="443">
        <f t="shared" si="108"/>
        <v>15</v>
      </c>
      <c r="Q178" s="357" t="e">
        <f t="shared" si="109"/>
        <v>#DIV/0!</v>
      </c>
      <c r="R178" s="630"/>
      <c r="S178" s="630"/>
      <c r="T178" s="630"/>
      <c r="U178" s="630"/>
      <c r="V178" s="630"/>
      <c r="W178" s="630"/>
      <c r="X178" s="630"/>
      <c r="Y178" s="630"/>
      <c r="Z178" s="630"/>
      <c r="AA178" s="630"/>
      <c r="AB178" s="1">
        <f t="shared" si="110"/>
        <v>0</v>
      </c>
      <c r="AC178" s="357" t="e">
        <f t="shared" si="111"/>
        <v>#DIV/0!</v>
      </c>
      <c r="AD178" s="864"/>
      <c r="AE178" s="865"/>
      <c r="AF178" s="865"/>
      <c r="AG178" s="866"/>
      <c r="AH178" s="866"/>
      <c r="AI178" s="867"/>
    </row>
    <row r="179" spans="1:35" x14ac:dyDescent="0.25">
      <c r="A179" s="638"/>
      <c r="C179" s="630"/>
      <c r="D179" s="630"/>
      <c r="E179" s="630"/>
      <c r="F179" s="630"/>
      <c r="G179" s="264">
        <f t="shared" si="106"/>
        <v>0</v>
      </c>
      <c r="H179" s="442">
        <f t="shared" si="107"/>
        <v>0</v>
      </c>
      <c r="J179" s="630"/>
      <c r="K179" s="630"/>
      <c r="L179" s="630"/>
      <c r="M179" s="630"/>
      <c r="N179" s="1">
        <f>+(J179*Setup_and_Criteria!$F$13)+(K179*Setup_and_Criteria!$F$14)+(L179*Setup_and_Criteria!$F$15)+(M179*Setup_and_Criteria!$F$16)+Setup_and_Criteria!$J$16</f>
        <v>15</v>
      </c>
      <c r="O179" s="442">
        <f t="shared" si="112"/>
        <v>0</v>
      </c>
      <c r="P179" s="443">
        <f t="shared" si="108"/>
        <v>15</v>
      </c>
      <c r="Q179" s="357" t="e">
        <f t="shared" si="109"/>
        <v>#DIV/0!</v>
      </c>
      <c r="R179" s="630"/>
      <c r="S179" s="630"/>
      <c r="T179" s="630"/>
      <c r="U179" s="630"/>
      <c r="V179" s="630"/>
      <c r="W179" s="630"/>
      <c r="X179" s="630"/>
      <c r="Y179" s="630"/>
      <c r="Z179" s="630"/>
      <c r="AA179" s="630"/>
      <c r="AB179" s="1">
        <f t="shared" si="110"/>
        <v>0</v>
      </c>
      <c r="AC179" s="357" t="e">
        <f t="shared" si="111"/>
        <v>#DIV/0!</v>
      </c>
      <c r="AD179" s="864"/>
      <c r="AE179" s="865"/>
      <c r="AF179" s="865"/>
      <c r="AG179" s="866"/>
      <c r="AH179" s="866"/>
      <c r="AI179" s="867"/>
    </row>
    <row r="180" spans="1:35" x14ac:dyDescent="0.25">
      <c r="A180" s="638"/>
      <c r="C180" s="630"/>
      <c r="D180" s="630"/>
      <c r="E180" s="630"/>
      <c r="F180" s="630"/>
      <c r="G180" s="264">
        <f t="shared" si="106"/>
        <v>0</v>
      </c>
      <c r="H180" s="442">
        <f t="shared" si="107"/>
        <v>0</v>
      </c>
      <c r="J180" s="630"/>
      <c r="K180" s="630"/>
      <c r="L180" s="630"/>
      <c r="M180" s="630"/>
      <c r="N180" s="1">
        <f>+(J180*Setup_and_Criteria!$F$13)+(K180*Setup_and_Criteria!$F$14)+(L180*Setup_and_Criteria!$F$15)+(M180*Setup_and_Criteria!$F$16)+Setup_and_Criteria!$J$16</f>
        <v>15</v>
      </c>
      <c r="O180" s="442">
        <f t="shared" si="112"/>
        <v>0</v>
      </c>
      <c r="P180" s="443">
        <f t="shared" si="108"/>
        <v>15</v>
      </c>
      <c r="Q180" s="357" t="e">
        <f t="shared" si="109"/>
        <v>#DIV/0!</v>
      </c>
      <c r="R180" s="630"/>
      <c r="S180" s="630"/>
      <c r="T180" s="630"/>
      <c r="U180" s="630"/>
      <c r="V180" s="630"/>
      <c r="W180" s="630"/>
      <c r="X180" s="630"/>
      <c r="Y180" s="630"/>
      <c r="Z180" s="630"/>
      <c r="AA180" s="630"/>
      <c r="AB180" s="1">
        <f t="shared" si="110"/>
        <v>0</v>
      </c>
      <c r="AC180" s="357" t="e">
        <f t="shared" si="111"/>
        <v>#DIV/0!</v>
      </c>
      <c r="AD180" s="864"/>
      <c r="AE180" s="865"/>
      <c r="AF180" s="865"/>
      <c r="AG180" s="866"/>
      <c r="AH180" s="866"/>
      <c r="AI180" s="867"/>
    </row>
    <row r="181" spans="1:35" x14ac:dyDescent="0.25">
      <c r="A181" s="638"/>
      <c r="C181" s="630"/>
      <c r="D181" s="630"/>
      <c r="E181" s="630"/>
      <c r="F181" s="630"/>
      <c r="G181" s="264">
        <f t="shared" si="106"/>
        <v>0</v>
      </c>
      <c r="H181" s="442">
        <f t="shared" si="107"/>
        <v>0</v>
      </c>
      <c r="J181" s="630"/>
      <c r="K181" s="630"/>
      <c r="L181" s="630"/>
      <c r="M181" s="630"/>
      <c r="N181" s="1">
        <f>+(J181*Setup_and_Criteria!$F$13)+(K181*Setup_and_Criteria!$F$14)+(L181*Setup_and_Criteria!$F$15)+(M181*Setup_and_Criteria!$F$16)+Setup_and_Criteria!$J$16</f>
        <v>15</v>
      </c>
      <c r="O181" s="442">
        <f t="shared" si="112"/>
        <v>0</v>
      </c>
      <c r="P181" s="443">
        <f t="shared" si="108"/>
        <v>15</v>
      </c>
      <c r="Q181" s="357" t="e">
        <f t="shared" si="109"/>
        <v>#DIV/0!</v>
      </c>
      <c r="R181" s="630"/>
      <c r="S181" s="630"/>
      <c r="T181" s="630"/>
      <c r="U181" s="630"/>
      <c r="V181" s="630"/>
      <c r="W181" s="630"/>
      <c r="X181" s="630"/>
      <c r="Y181" s="630"/>
      <c r="Z181" s="630"/>
      <c r="AA181" s="630"/>
      <c r="AB181" s="1">
        <f t="shared" si="110"/>
        <v>0</v>
      </c>
      <c r="AC181" s="357" t="e">
        <f t="shared" si="111"/>
        <v>#DIV/0!</v>
      </c>
      <c r="AD181" s="864"/>
      <c r="AE181" s="865"/>
      <c r="AF181" s="865"/>
      <c r="AG181" s="866"/>
      <c r="AH181" s="866"/>
      <c r="AI181" s="867"/>
    </row>
    <row r="182" spans="1:35" ht="15.75" thickBot="1" x14ac:dyDescent="0.3">
      <c r="A182" s="638"/>
      <c r="C182" s="370"/>
      <c r="D182" s="370"/>
      <c r="E182" s="630"/>
      <c r="F182" s="630"/>
      <c r="G182" s="264">
        <f t="shared" si="106"/>
        <v>0</v>
      </c>
      <c r="H182" s="442">
        <f t="shared" si="107"/>
        <v>0</v>
      </c>
      <c r="J182" s="371"/>
      <c r="K182" s="371"/>
      <c r="L182" s="371"/>
      <c r="M182" s="371"/>
      <c r="N182" s="358">
        <f>+(J182*Setup_and_Criteria!$F$13)+(K182*Setup_and_Criteria!$F$14)+(L182*Setup_and_Criteria!$F$15)+(M182*Setup_and_Criteria!$F$16)+Setup_and_Criteria!$J$16</f>
        <v>15</v>
      </c>
      <c r="O182" s="359">
        <f t="shared" si="112"/>
        <v>0</v>
      </c>
      <c r="P182" s="383">
        <f t="shared" si="108"/>
        <v>15</v>
      </c>
      <c r="Q182" s="360" t="e">
        <f t="shared" si="109"/>
        <v>#DIV/0!</v>
      </c>
      <c r="R182" s="511"/>
      <c r="S182" s="511"/>
      <c r="T182" s="511"/>
      <c r="U182" s="511"/>
      <c r="V182" s="511"/>
      <c r="W182" s="511"/>
      <c r="X182" s="511"/>
      <c r="Y182" s="511"/>
      <c r="Z182" s="511"/>
      <c r="AA182" s="511"/>
      <c r="AB182" s="1">
        <f t="shared" si="110"/>
        <v>0</v>
      </c>
      <c r="AC182" s="357" t="e">
        <f t="shared" si="111"/>
        <v>#DIV/0!</v>
      </c>
      <c r="AD182" s="864"/>
      <c r="AE182" s="865"/>
      <c r="AF182" s="865"/>
      <c r="AG182" s="866"/>
      <c r="AH182" s="866"/>
      <c r="AI182" s="867"/>
    </row>
    <row r="183" spans="1:35" ht="15.75" thickTop="1" x14ac:dyDescent="0.25">
      <c r="A183" s="58"/>
      <c r="H183" s="442">
        <f>SUM(H177:H182)</f>
        <v>0</v>
      </c>
      <c r="J183" s="1">
        <f>SUM(J177:J182)</f>
        <v>0</v>
      </c>
      <c r="K183" s="1">
        <f>SUM(K177:K182)</f>
        <v>0</v>
      </c>
      <c r="L183" s="1">
        <f>SUM(L177:L182)</f>
        <v>0</v>
      </c>
      <c r="M183" s="1">
        <f>SUM(M177:M182)</f>
        <v>0</v>
      </c>
      <c r="N183" s="1">
        <f>SUM(N177:N182)</f>
        <v>90</v>
      </c>
      <c r="O183" s="1">
        <f t="shared" si="112"/>
        <v>0</v>
      </c>
      <c r="P183" s="443">
        <f t="shared" si="108"/>
        <v>90</v>
      </c>
      <c r="Q183" s="357" t="e">
        <f t="shared" si="109"/>
        <v>#DIV/0!</v>
      </c>
      <c r="R183" s="1">
        <f t="shared" ref="R183:AA183" si="113">SUM(R177:R182)</f>
        <v>0</v>
      </c>
      <c r="S183" s="1">
        <f t="shared" si="113"/>
        <v>0</v>
      </c>
      <c r="T183" s="1">
        <f t="shared" si="113"/>
        <v>0</v>
      </c>
      <c r="U183" s="1">
        <f t="shared" si="113"/>
        <v>0</v>
      </c>
      <c r="V183" s="1">
        <f t="shared" si="113"/>
        <v>0</v>
      </c>
      <c r="W183" s="1">
        <f t="shared" si="113"/>
        <v>0</v>
      </c>
      <c r="X183" s="1">
        <f t="shared" si="113"/>
        <v>0</v>
      </c>
      <c r="Y183" s="1">
        <f t="shared" si="113"/>
        <v>0</v>
      </c>
      <c r="Z183" s="1">
        <f t="shared" si="113"/>
        <v>0</v>
      </c>
      <c r="AA183" s="1">
        <f t="shared" si="113"/>
        <v>0</v>
      </c>
      <c r="AB183" s="1">
        <f t="shared" si="110"/>
        <v>0</v>
      </c>
      <c r="AC183" s="357" t="e">
        <f t="shared" si="111"/>
        <v>#DIV/0!</v>
      </c>
      <c r="AD183" s="877"/>
      <c r="AE183" s="878"/>
      <c r="AF183" s="878"/>
      <c r="AG183" s="749"/>
      <c r="AH183" s="749"/>
      <c r="AI183" s="879"/>
    </row>
    <row r="184" spans="1:35" ht="21" customHeight="1" x14ac:dyDescent="0.35">
      <c r="A184" s="58"/>
      <c r="H184" s="442"/>
      <c r="N184" s="888" t="s">
        <v>145</v>
      </c>
      <c r="O184" s="888"/>
      <c r="P184" s="888"/>
      <c r="Q184" s="888"/>
      <c r="R184" s="431" t="s">
        <v>146</v>
      </c>
      <c r="S184" s="431"/>
      <c r="T184" s="431"/>
      <c r="U184" s="431"/>
      <c r="V184" s="431"/>
      <c r="W184" s="431"/>
      <c r="X184" s="431"/>
      <c r="Y184" s="431"/>
      <c r="Z184" s="431"/>
      <c r="AA184" s="431"/>
      <c r="AB184" s="431"/>
      <c r="AC184" s="431"/>
      <c r="AD184" s="880" t="s">
        <v>132</v>
      </c>
      <c r="AE184" s="881"/>
      <c r="AF184" s="881"/>
      <c r="AG184" s="881"/>
      <c r="AH184" s="881"/>
      <c r="AI184" s="882"/>
    </row>
    <row r="185" spans="1:35" ht="31.5" customHeight="1" x14ac:dyDescent="0.35">
      <c r="A185" s="617" t="s">
        <v>147</v>
      </c>
      <c r="C185" s="885" t="s">
        <v>128</v>
      </c>
      <c r="D185" s="885"/>
      <c r="E185" s="885"/>
      <c r="F185" s="885"/>
      <c r="H185" s="442"/>
      <c r="J185" s="444"/>
      <c r="K185" s="445" t="s">
        <v>35</v>
      </c>
      <c r="L185" s="445" t="s">
        <v>148</v>
      </c>
      <c r="N185" s="446" t="s">
        <v>149</v>
      </c>
      <c r="O185" s="447" t="s">
        <v>150</v>
      </c>
      <c r="P185" s="447" t="s">
        <v>138</v>
      </c>
      <c r="Q185" s="447" t="s">
        <v>151</v>
      </c>
      <c r="R185" s="749" t="s">
        <v>152</v>
      </c>
      <c r="S185" s="749"/>
      <c r="T185" s="883" t="s">
        <v>153</v>
      </c>
      <c r="U185" s="883"/>
      <c r="W185" s="425" t="s">
        <v>154</v>
      </c>
      <c r="X185" s="425"/>
      <c r="Y185" s="425"/>
      <c r="Z185" s="425"/>
      <c r="AA185" s="425"/>
      <c r="AB185" s="425"/>
      <c r="AC185" s="425"/>
      <c r="AD185" s="868" t="s">
        <v>160</v>
      </c>
      <c r="AE185" s="869"/>
      <c r="AF185" s="869"/>
      <c r="AG185" s="869"/>
      <c r="AH185" s="869"/>
      <c r="AI185" s="870"/>
    </row>
    <row r="186" spans="1:35" ht="18" customHeight="1" thickBot="1" x14ac:dyDescent="0.3">
      <c r="A186" s="639"/>
      <c r="B186" s="375"/>
      <c r="C186" s="372"/>
      <c r="D186" s="372"/>
      <c r="E186" s="372"/>
      <c r="F186" s="372"/>
      <c r="G186" s="366">
        <f>+(D186-C186)+(F186-E186)</f>
        <v>0</v>
      </c>
      <c r="H186" s="367">
        <f>+G186*1440</f>
        <v>0</v>
      </c>
      <c r="I186" s="859" t="s">
        <v>155</v>
      </c>
      <c r="J186" s="860"/>
      <c r="K186" s="373"/>
      <c r="L186" s="374"/>
      <c r="M186" s="423"/>
      <c r="N186" s="629">
        <f>+J183+L183+K183+K186+L186</f>
        <v>0</v>
      </c>
      <c r="O186" s="368">
        <f>+(Setup_and_Criteria!$K$31+(J183*Setup_and_Criteria!$F$20)+('M1_1-15th'!K183*Setup_and_Criteria!$F$21)+('M1_1-15th'!L183*Setup_and_Criteria!$F$20))+T186+(K186*Setup_and_Criteria!$F$21)+(Setup_and_Criteria!$F$22*'M1_1-15th'!L186)</f>
        <v>75</v>
      </c>
      <c r="P186" s="367">
        <f>+H186</f>
        <v>0</v>
      </c>
      <c r="Q186" s="367">
        <f>+O186-P186</f>
        <v>75</v>
      </c>
      <c r="R186" s="861" t="s">
        <v>252</v>
      </c>
      <c r="S186" s="861"/>
      <c r="T186" s="862"/>
      <c r="U186" s="863"/>
      <c r="V186" s="265" t="s">
        <v>156</v>
      </c>
      <c r="W186" s="854"/>
      <c r="X186" s="855"/>
      <c r="Y186" s="855"/>
      <c r="Z186" s="855"/>
      <c r="AA186" s="855"/>
      <c r="AB186" s="855"/>
      <c r="AC186" s="855"/>
      <c r="AD186" s="868"/>
      <c r="AE186" s="869"/>
      <c r="AF186" s="869"/>
      <c r="AG186" s="869"/>
      <c r="AH186" s="869"/>
      <c r="AI186" s="870"/>
    </row>
    <row r="187" spans="1:35" ht="15.75" thickBot="1" x14ac:dyDescent="0.3">
      <c r="A187" s="449" t="str">
        <f>+A174</f>
        <v>Password to enter data = "Enter Info"</v>
      </c>
      <c r="B187" s="450"/>
      <c r="C187" s="451"/>
      <c r="D187" s="451"/>
      <c r="E187" s="451"/>
      <c r="F187" s="451"/>
      <c r="G187" s="451"/>
      <c r="H187" s="451"/>
      <c r="I187" s="450"/>
      <c r="J187" s="451"/>
      <c r="K187" s="451"/>
      <c r="L187" s="451"/>
      <c r="M187" s="451"/>
      <c r="N187" s="451"/>
      <c r="O187" s="451"/>
      <c r="P187" s="451"/>
      <c r="Q187" s="450"/>
      <c r="R187" s="451"/>
      <c r="S187" s="451"/>
      <c r="T187" s="451"/>
      <c r="U187" s="451"/>
      <c r="V187" s="451"/>
      <c r="W187" s="451"/>
      <c r="X187" s="451"/>
      <c r="Y187" s="451"/>
      <c r="Z187" s="451"/>
      <c r="AA187" s="451"/>
      <c r="AB187" s="450"/>
      <c r="AC187" s="450"/>
      <c r="AD187" s="871"/>
      <c r="AE187" s="872"/>
      <c r="AF187" s="872"/>
      <c r="AG187" s="872"/>
      <c r="AH187" s="872"/>
      <c r="AI187" s="873"/>
    </row>
    <row r="188" spans="1:35" ht="35.25" customHeight="1" x14ac:dyDescent="0.4">
      <c r="A188" s="434" t="str">
        <f>+A175</f>
        <v>May</v>
      </c>
      <c r="B188" s="624">
        <f>+B175+1</f>
        <v>30</v>
      </c>
      <c r="C188" s="884" t="s">
        <v>128</v>
      </c>
      <c r="D188" s="884"/>
      <c r="E188" s="884"/>
      <c r="F188" s="884"/>
      <c r="G188" s="377"/>
      <c r="H188" s="377"/>
      <c r="I188" s="21"/>
      <c r="J188" s="874" t="s">
        <v>129</v>
      </c>
      <c r="K188" s="875"/>
      <c r="L188" s="875"/>
      <c r="M188" s="875"/>
      <c r="N188" s="876" t="s">
        <v>130</v>
      </c>
      <c r="O188" s="876"/>
      <c r="P188" s="876"/>
      <c r="Q188" s="876"/>
      <c r="R188" s="424" t="str">
        <f>+R175</f>
        <v xml:space="preserve"> Corrections Tracking - Check out rooms</v>
      </c>
      <c r="S188" s="424"/>
      <c r="T188" s="424"/>
      <c r="U188" s="424"/>
      <c r="V188" s="424"/>
      <c r="W188" s="424"/>
      <c r="X188" s="424"/>
      <c r="Y188" s="424"/>
      <c r="Z188" s="424"/>
      <c r="AA188" s="424"/>
      <c r="AB188" s="424"/>
      <c r="AC188" s="424"/>
      <c r="AD188" s="461" t="s">
        <v>132</v>
      </c>
      <c r="AE188" s="426"/>
      <c r="AF188" s="426"/>
      <c r="AG188" s="426"/>
      <c r="AH188" s="426"/>
      <c r="AI188" s="427"/>
    </row>
    <row r="189" spans="1:35" ht="59.25" customHeight="1" x14ac:dyDescent="0.25">
      <c r="A189" s="378" t="s">
        <v>133</v>
      </c>
      <c r="C189" s="435" t="s">
        <v>134</v>
      </c>
      <c r="D189" s="435" t="s">
        <v>135</v>
      </c>
      <c r="E189" s="435" t="s">
        <v>134</v>
      </c>
      <c r="F189" s="435" t="s">
        <v>135</v>
      </c>
      <c r="G189" s="1" t="s">
        <v>136</v>
      </c>
      <c r="H189" s="1" t="s">
        <v>108</v>
      </c>
      <c r="I189" s="436"/>
      <c r="J189" s="437" t="str">
        <f>+Setup_and_Criteria!$B$13</f>
        <v>Checkouts</v>
      </c>
      <c r="K189" s="437" t="str">
        <f>+Setup_and_Criteria!$B$14</f>
        <v>Pet Rooms</v>
      </c>
      <c r="L189" s="437" t="str">
        <f>+Setup_and_Criteria!$B$15</f>
        <v>2 Rm &amp; Jac Stes</v>
      </c>
      <c r="M189" s="438" t="str">
        <f>+Setup_and_Criteria!$B$16</f>
        <v>Stayovers</v>
      </c>
      <c r="N189" s="269" t="s">
        <v>137</v>
      </c>
      <c r="O189" s="269" t="s">
        <v>138</v>
      </c>
      <c r="P189" s="439" t="s">
        <v>139</v>
      </c>
      <c r="Q189" s="439" t="s">
        <v>140</v>
      </c>
      <c r="R189" s="440" t="str">
        <f>+Corrections!$C$8</f>
        <v>Vanity</v>
      </c>
      <c r="S189" s="440" t="str">
        <f>+Corrections!$I$8</f>
        <v>Toilet</v>
      </c>
      <c r="T189" s="440" t="str">
        <f>+Corrections!$O$8</f>
        <v>Bed/Pillows</v>
      </c>
      <c r="U189" s="440" t="str">
        <f>+Corrections!$U$8</f>
        <v>Floor</v>
      </c>
      <c r="V189" s="440" t="str">
        <f>+Corrections!$AA$8</f>
        <v>Dusting</v>
      </c>
      <c r="W189" s="440" t="str">
        <f>+Corrections!$AG$8</f>
        <v>Fridge/Micro</v>
      </c>
      <c r="X189" s="440" t="str">
        <f>+Corrections!$AM$8</f>
        <v>Tub</v>
      </c>
      <c r="Y189" s="441" t="str">
        <f>+Corrections!$AS$8</f>
        <v>Mirrors/Glass</v>
      </c>
      <c r="Z189" s="440" t="str">
        <f>+Corrections!$AY$8</f>
        <v>Stocking</v>
      </c>
      <c r="AA189" s="440" t="str">
        <f>+Corrections!$BE$8</f>
        <v>Other</v>
      </c>
      <c r="AB189" s="269" t="s">
        <v>141</v>
      </c>
      <c r="AC189" s="269" t="str">
        <f>+$AC$7</f>
        <v>Daily Corr / Inspected Checkout</v>
      </c>
      <c r="AD189" s="889" t="s">
        <v>143</v>
      </c>
      <c r="AE189" s="890"/>
      <c r="AF189" s="890"/>
      <c r="AG189" s="890"/>
      <c r="AH189" s="890"/>
      <c r="AI189" s="891"/>
    </row>
    <row r="190" spans="1:35" x14ac:dyDescent="0.25">
      <c r="A190" s="638"/>
      <c r="C190" s="369"/>
      <c r="D190" s="369"/>
      <c r="E190" s="369"/>
      <c r="F190" s="369"/>
      <c r="G190" s="264">
        <f t="shared" ref="G190:G195" si="114">+(D190-C190)+(F190-E190)</f>
        <v>0</v>
      </c>
      <c r="H190" s="442">
        <f t="shared" ref="H190:H195" si="115">+G190*1440</f>
        <v>0</v>
      </c>
      <c r="J190" s="630"/>
      <c r="K190" s="630"/>
      <c r="L190" s="630"/>
      <c r="M190" s="630"/>
      <c r="N190" s="1">
        <f>+(J190*Setup_and_Criteria!$F$13)+(K190*Setup_and_Criteria!$F$14)+(L190*Setup_and_Criteria!$F$15)+(M190*Setup_and_Criteria!$F$16)+Setup_and_Criteria!$J$16</f>
        <v>15</v>
      </c>
      <c r="O190" s="442">
        <f>+H190</f>
        <v>0</v>
      </c>
      <c r="P190" s="443">
        <f t="shared" ref="P190:P196" si="116">+N190-O190</f>
        <v>15</v>
      </c>
      <c r="Q190" s="357" t="e">
        <f t="shared" ref="Q190:Q196" si="117">O190/_xlfn.SINGLE(SUM(J190:M190))</f>
        <v>#DIV/0!</v>
      </c>
      <c r="R190" s="630"/>
      <c r="S190" s="630"/>
      <c r="T190" s="630"/>
      <c r="U190" s="630"/>
      <c r="V190" s="630"/>
      <c r="W190" s="630"/>
      <c r="X190" s="630"/>
      <c r="Y190" s="630"/>
      <c r="Z190" s="630"/>
      <c r="AA190" s="630"/>
      <c r="AB190" s="1">
        <f t="shared" ref="AB190:AB196" si="118">SUM(R190:AA190)</f>
        <v>0</v>
      </c>
      <c r="AC190" s="357" t="e">
        <f t="shared" ref="AC190:AC196" si="119">+AB190/(J190+K190+L190)</f>
        <v>#DIV/0!</v>
      </c>
      <c r="AD190" s="864" t="s">
        <v>144</v>
      </c>
      <c r="AE190" s="865"/>
      <c r="AF190" s="865"/>
      <c r="AG190" s="866"/>
      <c r="AH190" s="866"/>
      <c r="AI190" s="867"/>
    </row>
    <row r="191" spans="1:35" x14ac:dyDescent="0.25">
      <c r="A191" s="638"/>
      <c r="C191" s="630"/>
      <c r="D191" s="630"/>
      <c r="E191" s="630"/>
      <c r="F191" s="630"/>
      <c r="G191" s="264">
        <f t="shared" si="114"/>
        <v>0</v>
      </c>
      <c r="H191" s="442">
        <f t="shared" si="115"/>
        <v>0</v>
      </c>
      <c r="J191" s="630"/>
      <c r="K191" s="630"/>
      <c r="L191" s="630"/>
      <c r="M191" s="630"/>
      <c r="N191" s="1">
        <f>+(J191*Setup_and_Criteria!$F$13)+(K191*Setup_and_Criteria!$F$14)+(L191*Setup_and_Criteria!$F$15)+(M191*Setup_and_Criteria!$F$16)+Setup_and_Criteria!$J$16</f>
        <v>15</v>
      </c>
      <c r="O191" s="442">
        <f t="shared" ref="O191:O196" si="120">+H191</f>
        <v>0</v>
      </c>
      <c r="P191" s="443">
        <f t="shared" si="116"/>
        <v>15</v>
      </c>
      <c r="Q191" s="357" t="e">
        <f t="shared" si="117"/>
        <v>#DIV/0!</v>
      </c>
      <c r="R191" s="630"/>
      <c r="S191" s="630"/>
      <c r="T191" s="630"/>
      <c r="U191" s="630"/>
      <c r="V191" s="630"/>
      <c r="W191" s="630"/>
      <c r="X191" s="630"/>
      <c r="Y191" s="630"/>
      <c r="Z191" s="630"/>
      <c r="AA191" s="630"/>
      <c r="AB191" s="1">
        <f t="shared" si="118"/>
        <v>0</v>
      </c>
      <c r="AC191" s="357" t="e">
        <f t="shared" si="119"/>
        <v>#DIV/0!</v>
      </c>
      <c r="AD191" s="864"/>
      <c r="AE191" s="865"/>
      <c r="AF191" s="865"/>
      <c r="AG191" s="866"/>
      <c r="AH191" s="866"/>
      <c r="AI191" s="867"/>
    </row>
    <row r="192" spans="1:35" x14ac:dyDescent="0.25">
      <c r="A192" s="638"/>
      <c r="C192" s="630"/>
      <c r="D192" s="630"/>
      <c r="E192" s="630"/>
      <c r="F192" s="630"/>
      <c r="G192" s="264">
        <f t="shared" si="114"/>
        <v>0</v>
      </c>
      <c r="H192" s="442">
        <f t="shared" si="115"/>
        <v>0</v>
      </c>
      <c r="J192" s="630"/>
      <c r="K192" s="630"/>
      <c r="L192" s="630"/>
      <c r="M192" s="630"/>
      <c r="N192" s="1">
        <f>+(J192*Setup_and_Criteria!$F$13)+(K192*Setup_and_Criteria!$F$14)+(L192*Setup_and_Criteria!$F$15)+(M192*Setup_and_Criteria!$F$16)+Setup_and_Criteria!$J$16</f>
        <v>15</v>
      </c>
      <c r="O192" s="442">
        <f t="shared" si="120"/>
        <v>0</v>
      </c>
      <c r="P192" s="443">
        <f t="shared" si="116"/>
        <v>15</v>
      </c>
      <c r="Q192" s="357" t="e">
        <f t="shared" si="117"/>
        <v>#DIV/0!</v>
      </c>
      <c r="R192" s="630"/>
      <c r="S192" s="630"/>
      <c r="T192" s="630"/>
      <c r="U192" s="630"/>
      <c r="V192" s="630"/>
      <c r="W192" s="630"/>
      <c r="X192" s="630"/>
      <c r="Y192" s="630"/>
      <c r="Z192" s="630"/>
      <c r="AA192" s="630"/>
      <c r="AB192" s="1">
        <f t="shared" si="118"/>
        <v>0</v>
      </c>
      <c r="AC192" s="357" t="e">
        <f t="shared" si="119"/>
        <v>#DIV/0!</v>
      </c>
      <c r="AD192" s="864"/>
      <c r="AE192" s="865"/>
      <c r="AF192" s="865"/>
      <c r="AG192" s="866"/>
      <c r="AH192" s="866"/>
      <c r="AI192" s="867"/>
    </row>
    <row r="193" spans="1:35" x14ac:dyDescent="0.25">
      <c r="A193" s="638"/>
      <c r="C193" s="630"/>
      <c r="D193" s="630"/>
      <c r="E193" s="630"/>
      <c r="F193" s="630"/>
      <c r="G193" s="264">
        <f t="shared" si="114"/>
        <v>0</v>
      </c>
      <c r="H193" s="442">
        <f t="shared" si="115"/>
        <v>0</v>
      </c>
      <c r="J193" s="630"/>
      <c r="K193" s="630"/>
      <c r="L193" s="630"/>
      <c r="M193" s="630"/>
      <c r="N193" s="1">
        <f>+(J193*Setup_and_Criteria!$F$13)+(K193*Setup_and_Criteria!$F$14)+(L193*Setup_and_Criteria!$F$15)+(M193*Setup_and_Criteria!$F$16)+Setup_and_Criteria!$J$16</f>
        <v>15</v>
      </c>
      <c r="O193" s="442">
        <f t="shared" si="120"/>
        <v>0</v>
      </c>
      <c r="P193" s="443">
        <f t="shared" si="116"/>
        <v>15</v>
      </c>
      <c r="Q193" s="357" t="e">
        <f t="shared" si="117"/>
        <v>#DIV/0!</v>
      </c>
      <c r="R193" s="630"/>
      <c r="S193" s="630"/>
      <c r="T193" s="630"/>
      <c r="U193" s="630"/>
      <c r="V193" s="630"/>
      <c r="W193" s="630"/>
      <c r="X193" s="630"/>
      <c r="Y193" s="630"/>
      <c r="Z193" s="630"/>
      <c r="AA193" s="630"/>
      <c r="AB193" s="1">
        <f t="shared" si="118"/>
        <v>0</v>
      </c>
      <c r="AC193" s="357" t="e">
        <f t="shared" si="119"/>
        <v>#DIV/0!</v>
      </c>
      <c r="AD193" s="864"/>
      <c r="AE193" s="865"/>
      <c r="AF193" s="865"/>
      <c r="AG193" s="866"/>
      <c r="AH193" s="866"/>
      <c r="AI193" s="867"/>
    </row>
    <row r="194" spans="1:35" x14ac:dyDescent="0.25">
      <c r="A194" s="638"/>
      <c r="C194" s="630"/>
      <c r="D194" s="630"/>
      <c r="E194" s="630"/>
      <c r="F194" s="630"/>
      <c r="G194" s="264">
        <f t="shared" si="114"/>
        <v>0</v>
      </c>
      <c r="H194" s="442">
        <f t="shared" si="115"/>
        <v>0</v>
      </c>
      <c r="J194" s="630"/>
      <c r="K194" s="630"/>
      <c r="L194" s="630"/>
      <c r="M194" s="630"/>
      <c r="N194" s="1">
        <f>+(J194*Setup_and_Criteria!$F$13)+(K194*Setup_and_Criteria!$F$14)+(L194*Setup_and_Criteria!$F$15)+(M194*Setup_and_Criteria!$F$16)+Setup_and_Criteria!$J$16</f>
        <v>15</v>
      </c>
      <c r="O194" s="442">
        <f t="shared" si="120"/>
        <v>0</v>
      </c>
      <c r="P194" s="443">
        <f t="shared" si="116"/>
        <v>15</v>
      </c>
      <c r="Q194" s="357" t="e">
        <f t="shared" si="117"/>
        <v>#DIV/0!</v>
      </c>
      <c r="R194" s="630"/>
      <c r="S194" s="630"/>
      <c r="T194" s="630"/>
      <c r="U194" s="630"/>
      <c r="V194" s="630"/>
      <c r="W194" s="630"/>
      <c r="X194" s="630"/>
      <c r="Y194" s="630"/>
      <c r="Z194" s="630"/>
      <c r="AA194" s="630"/>
      <c r="AB194" s="1">
        <f t="shared" si="118"/>
        <v>0</v>
      </c>
      <c r="AC194" s="357" t="e">
        <f t="shared" si="119"/>
        <v>#DIV/0!</v>
      </c>
      <c r="AD194" s="864"/>
      <c r="AE194" s="865"/>
      <c r="AF194" s="865"/>
      <c r="AG194" s="866"/>
      <c r="AH194" s="866"/>
      <c r="AI194" s="867"/>
    </row>
    <row r="195" spans="1:35" ht="15.75" thickBot="1" x14ac:dyDescent="0.3">
      <c r="A195" s="638"/>
      <c r="C195" s="370"/>
      <c r="D195" s="370"/>
      <c r="E195" s="630"/>
      <c r="F195" s="630"/>
      <c r="G195" s="264">
        <f t="shared" si="114"/>
        <v>0</v>
      </c>
      <c r="H195" s="442">
        <f t="shared" si="115"/>
        <v>0</v>
      </c>
      <c r="J195" s="371"/>
      <c r="K195" s="371"/>
      <c r="L195" s="371"/>
      <c r="M195" s="371"/>
      <c r="N195" s="358">
        <f>+(J195*Setup_and_Criteria!$F$13)+(K195*Setup_and_Criteria!$F$14)+(L195*Setup_and_Criteria!$F$15)+(M195*Setup_and_Criteria!$F$16)+Setup_and_Criteria!$J$16</f>
        <v>15</v>
      </c>
      <c r="O195" s="359">
        <f t="shared" si="120"/>
        <v>0</v>
      </c>
      <c r="P195" s="383">
        <f t="shared" si="116"/>
        <v>15</v>
      </c>
      <c r="Q195" s="360" t="e">
        <f t="shared" si="117"/>
        <v>#DIV/0!</v>
      </c>
      <c r="R195" s="511"/>
      <c r="S195" s="511"/>
      <c r="T195" s="511"/>
      <c r="U195" s="511"/>
      <c r="V195" s="511"/>
      <c r="W195" s="511"/>
      <c r="X195" s="511"/>
      <c r="Y195" s="511"/>
      <c r="Z195" s="511"/>
      <c r="AA195" s="511"/>
      <c r="AB195" s="358">
        <f t="shared" si="118"/>
        <v>0</v>
      </c>
      <c r="AC195" s="357" t="e">
        <f t="shared" si="119"/>
        <v>#DIV/0!</v>
      </c>
      <c r="AD195" s="864"/>
      <c r="AE195" s="865"/>
      <c r="AF195" s="865"/>
      <c r="AG195" s="866"/>
      <c r="AH195" s="866"/>
      <c r="AI195" s="867"/>
    </row>
    <row r="196" spans="1:35" ht="15.75" thickTop="1" x14ac:dyDescent="0.25">
      <c r="A196" s="58"/>
      <c r="H196" s="442">
        <f>SUM(H190:H195)</f>
        <v>0</v>
      </c>
      <c r="J196" s="1">
        <f>SUM(J190:J195)</f>
        <v>0</v>
      </c>
      <c r="K196" s="1">
        <f>SUM(K190:K195)</f>
        <v>0</v>
      </c>
      <c r="L196" s="1">
        <f>SUM(L190:L195)</f>
        <v>0</v>
      </c>
      <c r="M196" s="1">
        <f>SUM(M190:M195)</f>
        <v>0</v>
      </c>
      <c r="N196" s="1">
        <f>SUM(N190:N195)</f>
        <v>90</v>
      </c>
      <c r="O196" s="1">
        <f t="shared" si="120"/>
        <v>0</v>
      </c>
      <c r="P196" s="443">
        <f t="shared" si="116"/>
        <v>90</v>
      </c>
      <c r="Q196" s="357" t="e">
        <f t="shared" si="117"/>
        <v>#DIV/0!</v>
      </c>
      <c r="R196" s="1">
        <f t="shared" ref="R196:AA196" si="121">SUM(R190:R195)</f>
        <v>0</v>
      </c>
      <c r="S196" s="1">
        <f t="shared" si="121"/>
        <v>0</v>
      </c>
      <c r="T196" s="1">
        <f t="shared" si="121"/>
        <v>0</v>
      </c>
      <c r="U196" s="1">
        <f t="shared" si="121"/>
        <v>0</v>
      </c>
      <c r="V196" s="1">
        <f t="shared" si="121"/>
        <v>0</v>
      </c>
      <c r="W196" s="1">
        <f t="shared" si="121"/>
        <v>0</v>
      </c>
      <c r="X196" s="1">
        <f t="shared" si="121"/>
        <v>0</v>
      </c>
      <c r="Y196" s="1">
        <f t="shared" si="121"/>
        <v>0</v>
      </c>
      <c r="Z196" s="1">
        <f t="shared" si="121"/>
        <v>0</v>
      </c>
      <c r="AA196" s="1">
        <f t="shared" si="121"/>
        <v>0</v>
      </c>
      <c r="AB196" s="1">
        <f t="shared" si="118"/>
        <v>0</v>
      </c>
      <c r="AC196" s="357" t="e">
        <f t="shared" si="119"/>
        <v>#DIV/0!</v>
      </c>
      <c r="AD196" s="877"/>
      <c r="AE196" s="878"/>
      <c r="AF196" s="878"/>
      <c r="AG196" s="749"/>
      <c r="AH196" s="749"/>
      <c r="AI196" s="879"/>
    </row>
    <row r="197" spans="1:35" ht="21" customHeight="1" x14ac:dyDescent="0.35">
      <c r="A197" s="58"/>
      <c r="H197" s="442"/>
      <c r="N197" s="888" t="s">
        <v>145</v>
      </c>
      <c r="O197" s="888"/>
      <c r="P197" s="888"/>
      <c r="Q197" s="888"/>
      <c r="R197" s="431" t="s">
        <v>146</v>
      </c>
      <c r="S197" s="431"/>
      <c r="T197" s="431"/>
      <c r="U197" s="431"/>
      <c r="V197" s="431"/>
      <c r="W197" s="431"/>
      <c r="X197" s="431"/>
      <c r="Y197" s="431"/>
      <c r="Z197" s="431"/>
      <c r="AA197" s="431"/>
      <c r="AB197" s="431"/>
      <c r="AC197" s="431"/>
      <c r="AD197" s="880" t="s">
        <v>132</v>
      </c>
      <c r="AE197" s="881"/>
      <c r="AF197" s="881"/>
      <c r="AG197" s="881"/>
      <c r="AH197" s="881"/>
      <c r="AI197" s="882"/>
    </row>
    <row r="198" spans="1:35" ht="31.5" customHeight="1" x14ac:dyDescent="0.35">
      <c r="A198" s="617" t="s">
        <v>147</v>
      </c>
      <c r="C198" s="885" t="s">
        <v>128</v>
      </c>
      <c r="D198" s="885"/>
      <c r="E198" s="885"/>
      <c r="F198" s="885"/>
      <c r="H198" s="442"/>
      <c r="J198" s="444"/>
      <c r="K198" s="445" t="s">
        <v>35</v>
      </c>
      <c r="L198" s="445" t="s">
        <v>148</v>
      </c>
      <c r="N198" s="446" t="s">
        <v>149</v>
      </c>
      <c r="O198" s="447" t="s">
        <v>150</v>
      </c>
      <c r="P198" s="447" t="s">
        <v>138</v>
      </c>
      <c r="Q198" s="447" t="s">
        <v>151</v>
      </c>
      <c r="R198" s="749" t="s">
        <v>152</v>
      </c>
      <c r="S198" s="749"/>
      <c r="T198" s="883" t="s">
        <v>153</v>
      </c>
      <c r="U198" s="883"/>
      <c r="W198" s="425" t="s">
        <v>154</v>
      </c>
      <c r="X198" s="425"/>
      <c r="Y198" s="425"/>
      <c r="Z198" s="425"/>
      <c r="AA198" s="425"/>
      <c r="AB198" s="425"/>
      <c r="AC198" s="425"/>
      <c r="AD198" s="868" t="s">
        <v>160</v>
      </c>
      <c r="AE198" s="869"/>
      <c r="AF198" s="869"/>
      <c r="AG198" s="869"/>
      <c r="AH198" s="869"/>
      <c r="AI198" s="870"/>
    </row>
    <row r="199" spans="1:35" ht="18" customHeight="1" thickBot="1" x14ac:dyDescent="0.3">
      <c r="A199" s="639"/>
      <c r="B199" s="375"/>
      <c r="C199" s="372"/>
      <c r="D199" s="372"/>
      <c r="E199" s="372"/>
      <c r="F199" s="372"/>
      <c r="G199" s="366">
        <f>+(D199-C199)+(F199-E199)</f>
        <v>0</v>
      </c>
      <c r="H199" s="367">
        <f>+G199*1440</f>
        <v>0</v>
      </c>
      <c r="I199" s="859" t="s">
        <v>155</v>
      </c>
      <c r="J199" s="860"/>
      <c r="K199" s="373"/>
      <c r="L199" s="374"/>
      <c r="M199" s="423"/>
      <c r="N199" s="629">
        <f>+J196+L196+K196+K199+L199</f>
        <v>0</v>
      </c>
      <c r="O199" s="368">
        <f>+(Setup_and_Criteria!$K$31+(J196*Setup_and_Criteria!$F$20)+('M1_1-15th'!K196*Setup_and_Criteria!$F$21)+('M1_1-15th'!L196*Setup_and_Criteria!$F$20))+T199+(K199*Setup_and_Criteria!$F$21)+(Setup_and_Criteria!$F$22*'M1_1-15th'!L199)</f>
        <v>75</v>
      </c>
      <c r="P199" s="367">
        <f>+H199</f>
        <v>0</v>
      </c>
      <c r="Q199" s="367">
        <f>+O199-P199</f>
        <v>75</v>
      </c>
      <c r="R199" s="861" t="s">
        <v>252</v>
      </c>
      <c r="S199" s="861"/>
      <c r="T199" s="862"/>
      <c r="U199" s="863"/>
      <c r="V199" s="265" t="s">
        <v>156</v>
      </c>
      <c r="W199" s="854"/>
      <c r="X199" s="855"/>
      <c r="Y199" s="855"/>
      <c r="Z199" s="855"/>
      <c r="AA199" s="855"/>
      <c r="AB199" s="855"/>
      <c r="AC199" s="855"/>
      <c r="AD199" s="868"/>
      <c r="AE199" s="869"/>
      <c r="AF199" s="869"/>
      <c r="AG199" s="869"/>
      <c r="AH199" s="869"/>
      <c r="AI199" s="870"/>
    </row>
    <row r="200" spans="1:35" ht="15.75" thickBot="1" x14ac:dyDescent="0.3">
      <c r="A200" s="449" t="str">
        <f>+A187</f>
        <v>Password to enter data = "Enter Info"</v>
      </c>
      <c r="B200" s="450"/>
      <c r="C200" s="451"/>
      <c r="D200" s="451"/>
      <c r="E200" s="451"/>
      <c r="F200" s="451"/>
      <c r="G200" s="451"/>
      <c r="H200" s="451"/>
      <c r="I200" s="450"/>
      <c r="J200" s="451"/>
      <c r="K200" s="451"/>
      <c r="L200" s="451"/>
      <c r="M200" s="451"/>
      <c r="N200" s="451"/>
      <c r="O200" s="451"/>
      <c r="P200" s="451"/>
      <c r="Q200" s="450"/>
      <c r="R200" s="451"/>
      <c r="S200" s="451"/>
      <c r="T200" s="451"/>
      <c r="U200" s="451"/>
      <c r="V200" s="451"/>
      <c r="W200" s="451"/>
      <c r="X200" s="451"/>
      <c r="Y200" s="451"/>
      <c r="Z200" s="451"/>
      <c r="AA200" s="451"/>
      <c r="AB200" s="450"/>
      <c r="AC200" s="450"/>
      <c r="AD200" s="871"/>
      <c r="AE200" s="872"/>
      <c r="AF200" s="872"/>
      <c r="AG200" s="872"/>
      <c r="AH200" s="872"/>
      <c r="AI200" s="873"/>
    </row>
    <row r="201" spans="1:35" ht="26.25" x14ac:dyDescent="0.4">
      <c r="A201" s="476" t="str">
        <f>+A188</f>
        <v>May</v>
      </c>
      <c r="B201" s="624">
        <f>+B188+1</f>
        <v>31</v>
      </c>
      <c r="C201" s="884" t="s">
        <v>128</v>
      </c>
      <c r="D201" s="884"/>
      <c r="E201" s="884"/>
      <c r="F201" s="884"/>
      <c r="G201" s="377"/>
      <c r="H201" s="377"/>
      <c r="I201" s="21"/>
      <c r="J201" s="874" t="s">
        <v>129</v>
      </c>
      <c r="K201" s="875"/>
      <c r="L201" s="875"/>
      <c r="M201" s="875"/>
      <c r="N201" s="876" t="s">
        <v>130</v>
      </c>
      <c r="O201" s="876"/>
      <c r="P201" s="876"/>
      <c r="Q201" s="876"/>
      <c r="R201" s="424" t="str">
        <f>+R188</f>
        <v xml:space="preserve"> Corrections Tracking - Check out rooms</v>
      </c>
      <c r="S201" s="424"/>
      <c r="T201" s="424"/>
      <c r="U201" s="424"/>
      <c r="V201" s="424"/>
      <c r="W201" s="424"/>
      <c r="X201" s="424"/>
      <c r="Y201" s="424"/>
      <c r="Z201" s="424"/>
      <c r="AA201" s="424"/>
      <c r="AB201" s="424"/>
      <c r="AC201" s="424"/>
      <c r="AD201" s="461" t="s">
        <v>132</v>
      </c>
      <c r="AE201" s="426"/>
      <c r="AF201" s="426"/>
      <c r="AG201" s="426"/>
      <c r="AH201" s="426"/>
      <c r="AI201" s="427"/>
    </row>
    <row r="202" spans="1:35" ht="63" x14ac:dyDescent="0.25">
      <c r="A202" s="378" t="s">
        <v>133</v>
      </c>
      <c r="C202" s="435" t="s">
        <v>134</v>
      </c>
      <c r="D202" s="435" t="s">
        <v>135</v>
      </c>
      <c r="E202" s="435" t="s">
        <v>134</v>
      </c>
      <c r="F202" s="435" t="s">
        <v>135</v>
      </c>
      <c r="G202" s="1" t="s">
        <v>136</v>
      </c>
      <c r="H202" s="1" t="s">
        <v>108</v>
      </c>
      <c r="I202" s="436"/>
      <c r="J202" s="437" t="str">
        <f>+Setup_and_Criteria!$B$13</f>
        <v>Checkouts</v>
      </c>
      <c r="K202" s="437" t="str">
        <f>+Setup_and_Criteria!$B$14</f>
        <v>Pet Rooms</v>
      </c>
      <c r="L202" s="437" t="str">
        <f>+Setup_and_Criteria!$B$15</f>
        <v>2 Rm &amp; Jac Stes</v>
      </c>
      <c r="M202" s="438" t="str">
        <f>+Setup_and_Criteria!$B$16</f>
        <v>Stayovers</v>
      </c>
      <c r="N202" s="269" t="s">
        <v>137</v>
      </c>
      <c r="O202" s="269" t="s">
        <v>138</v>
      </c>
      <c r="P202" s="439" t="s">
        <v>139</v>
      </c>
      <c r="Q202" s="439" t="s">
        <v>140</v>
      </c>
      <c r="R202" s="440" t="str">
        <f>+Corrections!$C$8</f>
        <v>Vanity</v>
      </c>
      <c r="S202" s="440" t="str">
        <f>+Corrections!$I$8</f>
        <v>Toilet</v>
      </c>
      <c r="T202" s="440" t="str">
        <f>+Corrections!$O$8</f>
        <v>Bed/Pillows</v>
      </c>
      <c r="U202" s="440" t="str">
        <f>+Corrections!$U$8</f>
        <v>Floor</v>
      </c>
      <c r="V202" s="440" t="str">
        <f>+Corrections!$AA$8</f>
        <v>Dusting</v>
      </c>
      <c r="W202" s="440" t="str">
        <f>+Corrections!$AG$8</f>
        <v>Fridge/Micro</v>
      </c>
      <c r="X202" s="440" t="str">
        <f>+Corrections!$AM$8</f>
        <v>Tub</v>
      </c>
      <c r="Y202" s="441" t="str">
        <f>+Corrections!$AS$8</f>
        <v>Mirrors/Glass</v>
      </c>
      <c r="Z202" s="440" t="str">
        <f>+Corrections!$AY$8</f>
        <v>Stocking</v>
      </c>
      <c r="AA202" s="440" t="str">
        <f>+Corrections!$BE$8</f>
        <v>Other</v>
      </c>
      <c r="AB202" s="269" t="s">
        <v>141</v>
      </c>
      <c r="AC202" s="269" t="str">
        <f>+$AC$7</f>
        <v>Daily Corr / Inspected Checkout</v>
      </c>
      <c r="AD202" s="889" t="s">
        <v>143</v>
      </c>
      <c r="AE202" s="890"/>
      <c r="AF202" s="890"/>
      <c r="AG202" s="890"/>
      <c r="AH202" s="890"/>
      <c r="AI202" s="891"/>
    </row>
    <row r="203" spans="1:35" x14ac:dyDescent="0.25">
      <c r="A203" s="638"/>
      <c r="C203" s="369"/>
      <c r="D203" s="369"/>
      <c r="E203" s="369"/>
      <c r="F203" s="369"/>
      <c r="G203" s="264">
        <f t="shared" ref="G203:G208" si="122">+(D203-C203)+(F203-E203)</f>
        <v>0</v>
      </c>
      <c r="H203" s="442">
        <f t="shared" ref="H203:H208" si="123">+G203*1440</f>
        <v>0</v>
      </c>
      <c r="J203" s="630"/>
      <c r="K203" s="630"/>
      <c r="L203" s="630"/>
      <c r="M203" s="630"/>
      <c r="N203" s="1">
        <f>+(J203*Setup_and_Criteria!$F$13)+(K203*Setup_and_Criteria!$F$14)+(L203*Setup_and_Criteria!$F$15)+(M203*Setup_and_Criteria!$F$16)+Setup_and_Criteria!$J$16</f>
        <v>15</v>
      </c>
      <c r="O203" s="442">
        <f>+H203</f>
        <v>0</v>
      </c>
      <c r="P203" s="443">
        <f t="shared" ref="P203:P209" si="124">+N203-O203</f>
        <v>15</v>
      </c>
      <c r="Q203" s="357" t="e">
        <f t="shared" ref="Q203:Q209" si="125">O203/_xlfn.SINGLE(SUM(J203:M203))</f>
        <v>#DIV/0!</v>
      </c>
      <c r="R203" s="630"/>
      <c r="S203" s="630"/>
      <c r="T203" s="630"/>
      <c r="U203" s="630"/>
      <c r="V203" s="630"/>
      <c r="W203" s="630"/>
      <c r="X203" s="630"/>
      <c r="Y203" s="630"/>
      <c r="Z203" s="630"/>
      <c r="AA203" s="630"/>
      <c r="AB203" s="1">
        <f t="shared" ref="AB203:AB209" si="126">SUM(R203:AA203)</f>
        <v>0</v>
      </c>
      <c r="AC203" s="357" t="e">
        <f t="shared" ref="AC203:AC209" si="127">+AB203/(J203+K203+L203)</f>
        <v>#DIV/0!</v>
      </c>
      <c r="AD203" s="864" t="s">
        <v>144</v>
      </c>
      <c r="AE203" s="865"/>
      <c r="AF203" s="865"/>
      <c r="AG203" s="866"/>
      <c r="AH203" s="866"/>
      <c r="AI203" s="867"/>
    </row>
    <row r="204" spans="1:35" x14ac:dyDescent="0.25">
      <c r="A204" s="638"/>
      <c r="C204" s="630"/>
      <c r="D204" s="630"/>
      <c r="E204" s="630"/>
      <c r="F204" s="630"/>
      <c r="G204" s="264">
        <f t="shared" si="122"/>
        <v>0</v>
      </c>
      <c r="H204" s="442">
        <f t="shared" si="123"/>
        <v>0</v>
      </c>
      <c r="J204" s="630"/>
      <c r="K204" s="630"/>
      <c r="L204" s="630"/>
      <c r="M204" s="630"/>
      <c r="N204" s="1">
        <f>+(J204*Setup_and_Criteria!$F$13)+(K204*Setup_and_Criteria!$F$14)+(L204*Setup_and_Criteria!$F$15)+(M204*Setup_and_Criteria!$F$16)+Setup_and_Criteria!$J$16</f>
        <v>15</v>
      </c>
      <c r="O204" s="442">
        <f t="shared" ref="O204:O209" si="128">+H204</f>
        <v>0</v>
      </c>
      <c r="P204" s="443">
        <f t="shared" si="124"/>
        <v>15</v>
      </c>
      <c r="Q204" s="357" t="e">
        <f t="shared" si="125"/>
        <v>#DIV/0!</v>
      </c>
      <c r="R204" s="630"/>
      <c r="S204" s="630"/>
      <c r="T204" s="630"/>
      <c r="U204" s="630"/>
      <c r="V204" s="630"/>
      <c r="W204" s="630"/>
      <c r="X204" s="630"/>
      <c r="Y204" s="630"/>
      <c r="Z204" s="630"/>
      <c r="AA204" s="630"/>
      <c r="AB204" s="1">
        <f t="shared" si="126"/>
        <v>0</v>
      </c>
      <c r="AC204" s="357" t="e">
        <f t="shared" si="127"/>
        <v>#DIV/0!</v>
      </c>
      <c r="AD204" s="864"/>
      <c r="AE204" s="865"/>
      <c r="AF204" s="865"/>
      <c r="AG204" s="866"/>
      <c r="AH204" s="866"/>
      <c r="AI204" s="867"/>
    </row>
    <row r="205" spans="1:35" x14ac:dyDescent="0.25">
      <c r="A205" s="638"/>
      <c r="C205" s="630"/>
      <c r="D205" s="630"/>
      <c r="E205" s="630"/>
      <c r="F205" s="630"/>
      <c r="G205" s="264">
        <f t="shared" si="122"/>
        <v>0</v>
      </c>
      <c r="H205" s="442">
        <f t="shared" si="123"/>
        <v>0</v>
      </c>
      <c r="J205" s="630"/>
      <c r="K205" s="630"/>
      <c r="L205" s="630"/>
      <c r="M205" s="630"/>
      <c r="N205" s="1">
        <f>+(J205*Setup_and_Criteria!$F$13)+(K205*Setup_and_Criteria!$F$14)+(L205*Setup_and_Criteria!$F$15)+(M205*Setup_and_Criteria!$F$16)+Setup_and_Criteria!$J$16</f>
        <v>15</v>
      </c>
      <c r="O205" s="442">
        <f t="shared" si="128"/>
        <v>0</v>
      </c>
      <c r="P205" s="443">
        <f t="shared" si="124"/>
        <v>15</v>
      </c>
      <c r="Q205" s="357" t="e">
        <f t="shared" si="125"/>
        <v>#DIV/0!</v>
      </c>
      <c r="R205" s="630"/>
      <c r="S205" s="630"/>
      <c r="T205" s="630"/>
      <c r="U205" s="630"/>
      <c r="V205" s="630"/>
      <c r="W205" s="630"/>
      <c r="X205" s="630"/>
      <c r="Y205" s="630"/>
      <c r="Z205" s="630"/>
      <c r="AA205" s="630"/>
      <c r="AB205" s="1">
        <f t="shared" si="126"/>
        <v>0</v>
      </c>
      <c r="AC205" s="357" t="e">
        <f t="shared" si="127"/>
        <v>#DIV/0!</v>
      </c>
      <c r="AD205" s="864"/>
      <c r="AE205" s="865"/>
      <c r="AF205" s="865"/>
      <c r="AG205" s="866"/>
      <c r="AH205" s="866"/>
      <c r="AI205" s="867"/>
    </row>
    <row r="206" spans="1:35" x14ac:dyDescent="0.25">
      <c r="A206" s="638"/>
      <c r="C206" s="630"/>
      <c r="D206" s="630"/>
      <c r="E206" s="630"/>
      <c r="F206" s="630"/>
      <c r="G206" s="264">
        <f t="shared" si="122"/>
        <v>0</v>
      </c>
      <c r="H206" s="442">
        <f t="shared" si="123"/>
        <v>0</v>
      </c>
      <c r="J206" s="630"/>
      <c r="K206" s="630"/>
      <c r="L206" s="630"/>
      <c r="M206" s="630"/>
      <c r="N206" s="1">
        <f>+(J206*Setup_and_Criteria!$F$13)+(K206*Setup_and_Criteria!$F$14)+(L206*Setup_and_Criteria!$F$15)+(M206*Setup_and_Criteria!$F$16)+Setup_and_Criteria!$J$16</f>
        <v>15</v>
      </c>
      <c r="O206" s="442">
        <f t="shared" si="128"/>
        <v>0</v>
      </c>
      <c r="P206" s="443">
        <f t="shared" si="124"/>
        <v>15</v>
      </c>
      <c r="Q206" s="357" t="e">
        <f t="shared" si="125"/>
        <v>#DIV/0!</v>
      </c>
      <c r="R206" s="630"/>
      <c r="S206" s="630"/>
      <c r="T206" s="630"/>
      <c r="U206" s="630"/>
      <c r="V206" s="630"/>
      <c r="W206" s="630"/>
      <c r="X206" s="630"/>
      <c r="Y206" s="630"/>
      <c r="Z206" s="630"/>
      <c r="AA206" s="630"/>
      <c r="AB206" s="1">
        <f t="shared" si="126"/>
        <v>0</v>
      </c>
      <c r="AC206" s="357" t="e">
        <f t="shared" si="127"/>
        <v>#DIV/0!</v>
      </c>
      <c r="AD206" s="864"/>
      <c r="AE206" s="865"/>
      <c r="AF206" s="865"/>
      <c r="AG206" s="866"/>
      <c r="AH206" s="866"/>
      <c r="AI206" s="867"/>
    </row>
    <row r="207" spans="1:35" x14ac:dyDescent="0.25">
      <c r="A207" s="638"/>
      <c r="C207" s="630"/>
      <c r="D207" s="630"/>
      <c r="E207" s="630"/>
      <c r="F207" s="630"/>
      <c r="G207" s="264">
        <f t="shared" si="122"/>
        <v>0</v>
      </c>
      <c r="H207" s="442">
        <f t="shared" si="123"/>
        <v>0</v>
      </c>
      <c r="J207" s="630"/>
      <c r="K207" s="630"/>
      <c r="L207" s="630"/>
      <c r="M207" s="630"/>
      <c r="N207" s="1">
        <f>+(J207*Setup_and_Criteria!$F$13)+(K207*Setup_and_Criteria!$F$14)+(L207*Setup_and_Criteria!$F$15)+(M207*Setup_and_Criteria!$F$16)+Setup_and_Criteria!$J$16</f>
        <v>15</v>
      </c>
      <c r="O207" s="442">
        <f t="shared" si="128"/>
        <v>0</v>
      </c>
      <c r="P207" s="443">
        <f t="shared" si="124"/>
        <v>15</v>
      </c>
      <c r="Q207" s="357" t="e">
        <f t="shared" si="125"/>
        <v>#DIV/0!</v>
      </c>
      <c r="R207" s="630"/>
      <c r="S207" s="630"/>
      <c r="T207" s="630"/>
      <c r="U207" s="630"/>
      <c r="V207" s="630"/>
      <c r="W207" s="630"/>
      <c r="X207" s="630"/>
      <c r="Y207" s="630"/>
      <c r="Z207" s="630"/>
      <c r="AA207" s="630"/>
      <c r="AB207" s="1">
        <f t="shared" si="126"/>
        <v>0</v>
      </c>
      <c r="AC207" s="357" t="e">
        <f t="shared" si="127"/>
        <v>#DIV/0!</v>
      </c>
      <c r="AD207" s="864"/>
      <c r="AE207" s="865"/>
      <c r="AF207" s="865"/>
      <c r="AG207" s="866"/>
      <c r="AH207" s="866"/>
      <c r="AI207" s="867"/>
    </row>
    <row r="208" spans="1:35" ht="15.75" thickBot="1" x14ac:dyDescent="0.3">
      <c r="A208" s="638"/>
      <c r="C208" s="370"/>
      <c r="D208" s="370"/>
      <c r="E208" s="630"/>
      <c r="F208" s="630"/>
      <c r="G208" s="264">
        <f t="shared" si="122"/>
        <v>0</v>
      </c>
      <c r="H208" s="442">
        <f t="shared" si="123"/>
        <v>0</v>
      </c>
      <c r="J208" s="371"/>
      <c r="K208" s="371"/>
      <c r="L208" s="371"/>
      <c r="M208" s="371"/>
      <c r="N208" s="358">
        <f>+(J208*Setup_and_Criteria!$F$13)+(K208*Setup_and_Criteria!$F$14)+(L208*Setup_and_Criteria!$F$15)+(M208*Setup_and_Criteria!$F$16)+Setup_and_Criteria!$J$16</f>
        <v>15</v>
      </c>
      <c r="O208" s="359">
        <f t="shared" si="128"/>
        <v>0</v>
      </c>
      <c r="P208" s="383">
        <f t="shared" si="124"/>
        <v>15</v>
      </c>
      <c r="Q208" s="360" t="e">
        <f t="shared" si="125"/>
        <v>#DIV/0!</v>
      </c>
      <c r="R208" s="511"/>
      <c r="S208" s="511"/>
      <c r="T208" s="511"/>
      <c r="U208" s="511"/>
      <c r="V208" s="511"/>
      <c r="W208" s="511"/>
      <c r="X208" s="511"/>
      <c r="Y208" s="511"/>
      <c r="Z208" s="511"/>
      <c r="AA208" s="511"/>
      <c r="AB208" s="358">
        <f t="shared" si="126"/>
        <v>0</v>
      </c>
      <c r="AC208" s="357" t="e">
        <f t="shared" si="127"/>
        <v>#DIV/0!</v>
      </c>
      <c r="AD208" s="864"/>
      <c r="AE208" s="865"/>
      <c r="AF208" s="865"/>
      <c r="AG208" s="866"/>
      <c r="AH208" s="866"/>
      <c r="AI208" s="867"/>
    </row>
    <row r="209" spans="1:35" ht="15.75" thickTop="1" x14ac:dyDescent="0.25">
      <c r="A209" s="58"/>
      <c r="H209" s="442">
        <f>SUM(H203:H208)</f>
        <v>0</v>
      </c>
      <c r="J209" s="1">
        <f>SUM(J203:J208)</f>
        <v>0</v>
      </c>
      <c r="K209" s="1">
        <f>SUM(K203:K208)</f>
        <v>0</v>
      </c>
      <c r="L209" s="1">
        <f>SUM(L203:L208)</f>
        <v>0</v>
      </c>
      <c r="M209" s="1">
        <f>SUM(M203:M208)</f>
        <v>0</v>
      </c>
      <c r="N209" s="1">
        <f>SUM(N203:N208)</f>
        <v>90</v>
      </c>
      <c r="O209" s="1">
        <f t="shared" si="128"/>
        <v>0</v>
      </c>
      <c r="P209" s="443">
        <f t="shared" si="124"/>
        <v>90</v>
      </c>
      <c r="Q209" s="357" t="e">
        <f t="shared" si="125"/>
        <v>#DIV/0!</v>
      </c>
      <c r="R209" s="1">
        <f t="shared" ref="R209:AA209" si="129">SUM(R203:R208)</f>
        <v>0</v>
      </c>
      <c r="S209" s="1">
        <f t="shared" si="129"/>
        <v>0</v>
      </c>
      <c r="T209" s="1">
        <f t="shared" si="129"/>
        <v>0</v>
      </c>
      <c r="U209" s="1">
        <f t="shared" si="129"/>
        <v>0</v>
      </c>
      <c r="V209" s="1">
        <f t="shared" si="129"/>
        <v>0</v>
      </c>
      <c r="W209" s="1">
        <f t="shared" si="129"/>
        <v>0</v>
      </c>
      <c r="X209" s="1">
        <f t="shared" si="129"/>
        <v>0</v>
      </c>
      <c r="Y209" s="1">
        <f t="shared" si="129"/>
        <v>0</v>
      </c>
      <c r="Z209" s="1">
        <f t="shared" si="129"/>
        <v>0</v>
      </c>
      <c r="AA209" s="1">
        <f t="shared" si="129"/>
        <v>0</v>
      </c>
      <c r="AB209" s="1">
        <f t="shared" si="126"/>
        <v>0</v>
      </c>
      <c r="AC209" s="357" t="e">
        <f t="shared" si="127"/>
        <v>#DIV/0!</v>
      </c>
      <c r="AD209" s="877"/>
      <c r="AE209" s="878"/>
      <c r="AF209" s="878"/>
      <c r="AG209" s="749"/>
      <c r="AH209" s="749"/>
      <c r="AI209" s="879"/>
    </row>
    <row r="210" spans="1:35" ht="21" x14ac:dyDescent="0.35">
      <c r="A210" s="58"/>
      <c r="H210" s="442"/>
      <c r="N210" s="888" t="s">
        <v>145</v>
      </c>
      <c r="O210" s="888"/>
      <c r="P210" s="888"/>
      <c r="Q210" s="888"/>
      <c r="R210" s="431" t="s">
        <v>146</v>
      </c>
      <c r="S210" s="431"/>
      <c r="T210" s="431"/>
      <c r="U210" s="431"/>
      <c r="V210" s="431"/>
      <c r="W210" s="431"/>
      <c r="X210" s="431"/>
      <c r="Y210" s="431"/>
      <c r="Z210" s="431"/>
      <c r="AA210" s="431"/>
      <c r="AB210" s="431"/>
      <c r="AC210" s="431"/>
      <c r="AD210" s="880" t="s">
        <v>132</v>
      </c>
      <c r="AE210" s="881"/>
      <c r="AF210" s="881"/>
      <c r="AG210" s="881"/>
      <c r="AH210" s="881"/>
      <c r="AI210" s="882"/>
    </row>
    <row r="211" spans="1:35" ht="26.25" x14ac:dyDescent="0.35">
      <c r="A211" s="617" t="s">
        <v>147</v>
      </c>
      <c r="C211" s="885" t="s">
        <v>128</v>
      </c>
      <c r="D211" s="885"/>
      <c r="E211" s="885"/>
      <c r="F211" s="885"/>
      <c r="H211" s="442"/>
      <c r="J211" s="444"/>
      <c r="K211" s="445" t="s">
        <v>35</v>
      </c>
      <c r="L211" s="445" t="s">
        <v>148</v>
      </c>
      <c r="N211" s="446" t="s">
        <v>149</v>
      </c>
      <c r="O211" s="447" t="s">
        <v>150</v>
      </c>
      <c r="P211" s="447" t="s">
        <v>138</v>
      </c>
      <c r="Q211" s="447" t="s">
        <v>151</v>
      </c>
      <c r="R211" s="749" t="s">
        <v>152</v>
      </c>
      <c r="S211" s="749"/>
      <c r="T211" s="883" t="s">
        <v>153</v>
      </c>
      <c r="U211" s="883"/>
      <c r="W211" s="425" t="s">
        <v>154</v>
      </c>
      <c r="X211" s="425"/>
      <c r="Y211" s="425"/>
      <c r="Z211" s="425"/>
      <c r="AA211" s="425"/>
      <c r="AB211" s="425"/>
      <c r="AC211" s="425"/>
      <c r="AD211" s="868" t="s">
        <v>160</v>
      </c>
      <c r="AE211" s="869"/>
      <c r="AF211" s="869"/>
      <c r="AG211" s="869"/>
      <c r="AH211" s="869"/>
      <c r="AI211" s="870"/>
    </row>
    <row r="212" spans="1:35" ht="16.5" thickBot="1" x14ac:dyDescent="0.3">
      <c r="A212" s="639"/>
      <c r="B212" s="375"/>
      <c r="C212" s="372"/>
      <c r="D212" s="372"/>
      <c r="E212" s="372"/>
      <c r="F212" s="372"/>
      <c r="G212" s="366">
        <f>+(D212-C212)+(F212-E212)</f>
        <v>0</v>
      </c>
      <c r="H212" s="367">
        <f>+G212*1440</f>
        <v>0</v>
      </c>
      <c r="I212" s="859" t="s">
        <v>155</v>
      </c>
      <c r="J212" s="860"/>
      <c r="K212" s="373"/>
      <c r="L212" s="374"/>
      <c r="M212" s="423"/>
      <c r="N212" s="629">
        <f>+J209+L209+K209+K212+L212</f>
        <v>0</v>
      </c>
      <c r="O212" s="368" t="e">
        <f>+(Setup_and_Criteria!$K$31+(J209*Setup_and_Criteria!$F$20)+('M1_1-15th'!#REF!*Setup_and_Criteria!$F$21)+('M1_1-15th'!#REF!*Setup_and_Criteria!$F$20))+T212+(K212*Setup_and_Criteria!$F$21)+(Setup_and_Criteria!$F$22*'M1_1-15th'!#REF!)</f>
        <v>#REF!</v>
      </c>
      <c r="P212" s="367">
        <f>+H212</f>
        <v>0</v>
      </c>
      <c r="Q212" s="367" t="e">
        <f>+O212-P212</f>
        <v>#REF!</v>
      </c>
      <c r="R212" s="861" t="s">
        <v>252</v>
      </c>
      <c r="S212" s="861"/>
      <c r="T212" s="862"/>
      <c r="U212" s="863"/>
      <c r="V212" s="265" t="s">
        <v>156</v>
      </c>
      <c r="W212" s="854"/>
      <c r="X212" s="855"/>
      <c r="Y212" s="855"/>
      <c r="Z212" s="855"/>
      <c r="AA212" s="855"/>
      <c r="AB212" s="855"/>
      <c r="AC212" s="855"/>
      <c r="AD212" s="868"/>
      <c r="AE212" s="869"/>
      <c r="AF212" s="869"/>
      <c r="AG212" s="869"/>
      <c r="AH212" s="869"/>
      <c r="AI212" s="870"/>
    </row>
    <row r="213" spans="1:35" ht="15.75" thickBot="1" x14ac:dyDescent="0.3">
      <c r="A213" s="449" t="str">
        <f>+A200</f>
        <v>Password to enter data = "Enter Info"</v>
      </c>
      <c r="B213" s="450"/>
      <c r="C213" s="451"/>
      <c r="D213" s="451"/>
      <c r="E213" s="451"/>
      <c r="F213" s="451"/>
      <c r="G213" s="451"/>
      <c r="H213" s="451"/>
      <c r="I213" s="450"/>
      <c r="J213" s="451"/>
      <c r="K213" s="451"/>
      <c r="L213" s="451"/>
      <c r="M213" s="451"/>
      <c r="N213" s="451"/>
      <c r="O213" s="451"/>
      <c r="P213" s="451"/>
      <c r="Q213" s="450"/>
      <c r="R213" s="451"/>
      <c r="S213" s="451"/>
      <c r="T213" s="451"/>
      <c r="U213" s="451"/>
      <c r="V213" s="451"/>
      <c r="W213" s="451"/>
      <c r="X213" s="451"/>
      <c r="Y213" s="451"/>
      <c r="Z213" s="451"/>
      <c r="AA213" s="451"/>
      <c r="AB213" s="450"/>
      <c r="AC213" s="450"/>
      <c r="AD213" s="871"/>
      <c r="AE213" s="872"/>
      <c r="AF213" s="872"/>
      <c r="AG213" s="872"/>
      <c r="AH213" s="872"/>
      <c r="AI213" s="873"/>
    </row>
    <row r="215" spans="1:35" x14ac:dyDescent="0.25">
      <c r="B215" s="748"/>
      <c r="C215" s="748"/>
      <c r="D215" s="406"/>
      <c r="I215" s="1"/>
      <c r="K215"/>
    </row>
  </sheetData>
  <protectedRanges>
    <protectedRange algorithmName="SHA-512" hashValue="aUC7DO3vEyZkhBUawXiYCyX6efr2L5EKuiR5qfmfFEPRwwHhvi+KETLe33spjsQjXW32yo3n3qvug5hUPfJupw==" saltValue="mVdUiTAL+jjcdMT+t89NLQ==" spinCount="100000" sqref="A8:A212" name="Names"/>
    <protectedRange algorithmName="SHA-512" hashValue="oRYh3bqazZl0ifIbEGeusFeaJ1jVvzub5wbEXUX8n7JGjjGyPR7sQAIVip279H9FGLsm5+EqC58eWrgzwkrBMA==" saltValue="BURQC5XW9ayCKHbGGG5JAw==" spinCount="100000" sqref="R8:AA16 R201:AA211 R18:AA29 T17:AA17 R31:AA42 T30:AA30 R44:AA55 T43:AA43 R57:AA68 T56:AA56 R70:AA81 T69:AA69 R83:AA94 T82:AA82 R96:AA107 T95:AA95 R109:AA120 T108:AA108 R122:AA133 T121:AA121 R135:AA146 T134:AA134 R148:AA159 T147:AA147 R161:AA172 T160:AA160 R174:AA185 T173:AA173 T199:AA199 T212:AA212 R187:AA198 T186:AA186" name="Corrections Tracking_1"/>
    <protectedRange algorithmName="SHA-512" hashValue="YWBRJAZI5q2Xrq+KyT3zVr15OX7uuRhfqBuj3B4Ey25Nx6lDVXf1yN1vQRpqL2Zb4U+ikOAI3N1kgYfpP/ETew==" saltValue="L+uE65ZdTMv6z8KX8mra4g==" spinCount="100000" sqref="I7:M199 I201:M212" name="Rooms Cleaned and Inspected_1"/>
    <protectedRange algorithmName="SHA-512" hashValue="HtLnHPcTxLat91gpx1RElzjAjyD8EelDKfcdJIzPzixUDC1bPqmHjcxA+Jf6905m/Q9mMHh30+0wh5BstdaTSg==" saltValue="TXG3+wylnBVSaSzjn+S+ow==" spinCount="100000" sqref="C8:F199 C201:F212" name="TimeClock_1"/>
    <protectedRange algorithmName="SHA-512" hashValue="9o5rmy+N3oLZkzVQ5nTS9aoa4tFWlXOirkshpCJSkqqBB2SCaDWSlY6k7YumLGAjuktGKWGtGOAoCXARLdbeUA==" saltValue="e7vCUb3fFCUrMQqNUPCqDQ==" spinCount="100000" sqref="AD6:AI213" name="Daily Notes_1"/>
    <protectedRange algorithmName="SHA-512" hashValue="oRYh3bqazZl0ifIbEGeusFeaJ1jVvzub5wbEXUX8n7JGjjGyPR7sQAIVip279H9FGLsm5+EqC58eWrgzwkrBMA==" saltValue="BURQC5XW9ayCKHbGGG5JAw==" spinCount="100000" sqref="R30:S30" name="Corrections Tracking_6_1"/>
    <protectedRange algorithmName="SHA-512" hashValue="oRYh3bqazZl0ifIbEGeusFeaJ1jVvzub5wbEXUX8n7JGjjGyPR7sQAIVip279H9FGLsm5+EqC58eWrgzwkrBMA==" saltValue="BURQC5XW9ayCKHbGGG5JAw==" spinCount="100000" sqref="R43:S43" name="Corrections Tracking_6_2"/>
    <protectedRange algorithmName="SHA-512" hashValue="oRYh3bqazZl0ifIbEGeusFeaJ1jVvzub5wbEXUX8n7JGjjGyPR7sQAIVip279H9FGLsm5+EqC58eWrgzwkrBMA==" saltValue="BURQC5XW9ayCKHbGGG5JAw==" spinCount="100000" sqref="R56:S56" name="Corrections Tracking_6_3"/>
    <protectedRange algorithmName="SHA-512" hashValue="oRYh3bqazZl0ifIbEGeusFeaJ1jVvzub5wbEXUX8n7JGjjGyPR7sQAIVip279H9FGLsm5+EqC58eWrgzwkrBMA==" saltValue="BURQC5XW9ayCKHbGGG5JAw==" spinCount="100000" sqref="R69:S69" name="Corrections Tracking_6_4"/>
    <protectedRange algorithmName="SHA-512" hashValue="oRYh3bqazZl0ifIbEGeusFeaJ1jVvzub5wbEXUX8n7JGjjGyPR7sQAIVip279H9FGLsm5+EqC58eWrgzwkrBMA==" saltValue="BURQC5XW9ayCKHbGGG5JAw==" spinCount="100000" sqref="R82:S82" name="Corrections Tracking_6_5"/>
    <protectedRange algorithmName="SHA-512" hashValue="oRYh3bqazZl0ifIbEGeusFeaJ1jVvzub5wbEXUX8n7JGjjGyPR7sQAIVip279H9FGLsm5+EqC58eWrgzwkrBMA==" saltValue="BURQC5XW9ayCKHbGGG5JAw==" spinCount="100000" sqref="R95:S95" name="Corrections Tracking_6_6"/>
    <protectedRange algorithmName="SHA-512" hashValue="oRYh3bqazZl0ifIbEGeusFeaJ1jVvzub5wbEXUX8n7JGjjGyPR7sQAIVip279H9FGLsm5+EqC58eWrgzwkrBMA==" saltValue="BURQC5XW9ayCKHbGGG5JAw==" spinCount="100000" sqref="R108:S108" name="Corrections Tracking_6_7"/>
    <protectedRange algorithmName="SHA-512" hashValue="oRYh3bqazZl0ifIbEGeusFeaJ1jVvzub5wbEXUX8n7JGjjGyPR7sQAIVip279H9FGLsm5+EqC58eWrgzwkrBMA==" saltValue="BURQC5XW9ayCKHbGGG5JAw==" spinCount="100000" sqref="R121:S121" name="Corrections Tracking_6_8"/>
    <protectedRange algorithmName="SHA-512" hashValue="oRYh3bqazZl0ifIbEGeusFeaJ1jVvzub5wbEXUX8n7JGjjGyPR7sQAIVip279H9FGLsm5+EqC58eWrgzwkrBMA==" saltValue="BURQC5XW9ayCKHbGGG5JAw==" spinCount="100000" sqref="R134:S134" name="Corrections Tracking_6_9"/>
    <protectedRange algorithmName="SHA-512" hashValue="oRYh3bqazZl0ifIbEGeusFeaJ1jVvzub5wbEXUX8n7JGjjGyPR7sQAIVip279H9FGLsm5+EqC58eWrgzwkrBMA==" saltValue="BURQC5XW9ayCKHbGGG5JAw==" spinCount="100000" sqref="R147:S147" name="Corrections Tracking_6_10"/>
    <protectedRange algorithmName="SHA-512" hashValue="oRYh3bqazZl0ifIbEGeusFeaJ1jVvzub5wbEXUX8n7JGjjGyPR7sQAIVip279H9FGLsm5+EqC58eWrgzwkrBMA==" saltValue="BURQC5XW9ayCKHbGGG5JAw==" spinCount="100000" sqref="R160:S160" name="Corrections Tracking_6_11"/>
    <protectedRange algorithmName="SHA-512" hashValue="oRYh3bqazZl0ifIbEGeusFeaJ1jVvzub5wbEXUX8n7JGjjGyPR7sQAIVip279H9FGLsm5+EqC58eWrgzwkrBMA==" saltValue="BURQC5XW9ayCKHbGGG5JAw==" spinCount="100000" sqref="R173:S173" name="Corrections Tracking_6_12"/>
    <protectedRange algorithmName="SHA-512" hashValue="oRYh3bqazZl0ifIbEGeusFeaJ1jVvzub5wbEXUX8n7JGjjGyPR7sQAIVip279H9FGLsm5+EqC58eWrgzwkrBMA==" saltValue="BURQC5XW9ayCKHbGGG5JAw==" spinCount="100000" sqref="R199:S199" name="Corrections Tracking_6_14"/>
    <protectedRange algorithmName="SHA-512" hashValue="oRYh3bqazZl0ifIbEGeusFeaJ1jVvzub5wbEXUX8n7JGjjGyPR7sQAIVip279H9FGLsm5+EqC58eWrgzwkrBMA==" saltValue="BURQC5XW9ayCKHbGGG5JAw==" spinCount="100000" sqref="R212:S212" name="Corrections Tracking_6_15"/>
    <protectedRange algorithmName="SHA-512" hashValue="oRYh3bqazZl0ifIbEGeusFeaJ1jVvzub5wbEXUX8n7JGjjGyPR7sQAIVip279H9FGLsm5+EqC58eWrgzwkrBMA==" saltValue="BURQC5XW9ayCKHbGGG5JAw==" spinCount="100000" sqref="R186:S186" name="Corrections Tracking_6_16"/>
  </protectedRanges>
  <mergeCells count="340">
    <mergeCell ref="B215:C215"/>
    <mergeCell ref="C201:F201"/>
    <mergeCell ref="J201:M201"/>
    <mergeCell ref="N201:Q201"/>
    <mergeCell ref="AD208:AI208"/>
    <mergeCell ref="AD209:AI209"/>
    <mergeCell ref="N210:Q210"/>
    <mergeCell ref="AD210:AI210"/>
    <mergeCell ref="C211:F211"/>
    <mergeCell ref="R211:S211"/>
    <mergeCell ref="T211:U211"/>
    <mergeCell ref="AD211:AI213"/>
    <mergeCell ref="I212:J212"/>
    <mergeCell ref="R212:S212"/>
    <mergeCell ref="T212:U212"/>
    <mergeCell ref="W212:AC212"/>
    <mergeCell ref="AD203:AI203"/>
    <mergeCell ref="AD204:AI204"/>
    <mergeCell ref="AD205:AI205"/>
    <mergeCell ref="AD206:AI206"/>
    <mergeCell ref="AD207:AI207"/>
    <mergeCell ref="T198:U198"/>
    <mergeCell ref="AD198:AI200"/>
    <mergeCell ref="I199:J199"/>
    <mergeCell ref="R199:S199"/>
    <mergeCell ref="T199:U199"/>
    <mergeCell ref="W199:AC199"/>
    <mergeCell ref="C198:F198"/>
    <mergeCell ref="R198:S198"/>
    <mergeCell ref="AD202:AI202"/>
    <mergeCell ref="AD192:AI192"/>
    <mergeCell ref="AD193:AI193"/>
    <mergeCell ref="AD194:AI194"/>
    <mergeCell ref="AD195:AI195"/>
    <mergeCell ref="AD196:AI196"/>
    <mergeCell ref="N197:Q197"/>
    <mergeCell ref="AD197:AI197"/>
    <mergeCell ref="C188:F188"/>
    <mergeCell ref="J188:M188"/>
    <mergeCell ref="N188:Q188"/>
    <mergeCell ref="AD189:AI189"/>
    <mergeCell ref="AD190:AI190"/>
    <mergeCell ref="AD191:AI191"/>
    <mergeCell ref="C185:F185"/>
    <mergeCell ref="R185:S185"/>
    <mergeCell ref="T185:U185"/>
    <mergeCell ref="AD185:AI187"/>
    <mergeCell ref="I186:J186"/>
    <mergeCell ref="R186:S186"/>
    <mergeCell ref="T186:U186"/>
    <mergeCell ref="W186:AC186"/>
    <mergeCell ref="AD179:AI179"/>
    <mergeCell ref="AD180:AI180"/>
    <mergeCell ref="AD181:AI181"/>
    <mergeCell ref="AD182:AI182"/>
    <mergeCell ref="AD183:AI183"/>
    <mergeCell ref="N184:Q184"/>
    <mergeCell ref="AD184:AI184"/>
    <mergeCell ref="C175:F175"/>
    <mergeCell ref="J175:M175"/>
    <mergeCell ref="N175:Q175"/>
    <mergeCell ref="AD176:AI176"/>
    <mergeCell ref="AD177:AI177"/>
    <mergeCell ref="AD178:AI178"/>
    <mergeCell ref="C172:F172"/>
    <mergeCell ref="R172:S172"/>
    <mergeCell ref="T172:U172"/>
    <mergeCell ref="AD172:AI174"/>
    <mergeCell ref="I173:J173"/>
    <mergeCell ref="R173:S173"/>
    <mergeCell ref="T173:U173"/>
    <mergeCell ref="W173:AC173"/>
    <mergeCell ref="AD166:AI166"/>
    <mergeCell ref="AD167:AI167"/>
    <mergeCell ref="AD168:AI168"/>
    <mergeCell ref="AD169:AI169"/>
    <mergeCell ref="AD170:AI170"/>
    <mergeCell ref="N171:Q171"/>
    <mergeCell ref="AD171:AI171"/>
    <mergeCell ref="C162:F162"/>
    <mergeCell ref="J162:M162"/>
    <mergeCell ref="N162:Q162"/>
    <mergeCell ref="AD163:AI163"/>
    <mergeCell ref="AD164:AI164"/>
    <mergeCell ref="AD165:AI165"/>
    <mergeCell ref="C159:F159"/>
    <mergeCell ref="R159:S159"/>
    <mergeCell ref="T159:U159"/>
    <mergeCell ref="AD159:AI161"/>
    <mergeCell ref="I160:J160"/>
    <mergeCell ref="R160:S160"/>
    <mergeCell ref="T160:U160"/>
    <mergeCell ref="W160:AC160"/>
    <mergeCell ref="AD153:AI153"/>
    <mergeCell ref="AD154:AI154"/>
    <mergeCell ref="AD155:AI155"/>
    <mergeCell ref="AD156:AI156"/>
    <mergeCell ref="AD157:AI157"/>
    <mergeCell ref="N158:Q158"/>
    <mergeCell ref="AD158:AI158"/>
    <mergeCell ref="C149:F149"/>
    <mergeCell ref="J149:M149"/>
    <mergeCell ref="N149:Q149"/>
    <mergeCell ref="AD150:AI150"/>
    <mergeCell ref="AD151:AI151"/>
    <mergeCell ref="AD152:AI152"/>
    <mergeCell ref="C146:F146"/>
    <mergeCell ref="R146:S146"/>
    <mergeCell ref="T146:U146"/>
    <mergeCell ref="AD146:AI148"/>
    <mergeCell ref="I147:J147"/>
    <mergeCell ref="R147:S147"/>
    <mergeCell ref="T147:U147"/>
    <mergeCell ref="W147:AC147"/>
    <mergeCell ref="AD140:AI140"/>
    <mergeCell ref="AD141:AI141"/>
    <mergeCell ref="AD142:AI142"/>
    <mergeCell ref="AD143:AI143"/>
    <mergeCell ref="AD144:AI144"/>
    <mergeCell ref="N145:Q145"/>
    <mergeCell ref="AD145:AI145"/>
    <mergeCell ref="C136:F136"/>
    <mergeCell ref="J136:M136"/>
    <mergeCell ref="N136:Q136"/>
    <mergeCell ref="AD137:AI137"/>
    <mergeCell ref="AD138:AI138"/>
    <mergeCell ref="AD139:AI139"/>
    <mergeCell ref="C133:F133"/>
    <mergeCell ref="R133:S133"/>
    <mergeCell ref="T133:U133"/>
    <mergeCell ref="AD133:AI135"/>
    <mergeCell ref="I134:J134"/>
    <mergeCell ref="R134:S134"/>
    <mergeCell ref="T134:U134"/>
    <mergeCell ref="W134:AC134"/>
    <mergeCell ref="AD127:AI127"/>
    <mergeCell ref="AD128:AI128"/>
    <mergeCell ref="AD129:AI129"/>
    <mergeCell ref="AD130:AI130"/>
    <mergeCell ref="AD131:AI131"/>
    <mergeCell ref="N132:Q132"/>
    <mergeCell ref="AD132:AI132"/>
    <mergeCell ref="C123:F123"/>
    <mergeCell ref="J123:M123"/>
    <mergeCell ref="N123:Q123"/>
    <mergeCell ref="AD124:AI124"/>
    <mergeCell ref="AD125:AI125"/>
    <mergeCell ref="AD126:AI126"/>
    <mergeCell ref="C120:F120"/>
    <mergeCell ref="R120:S120"/>
    <mergeCell ref="T120:U120"/>
    <mergeCell ref="AD120:AI122"/>
    <mergeCell ref="I121:J121"/>
    <mergeCell ref="R121:S121"/>
    <mergeCell ref="T121:U121"/>
    <mergeCell ref="W121:AC121"/>
    <mergeCell ref="AD114:AI114"/>
    <mergeCell ref="AD115:AI115"/>
    <mergeCell ref="AD116:AI116"/>
    <mergeCell ref="AD117:AI117"/>
    <mergeCell ref="AD118:AI118"/>
    <mergeCell ref="N119:Q119"/>
    <mergeCell ref="AD119:AI119"/>
    <mergeCell ref="C110:F110"/>
    <mergeCell ref="J110:M110"/>
    <mergeCell ref="N110:Q110"/>
    <mergeCell ref="AD111:AI111"/>
    <mergeCell ref="AD112:AI112"/>
    <mergeCell ref="AD113:AI113"/>
    <mergeCell ref="C107:F107"/>
    <mergeCell ref="R107:S107"/>
    <mergeCell ref="T107:U107"/>
    <mergeCell ref="AD107:AI109"/>
    <mergeCell ref="I108:J108"/>
    <mergeCell ref="R108:S108"/>
    <mergeCell ref="T108:U108"/>
    <mergeCell ref="W108:AC108"/>
    <mergeCell ref="AD101:AI101"/>
    <mergeCell ref="AD102:AI102"/>
    <mergeCell ref="AD103:AI103"/>
    <mergeCell ref="AD104:AI104"/>
    <mergeCell ref="AD105:AI105"/>
    <mergeCell ref="N106:Q106"/>
    <mergeCell ref="AD106:AI106"/>
    <mergeCell ref="C97:F97"/>
    <mergeCell ref="J97:M97"/>
    <mergeCell ref="N97:Q97"/>
    <mergeCell ref="AD98:AI98"/>
    <mergeCell ref="AD99:AI99"/>
    <mergeCell ref="AD100:AI100"/>
    <mergeCell ref="C94:F94"/>
    <mergeCell ref="R94:S94"/>
    <mergeCell ref="T94:U94"/>
    <mergeCell ref="AD94:AI96"/>
    <mergeCell ref="I95:J95"/>
    <mergeCell ref="R95:S95"/>
    <mergeCell ref="T95:U95"/>
    <mergeCell ref="W95:AC95"/>
    <mergeCell ref="AD88:AI88"/>
    <mergeCell ref="AD89:AI89"/>
    <mergeCell ref="AD90:AI90"/>
    <mergeCell ref="AD91:AI91"/>
    <mergeCell ref="AD92:AI92"/>
    <mergeCell ref="N93:Q93"/>
    <mergeCell ref="AD93:AI93"/>
    <mergeCell ref="C84:F84"/>
    <mergeCell ref="J84:M84"/>
    <mergeCell ref="N84:Q84"/>
    <mergeCell ref="AD85:AI85"/>
    <mergeCell ref="AD86:AI86"/>
    <mergeCell ref="AD87:AI87"/>
    <mergeCell ref="C81:F81"/>
    <mergeCell ref="R81:S81"/>
    <mergeCell ref="T81:U81"/>
    <mergeCell ref="AD81:AI83"/>
    <mergeCell ref="I82:J82"/>
    <mergeCell ref="R82:S82"/>
    <mergeCell ref="T82:U82"/>
    <mergeCell ref="W82:AC82"/>
    <mergeCell ref="AD75:AI75"/>
    <mergeCell ref="AD76:AI76"/>
    <mergeCell ref="AD77:AI77"/>
    <mergeCell ref="AD78:AI78"/>
    <mergeCell ref="AD79:AI79"/>
    <mergeCell ref="N80:Q80"/>
    <mergeCell ref="AD80:AI80"/>
    <mergeCell ref="C71:F71"/>
    <mergeCell ref="J71:M71"/>
    <mergeCell ref="N71:Q71"/>
    <mergeCell ref="AD72:AI72"/>
    <mergeCell ref="AD73:AI73"/>
    <mergeCell ref="AD74:AI74"/>
    <mergeCell ref="C68:F68"/>
    <mergeCell ref="R68:S68"/>
    <mergeCell ref="T68:U68"/>
    <mergeCell ref="AD68:AI70"/>
    <mergeCell ref="I69:J69"/>
    <mergeCell ref="R69:S69"/>
    <mergeCell ref="T69:U69"/>
    <mergeCell ref="W69:AC69"/>
    <mergeCell ref="AD62:AI62"/>
    <mergeCell ref="AD63:AI63"/>
    <mergeCell ref="AD64:AI64"/>
    <mergeCell ref="AD65:AI65"/>
    <mergeCell ref="AD66:AI66"/>
    <mergeCell ref="N67:Q67"/>
    <mergeCell ref="AD67:AI67"/>
    <mergeCell ref="C58:F58"/>
    <mergeCell ref="J58:M58"/>
    <mergeCell ref="N58:Q58"/>
    <mergeCell ref="AD59:AI59"/>
    <mergeCell ref="AD60:AI60"/>
    <mergeCell ref="AD61:AI61"/>
    <mergeCell ref="C55:F55"/>
    <mergeCell ref="R55:S55"/>
    <mergeCell ref="T55:U55"/>
    <mergeCell ref="AD55:AI57"/>
    <mergeCell ref="I56:J56"/>
    <mergeCell ref="R56:S56"/>
    <mergeCell ref="T56:U56"/>
    <mergeCell ref="W56:AC56"/>
    <mergeCell ref="AD49:AI49"/>
    <mergeCell ref="AD50:AI50"/>
    <mergeCell ref="AD51:AI51"/>
    <mergeCell ref="AD52:AI52"/>
    <mergeCell ref="AD53:AI53"/>
    <mergeCell ref="N54:Q54"/>
    <mergeCell ref="AD54:AI54"/>
    <mergeCell ref="C45:F45"/>
    <mergeCell ref="J45:M45"/>
    <mergeCell ref="N45:Q45"/>
    <mergeCell ref="AD46:AI46"/>
    <mergeCell ref="AD47:AI47"/>
    <mergeCell ref="AD48:AI48"/>
    <mergeCell ref="N41:Q41"/>
    <mergeCell ref="AD41:AI41"/>
    <mergeCell ref="C42:F42"/>
    <mergeCell ref="R42:S42"/>
    <mergeCell ref="T42:U42"/>
    <mergeCell ref="AD42:AI44"/>
    <mergeCell ref="I43:J43"/>
    <mergeCell ref="R43:S43"/>
    <mergeCell ref="T43:U43"/>
    <mergeCell ref="W43:AC43"/>
    <mergeCell ref="AD35:AI35"/>
    <mergeCell ref="AD36:AI36"/>
    <mergeCell ref="AD37:AI37"/>
    <mergeCell ref="AD38:AI38"/>
    <mergeCell ref="AD39:AI39"/>
    <mergeCell ref="AD40:AI40"/>
    <mergeCell ref="W30:AC30"/>
    <mergeCell ref="C32:F32"/>
    <mergeCell ref="J32:M32"/>
    <mergeCell ref="N32:Q32"/>
    <mergeCell ref="AD33:AI33"/>
    <mergeCell ref="AD34:AI34"/>
    <mergeCell ref="AD27:AI27"/>
    <mergeCell ref="N28:Q28"/>
    <mergeCell ref="AD28:AI28"/>
    <mergeCell ref="C29:F29"/>
    <mergeCell ref="R29:S29"/>
    <mergeCell ref="T29:U29"/>
    <mergeCell ref="AD29:AI31"/>
    <mergeCell ref="I30:J30"/>
    <mergeCell ref="R30:S30"/>
    <mergeCell ref="T30:U30"/>
    <mergeCell ref="AD21:AI21"/>
    <mergeCell ref="AD22:AI22"/>
    <mergeCell ref="AD23:AI23"/>
    <mergeCell ref="AD24:AI24"/>
    <mergeCell ref="AD25:AI25"/>
    <mergeCell ref="AD26:AI26"/>
    <mergeCell ref="T17:U17"/>
    <mergeCell ref="W17:AC17"/>
    <mergeCell ref="C19:F19"/>
    <mergeCell ref="J19:M19"/>
    <mergeCell ref="N19:Q19"/>
    <mergeCell ref="AD20:AI20"/>
    <mergeCell ref="AD13:AI13"/>
    <mergeCell ref="AD14:AI14"/>
    <mergeCell ref="N15:Q15"/>
    <mergeCell ref="AD15:AI15"/>
    <mergeCell ref="C16:F16"/>
    <mergeCell ref="R16:S16"/>
    <mergeCell ref="T16:U16"/>
    <mergeCell ref="AD16:AI18"/>
    <mergeCell ref="I17:J17"/>
    <mergeCell ref="R17:S17"/>
    <mergeCell ref="AD7:AI7"/>
    <mergeCell ref="AD8:AI8"/>
    <mergeCell ref="AD9:AI9"/>
    <mergeCell ref="AD10:AI10"/>
    <mergeCell ref="AD11:AI11"/>
    <mergeCell ref="AD12:AI12"/>
    <mergeCell ref="E2:H3"/>
    <mergeCell ref="I2:J3"/>
    <mergeCell ref="M2:W4"/>
    <mergeCell ref="C6:F6"/>
    <mergeCell ref="J6:M6"/>
    <mergeCell ref="N6:Q6"/>
  </mergeCells>
  <conditionalFormatting sqref="A175:AI185 A187:AI187 A186:Q186 T186:AI186">
    <cfRule type="expression" dxfId="120" priority="1">
      <formula>$A$175="February"</formula>
    </cfRule>
  </conditionalFormatting>
  <conditionalFormatting sqref="A188:AI198 A200:AI200 A199:Q199 T199:AI199">
    <cfRule type="expression" dxfId="119" priority="2">
      <formula>$A$188="February"</formula>
    </cfRule>
  </conditionalFormatting>
  <conditionalFormatting sqref="A201:AI211 A213:AI213 A212:Q212 T212:AI212">
    <cfRule type="expression" dxfId="118" priority="3">
      <formula>$A$201="November"</formula>
    </cfRule>
    <cfRule type="expression" dxfId="117" priority="4">
      <formula>$A$201="September"</formula>
    </cfRule>
    <cfRule type="expression" dxfId="116" priority="5">
      <formula>$A$201="June"</formula>
    </cfRule>
    <cfRule type="expression" dxfId="115" priority="6">
      <formula>$A$201="February"</formula>
    </cfRule>
    <cfRule type="expression" dxfId="114" priority="7">
      <formula>$A$201="April"</formula>
    </cfRule>
    <cfRule type="containsText" dxfId="113" priority="8" operator="containsText" text="April, February, June, September, November">
      <formula>NOT(ISERROR(SEARCH("April, February, June, September, November",A201)))</formula>
    </cfRule>
  </conditionalFormatting>
  <dataValidations count="1">
    <dataValidation allowBlank="1" showInputMessage="1" showErrorMessage="1" sqref="A16 A29 A42 A55 A68 A81 A94 A107 A120 A133 A146 A159 A172 A185 A198 A211" xr:uid="{1DAAE599-A8FB-4DF4-A3A2-A8E79C0BA246}"/>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7BD2DE-915E-46F7-AA44-0E58D9F8C760}">
          <x14:formula1>
            <xm:f>Setup_and_Criteria!$O$27:$O$31</xm:f>
          </x14:formula1>
          <xm:sqref>A17:B17 A121 A186:B186 A212:B212 A147:B147 A134:B134 A199:B199 A108:B108 A95:B95 A82:B82 A69:B69 A56:B56 A43:B43 A30:B30 A173:B173 A160:B160</xm:sqref>
        </x14:dataValidation>
        <x14:dataValidation type="list" allowBlank="1" showInputMessage="1" showErrorMessage="1" xr:uid="{F9DF546B-B368-4D6D-AA15-B638DC86FF51}">
          <x14:formula1>
            <xm:f>Setup_and_Criteria!$O$12:$O$23</xm:f>
          </x14:formula1>
          <xm:sqref>A190:A195 A177:A182 A203:A208 A151:A156 A138:A143 A125:A130 A112:A117 A99:A104 A86:A91 A73:A78 A60:A65 A47:A52 A34:A39 A21:A26 A8:A13 A164:A169</xm:sqref>
        </x14:dataValidation>
        <x14:dataValidation type="list" allowBlank="1" showInputMessage="1" showErrorMessage="1" xr:uid="{152438A8-1C8D-488D-B747-6F7DC46BF5D6}">
          <x14:formula1>
            <xm:f>Setup_and_Criteria!$BF$5:$BF$12</xm:f>
          </x14:formula1>
          <xm:sqref>R17:S17 R30:S30 R43:S43 R56:S56 R69:S69 R82:S82 R95:S95 R108:S108 R121:S121 R134:S134 R147:S147 R160:S160 R173:S173 R199:S199 R212:S212 R186:S186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226FF5-1269-4849-AF56-A420400106C9}">
  <sheetPr codeName="Sheet11">
    <tabColor theme="9" tint="0.59999389629810485"/>
  </sheetPr>
  <dimension ref="A2:AI200"/>
  <sheetViews>
    <sheetView workbookViewId="0">
      <selection activeCell="A8" sqref="A8"/>
    </sheetView>
  </sheetViews>
  <sheetFormatPr defaultRowHeight="15" x14ac:dyDescent="0.25"/>
  <cols>
    <col min="1" max="1" width="18.5703125" customWidth="1"/>
    <col min="2" max="2" width="4.85546875" bestFit="1" customWidth="1"/>
    <col min="3" max="3" width="8.7109375" style="1" customWidth="1"/>
    <col min="4" max="4" width="8.140625" style="1" customWidth="1"/>
    <col min="5" max="6" width="7.7109375" style="1" customWidth="1"/>
    <col min="7" max="7" width="7.42578125" style="1" hidden="1" customWidth="1"/>
    <col min="8" max="8" width="0" style="1" hidden="1" customWidth="1"/>
    <col min="9" max="9" width="8.42578125" customWidth="1"/>
    <col min="10" max="10" width="8.42578125" style="1" customWidth="1"/>
    <col min="11" max="11" width="8.5703125" style="1" customWidth="1"/>
    <col min="12" max="12" width="9.140625" style="1"/>
    <col min="13" max="13" width="10.140625" style="1" customWidth="1"/>
    <col min="14" max="14" width="11" style="1" customWidth="1"/>
    <col min="15" max="15" width="9.42578125" style="1" customWidth="1"/>
    <col min="16" max="16" width="10.42578125" style="1" customWidth="1"/>
    <col min="17" max="17" width="9.42578125" customWidth="1"/>
    <col min="18" max="18" width="8.28515625" style="1" customWidth="1"/>
    <col min="19" max="19" width="7.140625" style="1" customWidth="1"/>
    <col min="20" max="27" width="7.7109375" style="1" customWidth="1"/>
    <col min="28" max="28" width="7.7109375" customWidth="1"/>
    <col min="29" max="29" width="11.28515625" customWidth="1"/>
  </cols>
  <sheetData>
    <row r="2" spans="1:35" ht="15" customHeight="1" x14ac:dyDescent="0.25">
      <c r="E2" s="886" t="str">
        <f>+Setup_and_Criteria!J6</f>
        <v>Q2</v>
      </c>
      <c r="F2" s="886"/>
      <c r="G2" s="886"/>
      <c r="H2" s="886"/>
      <c r="I2" s="887">
        <v>2026</v>
      </c>
      <c r="J2" s="887"/>
      <c r="M2" s="856" t="s">
        <v>127</v>
      </c>
      <c r="N2" s="856"/>
      <c r="O2" s="856"/>
      <c r="P2" s="856"/>
      <c r="Q2" s="856"/>
      <c r="R2" s="856"/>
      <c r="S2" s="856"/>
      <c r="T2" s="856"/>
      <c r="U2" s="856"/>
      <c r="V2" s="856"/>
      <c r="W2" s="856"/>
    </row>
    <row r="3" spans="1:35" ht="15" customHeight="1" x14ac:dyDescent="0.25">
      <c r="E3" s="886"/>
      <c r="F3" s="886"/>
      <c r="G3" s="886"/>
      <c r="H3" s="886"/>
      <c r="I3" s="887"/>
      <c r="J3" s="887"/>
      <c r="M3" s="856"/>
      <c r="N3" s="856"/>
      <c r="O3" s="856"/>
      <c r="P3" s="856"/>
      <c r="Q3" s="856"/>
      <c r="R3" s="856"/>
      <c r="S3" s="856"/>
      <c r="T3" s="856"/>
      <c r="U3" s="856"/>
      <c r="V3" s="856"/>
      <c r="W3" s="856"/>
    </row>
    <row r="4" spans="1:35" x14ac:dyDescent="0.25">
      <c r="G4"/>
      <c r="H4"/>
      <c r="L4" s="1" t="s">
        <v>42</v>
      </c>
      <c r="M4" s="856"/>
      <c r="N4" s="856"/>
      <c r="O4" s="856"/>
      <c r="P4" s="856"/>
      <c r="Q4" s="856"/>
      <c r="R4" s="856"/>
      <c r="S4" s="856"/>
      <c r="T4" s="856"/>
      <c r="U4" s="856"/>
      <c r="V4" s="856"/>
      <c r="W4" s="856"/>
    </row>
    <row r="5" spans="1:35" ht="15.75" thickBot="1" x14ac:dyDescent="0.3">
      <c r="W5" s="1" t="s">
        <v>42</v>
      </c>
    </row>
    <row r="6" spans="1:35" ht="35.25" customHeight="1" x14ac:dyDescent="0.4">
      <c r="A6" s="421" t="str" cm="1">
        <f t="array" ref="A6">+_xlfn.IFS(E2="Q1","March",E2="Q2","June",E2="Q3","September",+E2="Q4","December")</f>
        <v>June</v>
      </c>
      <c r="B6" s="624">
        <v>1</v>
      </c>
      <c r="C6" s="884" t="s">
        <v>128</v>
      </c>
      <c r="D6" s="884"/>
      <c r="E6" s="884"/>
      <c r="F6" s="884"/>
      <c r="G6" s="377"/>
      <c r="H6" s="377"/>
      <c r="I6" s="21"/>
      <c r="J6" s="874" t="s">
        <v>129</v>
      </c>
      <c r="K6" s="875"/>
      <c r="L6" s="875"/>
      <c r="M6" s="875"/>
      <c r="N6" s="876" t="s">
        <v>130</v>
      </c>
      <c r="O6" s="876"/>
      <c r="P6" s="876"/>
      <c r="Q6" s="876"/>
      <c r="R6" s="424" t="s">
        <v>131</v>
      </c>
      <c r="S6" s="424"/>
      <c r="T6" s="424"/>
      <c r="U6" s="424"/>
      <c r="V6" s="424"/>
      <c r="W6" s="424"/>
      <c r="X6" s="424"/>
      <c r="Y6" s="424"/>
      <c r="Z6" s="424"/>
      <c r="AA6" s="424"/>
      <c r="AB6" s="424"/>
      <c r="AC6" s="424"/>
      <c r="AD6" s="461" t="s">
        <v>132</v>
      </c>
      <c r="AE6" s="426"/>
      <c r="AF6" s="426"/>
      <c r="AG6" s="426"/>
      <c r="AH6" s="426"/>
      <c r="AI6" s="427"/>
    </row>
    <row r="7" spans="1:35" ht="59.25" customHeight="1" x14ac:dyDescent="0.25">
      <c r="A7" s="378" t="s">
        <v>133</v>
      </c>
      <c r="C7" s="435" t="s">
        <v>134</v>
      </c>
      <c r="D7" s="435" t="s">
        <v>135</v>
      </c>
      <c r="E7" s="435" t="s">
        <v>134</v>
      </c>
      <c r="F7" s="435" t="s">
        <v>135</v>
      </c>
      <c r="G7" s="1" t="s">
        <v>136</v>
      </c>
      <c r="H7" s="1" t="s">
        <v>108</v>
      </c>
      <c r="I7" s="436"/>
      <c r="J7" s="437" t="str">
        <f>+Setup_and_Criteria!$B$13</f>
        <v>Checkouts</v>
      </c>
      <c r="K7" s="437" t="str">
        <f>+Setup_and_Criteria!$B$14</f>
        <v>Pet Rooms</v>
      </c>
      <c r="L7" s="437" t="str">
        <f>+Setup_and_Criteria!$B$15</f>
        <v>2 Rm &amp; Jac Stes</v>
      </c>
      <c r="M7" s="438" t="str">
        <f>+Setup_and_Criteria!$B$16</f>
        <v>Stayovers</v>
      </c>
      <c r="N7" s="269" t="s">
        <v>137</v>
      </c>
      <c r="O7" s="269" t="s">
        <v>138</v>
      </c>
      <c r="P7" s="439" t="s">
        <v>139</v>
      </c>
      <c r="Q7" s="439" t="s">
        <v>140</v>
      </c>
      <c r="R7" s="440" t="str">
        <f>+Corrections!$C$8</f>
        <v>Vanity</v>
      </c>
      <c r="S7" s="440" t="str">
        <f>+Corrections!$I$8</f>
        <v>Toilet</v>
      </c>
      <c r="T7" s="440" t="str">
        <f>+Corrections!$O$8</f>
        <v>Bed/Pillows</v>
      </c>
      <c r="U7" s="440" t="str">
        <f>+Corrections!$U$8</f>
        <v>Floor</v>
      </c>
      <c r="V7" s="440" t="str">
        <f>+Corrections!$AA$8</f>
        <v>Dusting</v>
      </c>
      <c r="W7" s="440" t="str">
        <f>+Corrections!$AG$8</f>
        <v>Fridge/Micro</v>
      </c>
      <c r="X7" s="440" t="str">
        <f>+Corrections!$AM$8</f>
        <v>Tub</v>
      </c>
      <c r="Y7" s="441" t="str">
        <f>+Corrections!$AS$8</f>
        <v>Mirrors/Glass</v>
      </c>
      <c r="Z7" s="440" t="str">
        <f>+Corrections!$AY$8</f>
        <v>Stocking</v>
      </c>
      <c r="AA7" s="440" t="str">
        <f>+Corrections!$BE$8</f>
        <v>Other</v>
      </c>
      <c r="AB7" s="269" t="s">
        <v>141</v>
      </c>
      <c r="AC7" s="269" t="s">
        <v>142</v>
      </c>
      <c r="AD7" s="889" t="s">
        <v>143</v>
      </c>
      <c r="AE7" s="890"/>
      <c r="AF7" s="890"/>
      <c r="AG7" s="890"/>
      <c r="AH7" s="890"/>
      <c r="AI7" s="891"/>
    </row>
    <row r="8" spans="1:35" x14ac:dyDescent="0.25">
      <c r="A8" s="638"/>
      <c r="C8" s="369"/>
      <c r="D8" s="369"/>
      <c r="E8" s="369"/>
      <c r="F8" s="369"/>
      <c r="G8" s="264">
        <f t="shared" ref="G8:G13" si="0">+(D8-C8)+(F8-E8)</f>
        <v>0</v>
      </c>
      <c r="H8" s="442">
        <f t="shared" ref="H8:H13" si="1">+G8*1440</f>
        <v>0</v>
      </c>
      <c r="J8" s="630"/>
      <c r="K8" s="630"/>
      <c r="L8" s="630"/>
      <c r="M8" s="630"/>
      <c r="N8" s="1">
        <f>IF(C8&gt;0,((J8*Setup_and_Criteria!$F$13)+('M1_1-15th'!K8*Setup_and_Criteria!$F$14)+('M1_1-15th'!L8*Setup_and_Criteria!$F$15)+('M1_1-15th'!M8*Setup_and_Criteria!$F$16)+Setup_and_Criteria!$J$16),0)</f>
        <v>0</v>
      </c>
      <c r="O8" s="442">
        <f>+H8</f>
        <v>0</v>
      </c>
      <c r="P8" s="443">
        <f t="shared" ref="P8:P14" si="2">+N8-O8</f>
        <v>0</v>
      </c>
      <c r="Q8" s="357" t="e">
        <f t="shared" ref="Q8:Q14" si="3">O8/_xlfn.SINGLE(SUM(J8:M8))</f>
        <v>#DIV/0!</v>
      </c>
      <c r="R8" s="630"/>
      <c r="S8" s="630"/>
      <c r="T8" s="630"/>
      <c r="U8" s="630"/>
      <c r="V8" s="630"/>
      <c r="W8" s="630"/>
      <c r="X8" s="630"/>
      <c r="Y8" s="630"/>
      <c r="Z8" s="630"/>
      <c r="AA8" s="630"/>
      <c r="AB8" s="1">
        <f t="shared" ref="AB8:AB14" si="4">SUM(R8:AA8)</f>
        <v>0</v>
      </c>
      <c r="AC8" s="357" t="e">
        <f t="shared" ref="AC8:AC14" si="5">+AB8/(J8+K8+L8)</f>
        <v>#DIV/0!</v>
      </c>
      <c r="AD8" s="864" t="s">
        <v>144</v>
      </c>
      <c r="AE8" s="865"/>
      <c r="AF8" s="865"/>
      <c r="AG8" s="866"/>
      <c r="AH8" s="866"/>
      <c r="AI8" s="867"/>
    </row>
    <row r="9" spans="1:35" x14ac:dyDescent="0.25">
      <c r="A9" s="638"/>
      <c r="C9" s="369"/>
      <c r="D9" s="369"/>
      <c r="E9" s="630"/>
      <c r="F9" s="630"/>
      <c r="G9" s="264">
        <f t="shared" si="0"/>
        <v>0</v>
      </c>
      <c r="H9" s="442">
        <f t="shared" si="1"/>
        <v>0</v>
      </c>
      <c r="J9" s="630"/>
      <c r="K9" s="630"/>
      <c r="L9" s="630"/>
      <c r="M9" s="630"/>
      <c r="N9" s="1">
        <f>IF(C9&gt;0,((J9*Setup_and_Criteria!$F$13)+('M1_1-15th'!K9*Setup_and_Criteria!$F$14)+('M1_1-15th'!L9*Setup_and_Criteria!$F$15)+('M1_1-15th'!M9*Setup_and_Criteria!$F$16)+Setup_and_Criteria!$J$16),0)</f>
        <v>0</v>
      </c>
      <c r="O9" s="442">
        <f t="shared" ref="O9:O14" si="6">+H9</f>
        <v>0</v>
      </c>
      <c r="P9" s="443">
        <f t="shared" si="2"/>
        <v>0</v>
      </c>
      <c r="Q9" s="357" t="e">
        <f t="shared" si="3"/>
        <v>#DIV/0!</v>
      </c>
      <c r="R9" s="630"/>
      <c r="S9" s="630"/>
      <c r="T9" s="630"/>
      <c r="U9" s="630"/>
      <c r="V9" s="630"/>
      <c r="W9" s="630"/>
      <c r="X9" s="630"/>
      <c r="Y9" s="630"/>
      <c r="Z9" s="630"/>
      <c r="AA9" s="630"/>
      <c r="AB9" s="1">
        <f t="shared" si="4"/>
        <v>0</v>
      </c>
      <c r="AC9" s="357" t="e">
        <f t="shared" si="5"/>
        <v>#DIV/0!</v>
      </c>
      <c r="AD9" s="864"/>
      <c r="AE9" s="865"/>
      <c r="AF9" s="865"/>
      <c r="AG9" s="866"/>
      <c r="AH9" s="866"/>
      <c r="AI9" s="867"/>
    </row>
    <row r="10" spans="1:35" x14ac:dyDescent="0.25">
      <c r="A10" s="638"/>
      <c r="C10" s="369"/>
      <c r="D10" s="369"/>
      <c r="E10" s="630"/>
      <c r="F10" s="630"/>
      <c r="G10" s="264">
        <f t="shared" si="0"/>
        <v>0</v>
      </c>
      <c r="H10" s="442">
        <f t="shared" si="1"/>
        <v>0</v>
      </c>
      <c r="J10" s="630"/>
      <c r="K10" s="630"/>
      <c r="L10" s="630"/>
      <c r="M10" s="630"/>
      <c r="N10" s="1">
        <f>IF(C10&gt;0,((J10*Setup_and_Criteria!$F$13)+('M1_1-15th'!K10*Setup_and_Criteria!$F$14)+('M1_1-15th'!L10*Setup_and_Criteria!$F$15)+('M1_1-15th'!M10*Setup_and_Criteria!$F$16)+Setup_and_Criteria!$J$16),0)</f>
        <v>0</v>
      </c>
      <c r="O10" s="442">
        <f t="shared" si="6"/>
        <v>0</v>
      </c>
      <c r="P10" s="443">
        <f t="shared" si="2"/>
        <v>0</v>
      </c>
      <c r="Q10" s="357" t="e">
        <f t="shared" si="3"/>
        <v>#DIV/0!</v>
      </c>
      <c r="R10" s="630"/>
      <c r="S10" s="630"/>
      <c r="T10" s="630"/>
      <c r="U10" s="630"/>
      <c r="V10" s="630"/>
      <c r="W10" s="630"/>
      <c r="X10" s="630"/>
      <c r="Y10" s="630"/>
      <c r="Z10" s="630"/>
      <c r="AA10" s="630"/>
      <c r="AB10" s="1">
        <f t="shared" si="4"/>
        <v>0</v>
      </c>
      <c r="AC10" s="357" t="e">
        <f t="shared" si="5"/>
        <v>#DIV/0!</v>
      </c>
      <c r="AD10" s="864"/>
      <c r="AE10" s="865"/>
      <c r="AF10" s="865"/>
      <c r="AG10" s="866"/>
      <c r="AH10" s="866"/>
      <c r="AI10" s="867"/>
    </row>
    <row r="11" spans="1:35" x14ac:dyDescent="0.25">
      <c r="A11" s="638"/>
      <c r="C11" s="630"/>
      <c r="D11" s="630"/>
      <c r="E11" s="630"/>
      <c r="F11" s="630"/>
      <c r="G11" s="264">
        <f t="shared" si="0"/>
        <v>0</v>
      </c>
      <c r="H11" s="442">
        <f t="shared" si="1"/>
        <v>0</v>
      </c>
      <c r="J11" s="630"/>
      <c r="K11" s="630"/>
      <c r="L11" s="630"/>
      <c r="M11" s="630"/>
      <c r="N11" s="1">
        <f>IF(C11&gt;0,((J11*Setup_and_Criteria!$F$13)+('M1_1-15th'!K11*Setup_and_Criteria!$F$14)+('M1_1-15th'!L11*Setup_and_Criteria!$F$15)+('M1_1-15th'!M11*Setup_and_Criteria!$F$16)+Setup_and_Criteria!$J$16),0)</f>
        <v>0</v>
      </c>
      <c r="O11" s="442">
        <f t="shared" si="6"/>
        <v>0</v>
      </c>
      <c r="P11" s="443">
        <f t="shared" si="2"/>
        <v>0</v>
      </c>
      <c r="Q11" s="357" t="e">
        <f t="shared" si="3"/>
        <v>#DIV/0!</v>
      </c>
      <c r="R11" s="630"/>
      <c r="S11" s="630"/>
      <c r="T11" s="630"/>
      <c r="U11" s="630"/>
      <c r="V11" s="630"/>
      <c r="W11" s="630"/>
      <c r="X11" s="630"/>
      <c r="Y11" s="630"/>
      <c r="Z11" s="630"/>
      <c r="AA11" s="630"/>
      <c r="AB11" s="1">
        <f t="shared" si="4"/>
        <v>0</v>
      </c>
      <c r="AC11" s="357" t="e">
        <f t="shared" si="5"/>
        <v>#DIV/0!</v>
      </c>
      <c r="AD11" s="864"/>
      <c r="AE11" s="865"/>
      <c r="AF11" s="865"/>
      <c r="AG11" s="866"/>
      <c r="AH11" s="866"/>
      <c r="AI11" s="867"/>
    </row>
    <row r="12" spans="1:35" x14ac:dyDescent="0.25">
      <c r="A12" s="638"/>
      <c r="C12" s="630"/>
      <c r="D12" s="630"/>
      <c r="E12" s="630"/>
      <c r="F12" s="630"/>
      <c r="G12" s="264">
        <f t="shared" si="0"/>
        <v>0</v>
      </c>
      <c r="H12" s="442">
        <f t="shared" si="1"/>
        <v>0</v>
      </c>
      <c r="J12" s="630"/>
      <c r="K12" s="630"/>
      <c r="L12" s="630"/>
      <c r="M12" s="630"/>
      <c r="N12" s="1">
        <f>IF(C12&gt;0,((J12*Setup_and_Criteria!$F$13)+('M1_1-15th'!K12*Setup_and_Criteria!$F$14)+('M1_1-15th'!L12*Setup_and_Criteria!$F$15)+('M1_1-15th'!M12*Setup_and_Criteria!$F$16)+Setup_and_Criteria!$J$16),0)</f>
        <v>0</v>
      </c>
      <c r="O12" s="442">
        <f t="shared" si="6"/>
        <v>0</v>
      </c>
      <c r="P12" s="443">
        <f t="shared" si="2"/>
        <v>0</v>
      </c>
      <c r="Q12" s="357" t="e">
        <f t="shared" si="3"/>
        <v>#DIV/0!</v>
      </c>
      <c r="R12" s="630"/>
      <c r="S12" s="630"/>
      <c r="T12" s="630"/>
      <c r="U12" s="630"/>
      <c r="V12" s="630"/>
      <c r="W12" s="630"/>
      <c r="X12" s="630"/>
      <c r="Y12" s="630"/>
      <c r="Z12" s="630"/>
      <c r="AA12" s="630"/>
      <c r="AB12" s="1">
        <f t="shared" si="4"/>
        <v>0</v>
      </c>
      <c r="AC12" s="357" t="e">
        <f t="shared" si="5"/>
        <v>#DIV/0!</v>
      </c>
      <c r="AD12" s="864"/>
      <c r="AE12" s="865"/>
      <c r="AF12" s="865"/>
      <c r="AG12" s="866"/>
      <c r="AH12" s="866"/>
      <c r="AI12" s="867"/>
    </row>
    <row r="13" spans="1:35" ht="15.75" thickBot="1" x14ac:dyDescent="0.3">
      <c r="A13" s="638"/>
      <c r="C13" s="370"/>
      <c r="D13" s="370"/>
      <c r="E13" s="630"/>
      <c r="F13" s="630"/>
      <c r="G13" s="264">
        <f t="shared" si="0"/>
        <v>0</v>
      </c>
      <c r="H13" s="442">
        <f t="shared" si="1"/>
        <v>0</v>
      </c>
      <c r="J13" s="371"/>
      <c r="K13" s="371"/>
      <c r="L13" s="371"/>
      <c r="M13" s="371"/>
      <c r="N13" s="358">
        <f>IF(C13&gt;0,((J13*Setup_and_Criteria!$F$13)+('M1_1-15th'!K13*Setup_and_Criteria!$F$14)+('M1_1-15th'!L13*Setup_and_Criteria!$F$15)+('M1_1-15th'!M13*Setup_and_Criteria!$F$16)+Setup_and_Criteria!$J$16),0)</f>
        <v>0</v>
      </c>
      <c r="O13" s="359">
        <f t="shared" si="6"/>
        <v>0</v>
      </c>
      <c r="P13" s="383">
        <f t="shared" si="2"/>
        <v>0</v>
      </c>
      <c r="Q13" s="360" t="e">
        <f t="shared" si="3"/>
        <v>#DIV/0!</v>
      </c>
      <c r="R13" s="511"/>
      <c r="S13" s="511"/>
      <c r="T13" s="511"/>
      <c r="U13" s="511"/>
      <c r="V13" s="511"/>
      <c r="W13" s="511"/>
      <c r="X13" s="511"/>
      <c r="Y13" s="511"/>
      <c r="Z13" s="511"/>
      <c r="AA13" s="511"/>
      <c r="AB13" s="1">
        <f t="shared" si="4"/>
        <v>0</v>
      </c>
      <c r="AC13" s="357" t="e">
        <f t="shared" si="5"/>
        <v>#DIV/0!</v>
      </c>
      <c r="AD13" s="864"/>
      <c r="AE13" s="865"/>
      <c r="AF13" s="865"/>
      <c r="AG13" s="866"/>
      <c r="AH13" s="866"/>
      <c r="AI13" s="867"/>
    </row>
    <row r="14" spans="1:35" ht="15.75" thickTop="1" x14ac:dyDescent="0.25">
      <c r="A14" s="58"/>
      <c r="H14" s="442">
        <f>SUM(H8:H13)</f>
        <v>0</v>
      </c>
      <c r="J14" s="1">
        <f>SUM(J8:J13)</f>
        <v>0</v>
      </c>
      <c r="K14" s="1">
        <f>SUM(K8:K13)</f>
        <v>0</v>
      </c>
      <c r="L14" s="1">
        <f>SUM(L8:L13)</f>
        <v>0</v>
      </c>
      <c r="M14" s="1">
        <f>SUM(M8:M13)</f>
        <v>0</v>
      </c>
      <c r="N14" s="1">
        <f>SUM(N8:N13)</f>
        <v>0</v>
      </c>
      <c r="O14" s="1">
        <f t="shared" si="6"/>
        <v>0</v>
      </c>
      <c r="P14" s="443">
        <f t="shared" si="2"/>
        <v>0</v>
      </c>
      <c r="Q14" s="357" t="e">
        <f t="shared" si="3"/>
        <v>#DIV/0!</v>
      </c>
      <c r="R14" s="1">
        <f t="shared" ref="R14:AA14" si="7">SUM(R8:R13)</f>
        <v>0</v>
      </c>
      <c r="S14" s="1">
        <f t="shared" si="7"/>
        <v>0</v>
      </c>
      <c r="T14" s="1">
        <f t="shared" si="7"/>
        <v>0</v>
      </c>
      <c r="U14" s="1">
        <f t="shared" si="7"/>
        <v>0</v>
      </c>
      <c r="V14" s="1">
        <f t="shared" si="7"/>
        <v>0</v>
      </c>
      <c r="W14" s="1">
        <f t="shared" si="7"/>
        <v>0</v>
      </c>
      <c r="X14" s="1">
        <f t="shared" si="7"/>
        <v>0</v>
      </c>
      <c r="Y14" s="1">
        <f t="shared" si="7"/>
        <v>0</v>
      </c>
      <c r="Z14" s="1">
        <f t="shared" si="7"/>
        <v>0</v>
      </c>
      <c r="AA14" s="1">
        <f t="shared" si="7"/>
        <v>0</v>
      </c>
      <c r="AB14" s="1">
        <f t="shared" si="4"/>
        <v>0</v>
      </c>
      <c r="AC14" s="357" t="e">
        <f t="shared" si="5"/>
        <v>#DIV/0!</v>
      </c>
      <c r="AD14" s="877"/>
      <c r="AE14" s="878"/>
      <c r="AF14" s="878"/>
      <c r="AG14" s="749"/>
      <c r="AH14" s="749"/>
      <c r="AI14" s="879"/>
    </row>
    <row r="15" spans="1:35" ht="21" customHeight="1" x14ac:dyDescent="0.35">
      <c r="A15" s="58"/>
      <c r="H15" s="442"/>
      <c r="N15" s="888" t="s">
        <v>145</v>
      </c>
      <c r="O15" s="888"/>
      <c r="P15" s="888"/>
      <c r="Q15" s="888"/>
      <c r="R15" s="431" t="s">
        <v>146</v>
      </c>
      <c r="S15" s="431"/>
      <c r="T15" s="431"/>
      <c r="U15" s="431"/>
      <c r="V15" s="431"/>
      <c r="W15" s="431"/>
      <c r="X15" s="431"/>
      <c r="Y15" s="431"/>
      <c r="Z15" s="431"/>
      <c r="AA15" s="431"/>
      <c r="AB15" s="431"/>
      <c r="AC15" s="431"/>
      <c r="AD15" s="880" t="s">
        <v>132</v>
      </c>
      <c r="AE15" s="881"/>
      <c r="AF15" s="881"/>
      <c r="AG15" s="881"/>
      <c r="AH15" s="881"/>
      <c r="AI15" s="882"/>
    </row>
    <row r="16" spans="1:35" ht="31.5" customHeight="1" x14ac:dyDescent="0.35">
      <c r="A16" s="378" t="s">
        <v>147</v>
      </c>
      <c r="C16" s="885" t="s">
        <v>128</v>
      </c>
      <c r="D16" s="885"/>
      <c r="E16" s="885"/>
      <c r="F16" s="885"/>
      <c r="H16" s="442"/>
      <c r="J16" s="444"/>
      <c r="K16" s="445" t="s">
        <v>35</v>
      </c>
      <c r="L16" s="445" t="s">
        <v>148</v>
      </c>
      <c r="N16" s="446" t="s">
        <v>149</v>
      </c>
      <c r="O16" s="447" t="s">
        <v>150</v>
      </c>
      <c r="P16" s="447" t="s">
        <v>138</v>
      </c>
      <c r="Q16" s="447" t="s">
        <v>151</v>
      </c>
      <c r="R16" s="749" t="s">
        <v>152</v>
      </c>
      <c r="S16" s="749"/>
      <c r="T16" s="883" t="s">
        <v>153</v>
      </c>
      <c r="U16" s="883"/>
      <c r="W16" s="425" t="s">
        <v>154</v>
      </c>
      <c r="X16" s="425"/>
      <c r="Y16" s="425"/>
      <c r="Z16" s="425"/>
      <c r="AA16" s="425"/>
      <c r="AB16" s="425"/>
      <c r="AC16" s="425"/>
      <c r="AD16" s="868" t="s">
        <v>160</v>
      </c>
      <c r="AE16" s="869"/>
      <c r="AF16" s="869"/>
      <c r="AG16" s="869"/>
      <c r="AH16" s="869"/>
      <c r="AI16" s="870"/>
    </row>
    <row r="17" spans="1:35" ht="18" customHeight="1" thickBot="1" x14ac:dyDescent="0.3">
      <c r="A17" s="640"/>
      <c r="B17" s="2"/>
      <c r="C17" s="379"/>
      <c r="D17" s="379"/>
      <c r="E17" s="379"/>
      <c r="F17" s="379"/>
      <c r="G17" s="380">
        <f>+(D17-C17)+(F17-E17)</f>
        <v>0</v>
      </c>
      <c r="H17" s="381">
        <f>+G17*1440</f>
        <v>0</v>
      </c>
      <c r="I17" s="859" t="s">
        <v>155</v>
      </c>
      <c r="J17" s="860"/>
      <c r="K17" s="373"/>
      <c r="L17" s="374"/>
      <c r="M17" s="423"/>
      <c r="N17" s="629">
        <f>+J14+L14+K14+K17+L17</f>
        <v>0</v>
      </c>
      <c r="O17" s="368">
        <f>+(Setup_and_Criteria!$K$31+(J14*Setup_and_Criteria!$F$20)+('M1_1-15th'!K14*Setup_and_Criteria!$F$21)+('M1_1-15th'!L14*Setup_and_Criteria!$F$20))+T17+(K17*Setup_and_Criteria!$F$21)+(Setup_and_Criteria!$F$22*'M1_1-15th'!L17)</f>
        <v>75</v>
      </c>
      <c r="P17" s="367">
        <f>+H17</f>
        <v>0</v>
      </c>
      <c r="Q17" s="367">
        <f>+O17-P17</f>
        <v>75</v>
      </c>
      <c r="R17" s="861" t="s">
        <v>252</v>
      </c>
      <c r="S17" s="861"/>
      <c r="T17" s="862">
        <v>0</v>
      </c>
      <c r="U17" s="863"/>
      <c r="V17" s="265" t="s">
        <v>156</v>
      </c>
      <c r="W17" s="854"/>
      <c r="X17" s="855"/>
      <c r="Y17" s="855"/>
      <c r="Z17" s="855"/>
      <c r="AA17" s="855"/>
      <c r="AB17" s="855"/>
      <c r="AC17" s="855"/>
      <c r="AD17" s="868"/>
      <c r="AE17" s="869"/>
      <c r="AF17" s="869"/>
      <c r="AG17" s="869"/>
      <c r="AH17" s="869"/>
      <c r="AI17" s="870"/>
    </row>
    <row r="18" spans="1:35" ht="15.75" thickBot="1" x14ac:dyDescent="0.3">
      <c r="A18" s="452" t="s">
        <v>157</v>
      </c>
      <c r="B18" s="450"/>
      <c r="C18" s="451"/>
      <c r="D18" s="451"/>
      <c r="E18" s="451"/>
      <c r="F18" s="451"/>
      <c r="G18" s="451"/>
      <c r="H18" s="451"/>
      <c r="I18" s="450"/>
      <c r="J18" s="451"/>
      <c r="K18" s="451"/>
      <c r="L18" s="451"/>
      <c r="M18" s="451"/>
      <c r="N18" s="451"/>
      <c r="O18" s="451"/>
      <c r="P18" s="451"/>
      <c r="Q18" s="450"/>
      <c r="R18" s="451"/>
      <c r="S18" s="451"/>
      <c r="T18" s="451"/>
      <c r="U18" s="451"/>
      <c r="V18" s="451"/>
      <c r="W18" s="451"/>
      <c r="X18" s="451"/>
      <c r="Y18" s="451"/>
      <c r="Z18" s="451"/>
      <c r="AA18" s="451"/>
      <c r="AB18" s="450"/>
      <c r="AC18" s="450"/>
      <c r="AD18" s="871"/>
      <c r="AE18" s="872"/>
      <c r="AF18" s="872"/>
      <c r="AG18" s="872"/>
      <c r="AH18" s="872"/>
      <c r="AI18" s="873"/>
    </row>
    <row r="19" spans="1:35" ht="35.25" customHeight="1" x14ac:dyDescent="0.4">
      <c r="A19" s="434" t="str">
        <f>+A6</f>
        <v>June</v>
      </c>
      <c r="B19" s="624">
        <f>+B6+1</f>
        <v>2</v>
      </c>
      <c r="C19" s="884" t="s">
        <v>128</v>
      </c>
      <c r="D19" s="884"/>
      <c r="E19" s="884"/>
      <c r="F19" s="884"/>
      <c r="G19" s="377"/>
      <c r="H19" s="377"/>
      <c r="I19" s="21"/>
      <c r="J19" s="874" t="s">
        <v>129</v>
      </c>
      <c r="K19" s="875"/>
      <c r="L19" s="875"/>
      <c r="M19" s="875"/>
      <c r="N19" s="876" t="s">
        <v>130</v>
      </c>
      <c r="O19" s="876"/>
      <c r="P19" s="876"/>
      <c r="Q19" s="876"/>
      <c r="R19" s="424" t="str">
        <f>+R6</f>
        <v xml:space="preserve"> Corrections Tracking - Check out rooms</v>
      </c>
      <c r="S19" s="424"/>
      <c r="T19" s="424"/>
      <c r="U19" s="424"/>
      <c r="V19" s="424"/>
      <c r="W19" s="424"/>
      <c r="X19" s="424"/>
      <c r="Y19" s="424"/>
      <c r="Z19" s="424"/>
      <c r="AA19" s="424"/>
      <c r="AB19" s="424"/>
      <c r="AC19" s="424"/>
      <c r="AD19" s="461" t="s">
        <v>132</v>
      </c>
      <c r="AE19" s="426"/>
      <c r="AF19" s="426"/>
      <c r="AG19" s="426"/>
      <c r="AH19" s="426"/>
      <c r="AI19" s="427"/>
    </row>
    <row r="20" spans="1:35" ht="59.25" customHeight="1" x14ac:dyDescent="0.25">
      <c r="A20" s="378" t="s">
        <v>133</v>
      </c>
      <c r="C20" s="435" t="s">
        <v>134</v>
      </c>
      <c r="D20" s="435" t="s">
        <v>135</v>
      </c>
      <c r="E20" s="435" t="s">
        <v>134</v>
      </c>
      <c r="F20" s="435" t="s">
        <v>135</v>
      </c>
      <c r="G20" s="1" t="s">
        <v>136</v>
      </c>
      <c r="H20" s="1" t="s">
        <v>108</v>
      </c>
      <c r="I20" s="436"/>
      <c r="J20" s="437" t="str">
        <f>+Setup_and_Criteria!$B$13</f>
        <v>Checkouts</v>
      </c>
      <c r="K20" s="437" t="str">
        <f>+Setup_and_Criteria!$B$14</f>
        <v>Pet Rooms</v>
      </c>
      <c r="L20" s="437" t="str">
        <f>+Setup_and_Criteria!$B$15</f>
        <v>2 Rm &amp; Jac Stes</v>
      </c>
      <c r="M20" s="438" t="str">
        <f>+Setup_and_Criteria!$B$16</f>
        <v>Stayovers</v>
      </c>
      <c r="N20" s="269" t="s">
        <v>137</v>
      </c>
      <c r="O20" s="269" t="s">
        <v>138</v>
      </c>
      <c r="P20" s="439" t="s">
        <v>139</v>
      </c>
      <c r="Q20" s="439" t="s">
        <v>140</v>
      </c>
      <c r="R20" s="440" t="str">
        <f>+Corrections!$C$8</f>
        <v>Vanity</v>
      </c>
      <c r="S20" s="440" t="str">
        <f>+Corrections!$I$8</f>
        <v>Toilet</v>
      </c>
      <c r="T20" s="440" t="str">
        <f>+Corrections!$O$8</f>
        <v>Bed/Pillows</v>
      </c>
      <c r="U20" s="440" t="str">
        <f>+Corrections!$U$8</f>
        <v>Floor</v>
      </c>
      <c r="V20" s="440" t="str">
        <f>+Corrections!$AA$8</f>
        <v>Dusting</v>
      </c>
      <c r="W20" s="440" t="str">
        <f>+Corrections!$AG$8</f>
        <v>Fridge/Micro</v>
      </c>
      <c r="X20" s="440" t="str">
        <f>+Corrections!$AM$8</f>
        <v>Tub</v>
      </c>
      <c r="Y20" s="441" t="str">
        <f>+Corrections!$AS$8</f>
        <v>Mirrors/Glass</v>
      </c>
      <c r="Z20" s="440" t="str">
        <f>+Corrections!$AY$8</f>
        <v>Stocking</v>
      </c>
      <c r="AA20" s="440" t="str">
        <f>+Corrections!$BE$8</f>
        <v>Other</v>
      </c>
      <c r="AB20" s="269" t="s">
        <v>141</v>
      </c>
      <c r="AC20" s="269" t="str">
        <f>+$AC$7</f>
        <v>Daily Corr / Inspected Checkout</v>
      </c>
      <c r="AD20" s="889" t="s">
        <v>143</v>
      </c>
      <c r="AE20" s="890"/>
      <c r="AF20" s="890"/>
      <c r="AG20" s="890"/>
      <c r="AH20" s="890"/>
      <c r="AI20" s="891"/>
    </row>
    <row r="21" spans="1:35" x14ac:dyDescent="0.25">
      <c r="A21" s="638"/>
      <c r="C21" s="369"/>
      <c r="D21" s="369"/>
      <c r="E21" s="369"/>
      <c r="F21" s="369"/>
      <c r="G21" s="264">
        <f t="shared" ref="G21:G26" si="8">+(D21-C21)+(F21-E21)</f>
        <v>0</v>
      </c>
      <c r="H21" s="442">
        <f t="shared" ref="H21:H26" si="9">+G21*1440</f>
        <v>0</v>
      </c>
      <c r="J21" s="630"/>
      <c r="K21" s="630"/>
      <c r="L21" s="630"/>
      <c r="M21" s="630"/>
      <c r="N21" s="1">
        <f>IF(C21&gt;0,((J21*Setup_and_Criteria!$F$13)+('M1_1-15th'!K21*Setup_and_Criteria!$F$14)+('M1_1-15th'!L21*Setup_and_Criteria!$F$15)+('M1_1-15th'!M21*Setup_and_Criteria!$F$16)+Setup_and_Criteria!$J$16),0)</f>
        <v>0</v>
      </c>
      <c r="O21" s="442">
        <f>+H21</f>
        <v>0</v>
      </c>
      <c r="P21" s="443">
        <f t="shared" ref="P21:P27" si="10">+N21-O21</f>
        <v>0</v>
      </c>
      <c r="Q21" s="357" t="e">
        <f t="shared" ref="Q21:Q27" si="11">O21/_xlfn.SINGLE(SUM(J21:M21))</f>
        <v>#DIV/0!</v>
      </c>
      <c r="R21" s="630"/>
      <c r="S21" s="630"/>
      <c r="T21" s="630"/>
      <c r="U21" s="630"/>
      <c r="V21" s="630"/>
      <c r="W21" s="630"/>
      <c r="X21" s="630"/>
      <c r="Y21" s="630"/>
      <c r="Z21" s="630"/>
      <c r="AA21" s="630"/>
      <c r="AB21" s="1">
        <f t="shared" ref="AB21:AB27" si="12">SUM(R21:AA21)</f>
        <v>0</v>
      </c>
      <c r="AC21" s="357" t="e">
        <f t="shared" ref="AC21:AC27" si="13">+AB21/(J21+K21+L21)</f>
        <v>#DIV/0!</v>
      </c>
      <c r="AD21" s="864" t="s">
        <v>144</v>
      </c>
      <c r="AE21" s="865"/>
      <c r="AF21" s="865"/>
      <c r="AG21" s="866"/>
      <c r="AH21" s="866"/>
      <c r="AI21" s="867"/>
    </row>
    <row r="22" spans="1:35" x14ac:dyDescent="0.25">
      <c r="A22" s="638"/>
      <c r="C22" s="630"/>
      <c r="D22" s="630"/>
      <c r="E22" s="630"/>
      <c r="F22" s="630"/>
      <c r="G22" s="264">
        <f t="shared" si="8"/>
        <v>0</v>
      </c>
      <c r="H22" s="442">
        <f t="shared" si="9"/>
        <v>0</v>
      </c>
      <c r="J22" s="630"/>
      <c r="K22" s="630"/>
      <c r="L22" s="630"/>
      <c r="M22" s="630"/>
      <c r="N22" s="1">
        <f>IF(C22&gt;0,((J22*Setup_and_Criteria!$F$13)+('M1_1-15th'!K22*Setup_and_Criteria!$F$14)+('M1_1-15th'!L22*Setup_and_Criteria!$F$15)+('M1_1-15th'!M22*Setup_and_Criteria!$F$16)+Setup_and_Criteria!$J$16),0)</f>
        <v>0</v>
      </c>
      <c r="O22" s="442">
        <f t="shared" ref="O22:O27" si="14">+H22</f>
        <v>0</v>
      </c>
      <c r="P22" s="443">
        <f t="shared" si="10"/>
        <v>0</v>
      </c>
      <c r="Q22" s="357" t="e">
        <f t="shared" si="11"/>
        <v>#DIV/0!</v>
      </c>
      <c r="R22" s="630"/>
      <c r="S22" s="630"/>
      <c r="T22" s="630"/>
      <c r="U22" s="630"/>
      <c r="V22" s="630"/>
      <c r="W22" s="630"/>
      <c r="X22" s="630"/>
      <c r="Y22" s="630"/>
      <c r="Z22" s="630"/>
      <c r="AA22" s="630"/>
      <c r="AB22" s="1">
        <f t="shared" si="12"/>
        <v>0</v>
      </c>
      <c r="AC22" s="357" t="e">
        <f t="shared" si="13"/>
        <v>#DIV/0!</v>
      </c>
      <c r="AD22" s="864"/>
      <c r="AE22" s="865"/>
      <c r="AF22" s="865"/>
      <c r="AG22" s="866"/>
      <c r="AH22" s="866"/>
      <c r="AI22" s="867"/>
    </row>
    <row r="23" spans="1:35" x14ac:dyDescent="0.25">
      <c r="A23" s="638"/>
      <c r="C23" s="630"/>
      <c r="D23" s="630"/>
      <c r="E23" s="630"/>
      <c r="F23" s="630"/>
      <c r="G23" s="264">
        <f t="shared" si="8"/>
        <v>0</v>
      </c>
      <c r="H23" s="442">
        <f t="shared" si="9"/>
        <v>0</v>
      </c>
      <c r="J23" s="630"/>
      <c r="K23" s="630"/>
      <c r="L23" s="630"/>
      <c r="M23" s="630"/>
      <c r="N23" s="1">
        <f>IF(C23&gt;0,((J23*Setup_and_Criteria!$F$13)+('M1_1-15th'!K23*Setup_and_Criteria!$F$14)+('M1_1-15th'!L23*Setup_and_Criteria!$F$15)+('M1_1-15th'!M23*Setup_and_Criteria!$F$16)+Setup_and_Criteria!$J$16),0)</f>
        <v>0</v>
      </c>
      <c r="O23" s="442">
        <f t="shared" si="14"/>
        <v>0</v>
      </c>
      <c r="P23" s="443">
        <f t="shared" si="10"/>
        <v>0</v>
      </c>
      <c r="Q23" s="357" t="e">
        <f t="shared" si="11"/>
        <v>#DIV/0!</v>
      </c>
      <c r="R23" s="630"/>
      <c r="S23" s="630"/>
      <c r="T23" s="630"/>
      <c r="U23" s="630"/>
      <c r="V23" s="630"/>
      <c r="W23" s="630"/>
      <c r="X23" s="630"/>
      <c r="Y23" s="630"/>
      <c r="Z23" s="630"/>
      <c r="AA23" s="630"/>
      <c r="AB23" s="1">
        <f t="shared" si="12"/>
        <v>0</v>
      </c>
      <c r="AC23" s="357" t="e">
        <f t="shared" si="13"/>
        <v>#DIV/0!</v>
      </c>
      <c r="AD23" s="864"/>
      <c r="AE23" s="865"/>
      <c r="AF23" s="865"/>
      <c r="AG23" s="866"/>
      <c r="AH23" s="866"/>
      <c r="AI23" s="867"/>
    </row>
    <row r="24" spans="1:35" x14ac:dyDescent="0.25">
      <c r="A24" s="638"/>
      <c r="C24" s="630"/>
      <c r="D24" s="630"/>
      <c r="E24" s="630"/>
      <c r="F24" s="630"/>
      <c r="G24" s="264">
        <f t="shared" si="8"/>
        <v>0</v>
      </c>
      <c r="H24" s="442">
        <f t="shared" si="9"/>
        <v>0</v>
      </c>
      <c r="J24" s="630"/>
      <c r="K24" s="630"/>
      <c r="L24" s="630"/>
      <c r="M24" s="630"/>
      <c r="N24" s="1">
        <f>IF(C24&gt;0,((J24*Setup_and_Criteria!$F$13)+('M1_1-15th'!K24*Setup_and_Criteria!$F$14)+('M1_1-15th'!L24*Setup_and_Criteria!$F$15)+('M1_1-15th'!M24*Setup_and_Criteria!$F$16)+Setup_and_Criteria!$J$16),0)</f>
        <v>0</v>
      </c>
      <c r="O24" s="442">
        <f t="shared" si="14"/>
        <v>0</v>
      </c>
      <c r="P24" s="443">
        <f t="shared" si="10"/>
        <v>0</v>
      </c>
      <c r="Q24" s="357" t="e">
        <f t="shared" si="11"/>
        <v>#DIV/0!</v>
      </c>
      <c r="R24" s="630"/>
      <c r="S24" s="630"/>
      <c r="T24" s="630"/>
      <c r="U24" s="630"/>
      <c r="V24" s="630"/>
      <c r="W24" s="630"/>
      <c r="X24" s="630"/>
      <c r="Y24" s="630"/>
      <c r="Z24" s="630"/>
      <c r="AA24" s="630"/>
      <c r="AB24" s="1">
        <f t="shared" si="12"/>
        <v>0</v>
      </c>
      <c r="AC24" s="357" t="e">
        <f t="shared" si="13"/>
        <v>#DIV/0!</v>
      </c>
      <c r="AD24" s="864"/>
      <c r="AE24" s="865"/>
      <c r="AF24" s="865"/>
      <c r="AG24" s="866"/>
      <c r="AH24" s="866"/>
      <c r="AI24" s="867"/>
    </row>
    <row r="25" spans="1:35" x14ac:dyDescent="0.25">
      <c r="A25" s="638"/>
      <c r="C25" s="630"/>
      <c r="D25" s="630"/>
      <c r="E25" s="630"/>
      <c r="F25" s="630"/>
      <c r="G25" s="264">
        <f t="shared" si="8"/>
        <v>0</v>
      </c>
      <c r="H25" s="442">
        <f t="shared" si="9"/>
        <v>0</v>
      </c>
      <c r="J25" s="630"/>
      <c r="K25" s="630"/>
      <c r="L25" s="630"/>
      <c r="M25" s="630"/>
      <c r="N25" s="1">
        <f>IF(C25&gt;0,((J25*Setup_and_Criteria!$F$13)+('M1_1-15th'!K25*Setup_and_Criteria!$F$14)+('M1_1-15th'!L25*Setup_and_Criteria!$F$15)+('M1_1-15th'!M25*Setup_and_Criteria!$F$16)+Setup_and_Criteria!$J$16),0)</f>
        <v>0</v>
      </c>
      <c r="O25" s="442">
        <f t="shared" si="14"/>
        <v>0</v>
      </c>
      <c r="P25" s="443">
        <f t="shared" si="10"/>
        <v>0</v>
      </c>
      <c r="Q25" s="357" t="e">
        <f t="shared" si="11"/>
        <v>#DIV/0!</v>
      </c>
      <c r="R25" s="630"/>
      <c r="S25" s="630"/>
      <c r="T25" s="630"/>
      <c r="U25" s="630"/>
      <c r="V25" s="630"/>
      <c r="W25" s="630"/>
      <c r="X25" s="630"/>
      <c r="Y25" s="630"/>
      <c r="Z25" s="630"/>
      <c r="AA25" s="630"/>
      <c r="AB25" s="1">
        <f t="shared" si="12"/>
        <v>0</v>
      </c>
      <c r="AC25" s="357" t="e">
        <f t="shared" si="13"/>
        <v>#DIV/0!</v>
      </c>
      <c r="AD25" s="864"/>
      <c r="AE25" s="865"/>
      <c r="AF25" s="865"/>
      <c r="AG25" s="866"/>
      <c r="AH25" s="866"/>
      <c r="AI25" s="867"/>
    </row>
    <row r="26" spans="1:35" ht="15.75" thickBot="1" x14ac:dyDescent="0.3">
      <c r="A26" s="638"/>
      <c r="C26" s="370"/>
      <c r="D26" s="370"/>
      <c r="E26" s="630"/>
      <c r="F26" s="630"/>
      <c r="G26" s="264">
        <f t="shared" si="8"/>
        <v>0</v>
      </c>
      <c r="H26" s="442">
        <f t="shared" si="9"/>
        <v>0</v>
      </c>
      <c r="J26" s="371"/>
      <c r="K26" s="371"/>
      <c r="L26" s="371"/>
      <c r="M26" s="371"/>
      <c r="N26" s="358">
        <f>IF(C26&gt;0,((J26*Setup_and_Criteria!$F$13)+('M1_1-15th'!K26*Setup_and_Criteria!$F$14)+('M1_1-15th'!L26*Setup_and_Criteria!$F$15)+('M1_1-15th'!M26*Setup_and_Criteria!$F$16)+Setup_and_Criteria!$J$16),0)</f>
        <v>0</v>
      </c>
      <c r="O26" s="359">
        <f t="shared" si="14"/>
        <v>0</v>
      </c>
      <c r="P26" s="383">
        <f t="shared" si="10"/>
        <v>0</v>
      </c>
      <c r="Q26" s="360" t="e">
        <f t="shared" si="11"/>
        <v>#DIV/0!</v>
      </c>
      <c r="R26" s="511"/>
      <c r="S26" s="511"/>
      <c r="T26" s="511"/>
      <c r="U26" s="511"/>
      <c r="V26" s="511"/>
      <c r="W26" s="511"/>
      <c r="X26" s="511"/>
      <c r="Y26" s="511"/>
      <c r="Z26" s="511"/>
      <c r="AA26" s="511"/>
      <c r="AB26" s="1">
        <f t="shared" si="12"/>
        <v>0</v>
      </c>
      <c r="AC26" s="357" t="e">
        <f t="shared" si="13"/>
        <v>#DIV/0!</v>
      </c>
      <c r="AD26" s="864"/>
      <c r="AE26" s="865"/>
      <c r="AF26" s="865"/>
      <c r="AG26" s="866"/>
      <c r="AH26" s="866"/>
      <c r="AI26" s="867"/>
    </row>
    <row r="27" spans="1:35" ht="15.75" thickTop="1" x14ac:dyDescent="0.25">
      <c r="A27" s="58"/>
      <c r="H27" s="442">
        <f>SUM(H21:H26)</f>
        <v>0</v>
      </c>
      <c r="J27" s="1">
        <f>SUM(J21:J26)</f>
        <v>0</v>
      </c>
      <c r="K27" s="1">
        <f>SUM(K21:K26)</f>
        <v>0</v>
      </c>
      <c r="L27" s="1">
        <f>SUM(L21:L26)</f>
        <v>0</v>
      </c>
      <c r="M27" s="1">
        <f>SUM(M21:M26)</f>
        <v>0</v>
      </c>
      <c r="N27" s="1">
        <f>SUM(N21:N26)</f>
        <v>0</v>
      </c>
      <c r="O27" s="1">
        <f t="shared" si="14"/>
        <v>0</v>
      </c>
      <c r="P27" s="443">
        <f t="shared" si="10"/>
        <v>0</v>
      </c>
      <c r="Q27" s="357" t="e">
        <f t="shared" si="11"/>
        <v>#DIV/0!</v>
      </c>
      <c r="R27" s="1">
        <f t="shared" ref="R27:AA27" si="15">SUM(R21:R26)</f>
        <v>0</v>
      </c>
      <c r="S27" s="1">
        <f t="shared" si="15"/>
        <v>0</v>
      </c>
      <c r="T27" s="1">
        <f t="shared" si="15"/>
        <v>0</v>
      </c>
      <c r="U27" s="1">
        <f t="shared" si="15"/>
        <v>0</v>
      </c>
      <c r="V27" s="1">
        <f t="shared" si="15"/>
        <v>0</v>
      </c>
      <c r="W27" s="1">
        <f t="shared" si="15"/>
        <v>0</v>
      </c>
      <c r="X27" s="1">
        <f t="shared" si="15"/>
        <v>0</v>
      </c>
      <c r="Y27" s="1">
        <f t="shared" si="15"/>
        <v>0</v>
      </c>
      <c r="Z27" s="1">
        <f t="shared" si="15"/>
        <v>0</v>
      </c>
      <c r="AA27" s="1">
        <f t="shared" si="15"/>
        <v>0</v>
      </c>
      <c r="AB27" s="1">
        <f t="shared" si="12"/>
        <v>0</v>
      </c>
      <c r="AC27" s="357" t="e">
        <f t="shared" si="13"/>
        <v>#DIV/0!</v>
      </c>
      <c r="AD27" s="877"/>
      <c r="AE27" s="878"/>
      <c r="AF27" s="878"/>
      <c r="AG27" s="749"/>
      <c r="AH27" s="749"/>
      <c r="AI27" s="879"/>
    </row>
    <row r="28" spans="1:35" ht="21" customHeight="1" x14ac:dyDescent="0.35">
      <c r="A28" s="58"/>
      <c r="H28" s="442"/>
      <c r="N28" s="888" t="s">
        <v>145</v>
      </c>
      <c r="O28" s="888"/>
      <c r="P28" s="888"/>
      <c r="Q28" s="888"/>
      <c r="R28" s="431" t="s">
        <v>146</v>
      </c>
      <c r="S28" s="431"/>
      <c r="T28" s="431"/>
      <c r="U28" s="431"/>
      <c r="V28" s="431"/>
      <c r="W28" s="431"/>
      <c r="X28" s="431"/>
      <c r="Y28" s="431"/>
      <c r="Z28" s="431"/>
      <c r="AA28" s="431"/>
      <c r="AB28" s="431"/>
      <c r="AC28" s="431"/>
      <c r="AD28" s="880" t="s">
        <v>132</v>
      </c>
      <c r="AE28" s="881"/>
      <c r="AF28" s="881"/>
      <c r="AG28" s="881"/>
      <c r="AH28" s="881"/>
      <c r="AI28" s="882"/>
    </row>
    <row r="29" spans="1:35" ht="31.5" customHeight="1" x14ac:dyDescent="0.35">
      <c r="A29" s="378" t="s">
        <v>147</v>
      </c>
      <c r="C29" s="885" t="s">
        <v>128</v>
      </c>
      <c r="D29" s="885"/>
      <c r="E29" s="885"/>
      <c r="F29" s="885"/>
      <c r="H29" s="442"/>
      <c r="J29" s="444"/>
      <c r="K29" s="445" t="s">
        <v>35</v>
      </c>
      <c r="L29" s="445" t="s">
        <v>148</v>
      </c>
      <c r="N29" s="446" t="s">
        <v>149</v>
      </c>
      <c r="O29" s="447" t="s">
        <v>150</v>
      </c>
      <c r="P29" s="447" t="s">
        <v>138</v>
      </c>
      <c r="Q29" s="447" t="s">
        <v>151</v>
      </c>
      <c r="R29" s="749" t="s">
        <v>152</v>
      </c>
      <c r="S29" s="749"/>
      <c r="T29" s="883" t="s">
        <v>153</v>
      </c>
      <c r="U29" s="883"/>
      <c r="W29" s="425" t="s">
        <v>154</v>
      </c>
      <c r="X29" s="425"/>
      <c r="Y29" s="425"/>
      <c r="Z29" s="425"/>
      <c r="AA29" s="425"/>
      <c r="AB29" s="425"/>
      <c r="AC29" s="425"/>
      <c r="AD29" s="868" t="s">
        <v>160</v>
      </c>
      <c r="AE29" s="869"/>
      <c r="AF29" s="869"/>
      <c r="AG29" s="869"/>
      <c r="AH29" s="869"/>
      <c r="AI29" s="870"/>
    </row>
    <row r="30" spans="1:35" ht="18" customHeight="1" thickBot="1" x14ac:dyDescent="0.3">
      <c r="A30" s="639"/>
      <c r="B30" s="364"/>
      <c r="C30" s="372"/>
      <c r="D30" s="372"/>
      <c r="E30" s="372"/>
      <c r="F30" s="372"/>
      <c r="G30" s="366">
        <f>+(D30-C30)+(F30-E30)</f>
        <v>0</v>
      </c>
      <c r="H30" s="367">
        <f>+G30*1440</f>
        <v>0</v>
      </c>
      <c r="I30" s="859" t="s">
        <v>155</v>
      </c>
      <c r="J30" s="860"/>
      <c r="K30" s="373"/>
      <c r="L30" s="374"/>
      <c r="M30" s="423"/>
      <c r="N30" s="629">
        <f>+J27+L27+K27+K30+L30</f>
        <v>0</v>
      </c>
      <c r="O30" s="368">
        <f>+(Setup_and_Criteria!$K$31+(J27*Setup_and_Criteria!$F$20)+('M1_1-15th'!K27*Setup_and_Criteria!$F$21)+('M1_1-15th'!L27*Setup_and_Criteria!$F$20))+T30+(K30*Setup_and_Criteria!$F$21)+(Setup_and_Criteria!$F$22*'M1_1-15th'!L30)</f>
        <v>75</v>
      </c>
      <c r="P30" s="367">
        <f>+H30</f>
        <v>0</v>
      </c>
      <c r="Q30" s="367">
        <f>+O30-P30</f>
        <v>75</v>
      </c>
      <c r="R30" s="861" t="s">
        <v>252</v>
      </c>
      <c r="S30" s="861"/>
      <c r="T30" s="862"/>
      <c r="U30" s="863"/>
      <c r="V30" s="265" t="s">
        <v>156</v>
      </c>
      <c r="W30" s="854"/>
      <c r="X30" s="855"/>
      <c r="Y30" s="855"/>
      <c r="Z30" s="855"/>
      <c r="AA30" s="855"/>
      <c r="AB30" s="855"/>
      <c r="AC30" s="855"/>
      <c r="AD30" s="868"/>
      <c r="AE30" s="869"/>
      <c r="AF30" s="869"/>
      <c r="AG30" s="869"/>
      <c r="AH30" s="869"/>
      <c r="AI30" s="870"/>
    </row>
    <row r="31" spans="1:35" ht="15.75" thickBot="1" x14ac:dyDescent="0.3">
      <c r="A31" s="452" t="str">
        <f>+A18</f>
        <v>Password to enter data = "Enter Info"</v>
      </c>
      <c r="B31" s="450"/>
      <c r="C31" s="451"/>
      <c r="D31" s="451"/>
      <c r="E31" s="451"/>
      <c r="F31" s="451"/>
      <c r="G31" s="451"/>
      <c r="H31" s="451"/>
      <c r="I31" s="450"/>
      <c r="J31" s="451"/>
      <c r="K31" s="451"/>
      <c r="L31" s="451"/>
      <c r="M31" s="451"/>
      <c r="N31" s="451"/>
      <c r="O31" s="451"/>
      <c r="P31" s="451"/>
      <c r="Q31" s="450"/>
      <c r="R31" s="451"/>
      <c r="S31" s="451"/>
      <c r="T31" s="451"/>
      <c r="U31" s="451"/>
      <c r="V31" s="451"/>
      <c r="W31" s="451"/>
      <c r="X31" s="451"/>
      <c r="Y31" s="451"/>
      <c r="Z31" s="451"/>
      <c r="AA31" s="451"/>
      <c r="AB31" s="450"/>
      <c r="AC31" s="450"/>
      <c r="AD31" s="871"/>
      <c r="AE31" s="872"/>
      <c r="AF31" s="872"/>
      <c r="AG31" s="872"/>
      <c r="AH31" s="872"/>
      <c r="AI31" s="873"/>
    </row>
    <row r="32" spans="1:35" ht="35.25" customHeight="1" x14ac:dyDescent="0.4">
      <c r="A32" s="434" t="str">
        <f>+A19</f>
        <v>June</v>
      </c>
      <c r="B32" s="624">
        <f>+B19+1</f>
        <v>3</v>
      </c>
      <c r="C32" s="884" t="s">
        <v>128</v>
      </c>
      <c r="D32" s="884"/>
      <c r="E32" s="884"/>
      <c r="F32" s="884"/>
      <c r="G32" s="377"/>
      <c r="H32" s="377"/>
      <c r="I32" s="21"/>
      <c r="J32" s="874" t="s">
        <v>129</v>
      </c>
      <c r="K32" s="875"/>
      <c r="L32" s="875"/>
      <c r="M32" s="875"/>
      <c r="N32" s="876" t="s">
        <v>130</v>
      </c>
      <c r="O32" s="876"/>
      <c r="P32" s="876"/>
      <c r="Q32" s="876"/>
      <c r="R32" s="424" t="str">
        <f>+R19</f>
        <v xml:space="preserve"> Corrections Tracking - Check out rooms</v>
      </c>
      <c r="S32" s="424"/>
      <c r="T32" s="424"/>
      <c r="U32" s="424"/>
      <c r="V32" s="424"/>
      <c r="W32" s="424"/>
      <c r="X32" s="424"/>
      <c r="Y32" s="424"/>
      <c r="Z32" s="424"/>
      <c r="AA32" s="424"/>
      <c r="AB32" s="424"/>
      <c r="AC32" s="424"/>
      <c r="AD32" s="461" t="s">
        <v>132</v>
      </c>
      <c r="AE32" s="426"/>
      <c r="AF32" s="426"/>
      <c r="AG32" s="426"/>
      <c r="AH32" s="426"/>
      <c r="AI32" s="427"/>
    </row>
    <row r="33" spans="1:35" ht="59.25" customHeight="1" x14ac:dyDescent="0.25">
      <c r="A33" s="378" t="s">
        <v>133</v>
      </c>
      <c r="C33" s="435" t="s">
        <v>134</v>
      </c>
      <c r="D33" s="435" t="s">
        <v>135</v>
      </c>
      <c r="E33" s="435" t="s">
        <v>134</v>
      </c>
      <c r="F33" s="435" t="s">
        <v>135</v>
      </c>
      <c r="G33" s="1" t="s">
        <v>136</v>
      </c>
      <c r="H33" s="1" t="s">
        <v>108</v>
      </c>
      <c r="I33" s="436"/>
      <c r="J33" s="437" t="str">
        <f>+Setup_and_Criteria!$B$13</f>
        <v>Checkouts</v>
      </c>
      <c r="K33" s="437" t="str">
        <f>+Setup_and_Criteria!$B$14</f>
        <v>Pet Rooms</v>
      </c>
      <c r="L33" s="437" t="str">
        <f>+Setup_and_Criteria!$B$15</f>
        <v>2 Rm &amp; Jac Stes</v>
      </c>
      <c r="M33" s="438" t="str">
        <f>+Setup_and_Criteria!$B$16</f>
        <v>Stayovers</v>
      </c>
      <c r="N33" s="269" t="s">
        <v>137</v>
      </c>
      <c r="O33" s="269" t="s">
        <v>138</v>
      </c>
      <c r="P33" s="439" t="s">
        <v>139</v>
      </c>
      <c r="Q33" s="439" t="s">
        <v>140</v>
      </c>
      <c r="R33" s="440" t="str">
        <f>+Corrections!$C$8</f>
        <v>Vanity</v>
      </c>
      <c r="S33" s="440" t="str">
        <f>+Corrections!$I$8</f>
        <v>Toilet</v>
      </c>
      <c r="T33" s="440" t="str">
        <f>+Corrections!$O$8</f>
        <v>Bed/Pillows</v>
      </c>
      <c r="U33" s="440" t="str">
        <f>+Corrections!$U$8</f>
        <v>Floor</v>
      </c>
      <c r="V33" s="440" t="str">
        <f>+Corrections!$AA$8</f>
        <v>Dusting</v>
      </c>
      <c r="W33" s="440" t="str">
        <f>+Corrections!$AG$8</f>
        <v>Fridge/Micro</v>
      </c>
      <c r="X33" s="440" t="str">
        <f>+Corrections!$AM$8</f>
        <v>Tub</v>
      </c>
      <c r="Y33" s="441" t="str">
        <f>+Corrections!$AS$8</f>
        <v>Mirrors/Glass</v>
      </c>
      <c r="Z33" s="440" t="str">
        <f>+Corrections!$AY$8</f>
        <v>Stocking</v>
      </c>
      <c r="AA33" s="440" t="str">
        <f>+Corrections!$BE$8</f>
        <v>Other</v>
      </c>
      <c r="AB33" s="269" t="s">
        <v>141</v>
      </c>
      <c r="AC33" s="269" t="str">
        <f>+$AC$7</f>
        <v>Daily Corr / Inspected Checkout</v>
      </c>
      <c r="AD33" s="889" t="s">
        <v>143</v>
      </c>
      <c r="AE33" s="890"/>
      <c r="AF33" s="890"/>
      <c r="AG33" s="890"/>
      <c r="AH33" s="890"/>
      <c r="AI33" s="891"/>
    </row>
    <row r="34" spans="1:35" x14ac:dyDescent="0.25">
      <c r="A34" s="638"/>
      <c r="C34" s="369"/>
      <c r="D34" s="369"/>
      <c r="E34" s="369"/>
      <c r="F34" s="369"/>
      <c r="G34" s="264">
        <f t="shared" ref="G34:G39" si="16">+(D34-C34)+(F34-E34)</f>
        <v>0</v>
      </c>
      <c r="H34" s="442">
        <f t="shared" ref="H34:H39" si="17">+G34*1440</f>
        <v>0</v>
      </c>
      <c r="J34" s="630"/>
      <c r="K34" s="630"/>
      <c r="L34" s="630"/>
      <c r="M34" s="630"/>
      <c r="N34" s="1">
        <f>IF(C34&gt;0,((J34*Setup_and_Criteria!$F$13)+('M1_1-15th'!K34*Setup_and_Criteria!$F$14)+('M1_1-15th'!L34*Setup_and_Criteria!$F$15)+('M1_1-15th'!M34*Setup_and_Criteria!$F$16)+Setup_and_Criteria!$J$16),0)</f>
        <v>0</v>
      </c>
      <c r="O34" s="442">
        <f>+H34</f>
        <v>0</v>
      </c>
      <c r="P34" s="443">
        <f t="shared" ref="P34:P40" si="18">+N34-O34</f>
        <v>0</v>
      </c>
      <c r="Q34" s="357" t="e">
        <f t="shared" ref="Q34:Q40" si="19">O34/_xlfn.SINGLE(SUM(J34:M34))</f>
        <v>#DIV/0!</v>
      </c>
      <c r="R34" s="630"/>
      <c r="S34" s="630"/>
      <c r="T34" s="630"/>
      <c r="U34" s="630"/>
      <c r="V34" s="630"/>
      <c r="W34" s="630"/>
      <c r="X34" s="630"/>
      <c r="Y34" s="630"/>
      <c r="Z34" s="630"/>
      <c r="AA34" s="630"/>
      <c r="AB34" s="1">
        <f t="shared" ref="AB34:AB40" si="20">SUM(R34:AA34)</f>
        <v>0</v>
      </c>
      <c r="AC34" s="357" t="e">
        <f t="shared" ref="AC34:AC40" si="21">+AB34/(J34+K34+L34)</f>
        <v>#DIV/0!</v>
      </c>
      <c r="AD34" s="864" t="s">
        <v>144</v>
      </c>
      <c r="AE34" s="865"/>
      <c r="AF34" s="865"/>
      <c r="AG34" s="866"/>
      <c r="AH34" s="866"/>
      <c r="AI34" s="867"/>
    </row>
    <row r="35" spans="1:35" x14ac:dyDescent="0.25">
      <c r="A35" s="638"/>
      <c r="C35" s="630"/>
      <c r="D35" s="630"/>
      <c r="E35" s="630"/>
      <c r="F35" s="630"/>
      <c r="G35" s="264">
        <f t="shared" si="16"/>
        <v>0</v>
      </c>
      <c r="H35" s="442">
        <f t="shared" si="17"/>
        <v>0</v>
      </c>
      <c r="J35" s="630"/>
      <c r="K35" s="630"/>
      <c r="L35" s="630"/>
      <c r="M35" s="630"/>
      <c r="N35" s="1">
        <f>IF(C35&gt;0,((J35*Setup_and_Criteria!$F$13)+('M1_1-15th'!K35*Setup_and_Criteria!$F$14)+('M1_1-15th'!L35*Setup_and_Criteria!$F$15)+('M1_1-15th'!M35*Setup_and_Criteria!$F$16)+Setup_and_Criteria!$J$16),0)</f>
        <v>0</v>
      </c>
      <c r="O35" s="442">
        <f t="shared" ref="O35:O40" si="22">+H35</f>
        <v>0</v>
      </c>
      <c r="P35" s="443">
        <f t="shared" si="18"/>
        <v>0</v>
      </c>
      <c r="Q35" s="357" t="e">
        <f t="shared" si="19"/>
        <v>#DIV/0!</v>
      </c>
      <c r="R35" s="630"/>
      <c r="S35" s="630"/>
      <c r="T35" s="630"/>
      <c r="U35" s="630"/>
      <c r="V35" s="630"/>
      <c r="W35" s="630"/>
      <c r="X35" s="630"/>
      <c r="Y35" s="630"/>
      <c r="Z35" s="630"/>
      <c r="AA35" s="630"/>
      <c r="AB35" s="1">
        <f t="shared" si="20"/>
        <v>0</v>
      </c>
      <c r="AC35" s="357" t="e">
        <f t="shared" si="21"/>
        <v>#DIV/0!</v>
      </c>
      <c r="AD35" s="864"/>
      <c r="AE35" s="865"/>
      <c r="AF35" s="865"/>
      <c r="AG35" s="866"/>
      <c r="AH35" s="866"/>
      <c r="AI35" s="867"/>
    </row>
    <row r="36" spans="1:35" x14ac:dyDescent="0.25">
      <c r="A36" s="638"/>
      <c r="C36" s="630"/>
      <c r="D36" s="630"/>
      <c r="E36" s="630"/>
      <c r="F36" s="630"/>
      <c r="G36" s="264">
        <f t="shared" si="16"/>
        <v>0</v>
      </c>
      <c r="H36" s="442">
        <f t="shared" si="17"/>
        <v>0</v>
      </c>
      <c r="J36" s="630"/>
      <c r="K36" s="630"/>
      <c r="L36" s="630"/>
      <c r="M36" s="630"/>
      <c r="N36" s="1">
        <f>IF(C36&gt;0,((J36*Setup_and_Criteria!$F$13)+('M1_1-15th'!K36*Setup_and_Criteria!$F$14)+('M1_1-15th'!L36*Setup_and_Criteria!$F$15)+('M1_1-15th'!M36*Setup_and_Criteria!$F$16)+Setup_and_Criteria!$J$16),0)</f>
        <v>0</v>
      </c>
      <c r="O36" s="442">
        <f t="shared" si="22"/>
        <v>0</v>
      </c>
      <c r="P36" s="443">
        <f t="shared" si="18"/>
        <v>0</v>
      </c>
      <c r="Q36" s="357" t="e">
        <f t="shared" si="19"/>
        <v>#DIV/0!</v>
      </c>
      <c r="R36" s="630"/>
      <c r="S36" s="630"/>
      <c r="T36" s="630"/>
      <c r="U36" s="630"/>
      <c r="V36" s="630"/>
      <c r="W36" s="630"/>
      <c r="X36" s="630"/>
      <c r="Y36" s="630"/>
      <c r="Z36" s="630"/>
      <c r="AA36" s="630"/>
      <c r="AB36" s="1">
        <f t="shared" si="20"/>
        <v>0</v>
      </c>
      <c r="AC36" s="357" t="e">
        <f t="shared" si="21"/>
        <v>#DIV/0!</v>
      </c>
      <c r="AD36" s="864"/>
      <c r="AE36" s="865"/>
      <c r="AF36" s="865"/>
      <c r="AG36" s="866"/>
      <c r="AH36" s="866"/>
      <c r="AI36" s="867"/>
    </row>
    <row r="37" spans="1:35" x14ac:dyDescent="0.25">
      <c r="A37" s="638"/>
      <c r="C37" s="630"/>
      <c r="D37" s="630"/>
      <c r="E37" s="630"/>
      <c r="F37" s="630"/>
      <c r="G37" s="264">
        <f t="shared" si="16"/>
        <v>0</v>
      </c>
      <c r="H37" s="442">
        <f t="shared" si="17"/>
        <v>0</v>
      </c>
      <c r="J37" s="630"/>
      <c r="K37" s="630"/>
      <c r="L37" s="630"/>
      <c r="M37" s="630"/>
      <c r="N37" s="1">
        <f>IF(C37&gt;0,((J37*Setup_and_Criteria!$F$13)+('M1_1-15th'!K37*Setup_and_Criteria!$F$14)+('M1_1-15th'!L37*Setup_and_Criteria!$F$15)+('M1_1-15th'!M37*Setup_and_Criteria!$F$16)+Setup_and_Criteria!$J$16),0)</f>
        <v>0</v>
      </c>
      <c r="O37" s="442">
        <f t="shared" si="22"/>
        <v>0</v>
      </c>
      <c r="P37" s="443">
        <f t="shared" si="18"/>
        <v>0</v>
      </c>
      <c r="Q37" s="357" t="e">
        <f t="shared" si="19"/>
        <v>#DIV/0!</v>
      </c>
      <c r="R37" s="630"/>
      <c r="S37" s="630"/>
      <c r="T37" s="630"/>
      <c r="U37" s="630"/>
      <c r="V37" s="630"/>
      <c r="W37" s="630"/>
      <c r="X37" s="630"/>
      <c r="Y37" s="630"/>
      <c r="Z37" s="630"/>
      <c r="AA37" s="630"/>
      <c r="AB37" s="1">
        <f t="shared" si="20"/>
        <v>0</v>
      </c>
      <c r="AC37" s="357" t="e">
        <f t="shared" si="21"/>
        <v>#DIV/0!</v>
      </c>
      <c r="AD37" s="864"/>
      <c r="AE37" s="865"/>
      <c r="AF37" s="865"/>
      <c r="AG37" s="866"/>
      <c r="AH37" s="866"/>
      <c r="AI37" s="867"/>
    </row>
    <row r="38" spans="1:35" x14ac:dyDescent="0.25">
      <c r="A38" s="638"/>
      <c r="C38" s="630"/>
      <c r="D38" s="630"/>
      <c r="E38" s="630"/>
      <c r="F38" s="630"/>
      <c r="G38" s="264">
        <f t="shared" si="16"/>
        <v>0</v>
      </c>
      <c r="H38" s="442">
        <f t="shared" si="17"/>
        <v>0</v>
      </c>
      <c r="J38" s="630"/>
      <c r="K38" s="630"/>
      <c r="L38" s="630"/>
      <c r="M38" s="630"/>
      <c r="N38" s="1">
        <f>IF(C38&gt;0,((J38*Setup_and_Criteria!$F$13)+('M1_1-15th'!K38*Setup_and_Criteria!$F$14)+('M1_1-15th'!L38*Setup_and_Criteria!$F$15)+('M1_1-15th'!M38*Setup_and_Criteria!$F$16)+Setup_and_Criteria!$J$16),0)</f>
        <v>0</v>
      </c>
      <c r="O38" s="442">
        <f t="shared" si="22"/>
        <v>0</v>
      </c>
      <c r="P38" s="443">
        <f t="shared" si="18"/>
        <v>0</v>
      </c>
      <c r="Q38" s="357" t="e">
        <f t="shared" si="19"/>
        <v>#DIV/0!</v>
      </c>
      <c r="R38" s="630"/>
      <c r="S38" s="630"/>
      <c r="T38" s="630"/>
      <c r="U38" s="630"/>
      <c r="V38" s="630"/>
      <c r="W38" s="630"/>
      <c r="X38" s="630"/>
      <c r="Y38" s="630"/>
      <c r="Z38" s="630"/>
      <c r="AA38" s="630"/>
      <c r="AB38" s="1">
        <f t="shared" si="20"/>
        <v>0</v>
      </c>
      <c r="AC38" s="357" t="e">
        <f t="shared" si="21"/>
        <v>#DIV/0!</v>
      </c>
      <c r="AD38" s="864"/>
      <c r="AE38" s="865"/>
      <c r="AF38" s="865"/>
      <c r="AG38" s="866"/>
      <c r="AH38" s="866"/>
      <c r="AI38" s="867"/>
    </row>
    <row r="39" spans="1:35" ht="15.75" thickBot="1" x14ac:dyDescent="0.3">
      <c r="A39" s="638"/>
      <c r="C39" s="370"/>
      <c r="D39" s="370"/>
      <c r="E39" s="630"/>
      <c r="F39" s="630"/>
      <c r="G39" s="264">
        <f t="shared" si="16"/>
        <v>0</v>
      </c>
      <c r="H39" s="442">
        <f t="shared" si="17"/>
        <v>0</v>
      </c>
      <c r="J39" s="371"/>
      <c r="K39" s="371"/>
      <c r="L39" s="371"/>
      <c r="M39" s="371"/>
      <c r="N39" s="358">
        <f>IF(C39&gt;0,((J39*Setup_and_Criteria!$F$13)+('M1_1-15th'!K39*Setup_and_Criteria!$F$14)+('M1_1-15th'!L39*Setup_and_Criteria!$F$15)+('M1_1-15th'!M39*Setup_and_Criteria!$F$16)+Setup_and_Criteria!$J$16),0)</f>
        <v>0</v>
      </c>
      <c r="O39" s="359">
        <f t="shared" si="22"/>
        <v>0</v>
      </c>
      <c r="P39" s="383">
        <f t="shared" si="18"/>
        <v>0</v>
      </c>
      <c r="Q39" s="360" t="e">
        <f t="shared" si="19"/>
        <v>#DIV/0!</v>
      </c>
      <c r="R39" s="511"/>
      <c r="S39" s="511"/>
      <c r="T39" s="511"/>
      <c r="U39" s="511"/>
      <c r="V39" s="511"/>
      <c r="W39" s="511"/>
      <c r="X39" s="511"/>
      <c r="Y39" s="511"/>
      <c r="Z39" s="511"/>
      <c r="AA39" s="511"/>
      <c r="AB39" s="1">
        <f t="shared" si="20"/>
        <v>0</v>
      </c>
      <c r="AC39" s="357" t="e">
        <f t="shared" si="21"/>
        <v>#DIV/0!</v>
      </c>
      <c r="AD39" s="864"/>
      <c r="AE39" s="865"/>
      <c r="AF39" s="865"/>
      <c r="AG39" s="866"/>
      <c r="AH39" s="866"/>
      <c r="AI39" s="867"/>
    </row>
    <row r="40" spans="1:35" ht="15.75" thickTop="1" x14ac:dyDescent="0.25">
      <c r="A40" s="58"/>
      <c r="H40" s="442">
        <f>SUM(H34:H39)</f>
        <v>0</v>
      </c>
      <c r="J40" s="1">
        <f>SUM(J34:J39)</f>
        <v>0</v>
      </c>
      <c r="K40" s="1">
        <f>SUM(K34:K39)</f>
        <v>0</v>
      </c>
      <c r="L40" s="1">
        <f>SUM(L34:L39)</f>
        <v>0</v>
      </c>
      <c r="M40" s="1">
        <f>SUM(M34:M39)</f>
        <v>0</v>
      </c>
      <c r="N40" s="1">
        <f>SUM(N34:N39)</f>
        <v>0</v>
      </c>
      <c r="O40" s="1">
        <f t="shared" si="22"/>
        <v>0</v>
      </c>
      <c r="P40" s="443">
        <f t="shared" si="18"/>
        <v>0</v>
      </c>
      <c r="Q40" s="357" t="e">
        <f t="shared" si="19"/>
        <v>#DIV/0!</v>
      </c>
      <c r="R40" s="1">
        <f t="shared" ref="R40:AA40" si="23">SUM(R34:R39)</f>
        <v>0</v>
      </c>
      <c r="S40" s="1">
        <f t="shared" si="23"/>
        <v>0</v>
      </c>
      <c r="T40" s="1">
        <f t="shared" si="23"/>
        <v>0</v>
      </c>
      <c r="U40" s="1">
        <f t="shared" si="23"/>
        <v>0</v>
      </c>
      <c r="V40" s="1">
        <f t="shared" si="23"/>
        <v>0</v>
      </c>
      <c r="W40" s="1">
        <f t="shared" si="23"/>
        <v>0</v>
      </c>
      <c r="X40" s="1">
        <f t="shared" si="23"/>
        <v>0</v>
      </c>
      <c r="Y40" s="1">
        <f t="shared" si="23"/>
        <v>0</v>
      </c>
      <c r="Z40" s="1">
        <f t="shared" si="23"/>
        <v>0</v>
      </c>
      <c r="AA40" s="1">
        <f t="shared" si="23"/>
        <v>0</v>
      </c>
      <c r="AB40" s="1">
        <f t="shared" si="20"/>
        <v>0</v>
      </c>
      <c r="AC40" s="357" t="e">
        <f t="shared" si="21"/>
        <v>#DIV/0!</v>
      </c>
      <c r="AD40" s="877"/>
      <c r="AE40" s="878"/>
      <c r="AF40" s="878"/>
      <c r="AG40" s="749"/>
      <c r="AH40" s="749"/>
      <c r="AI40" s="879"/>
    </row>
    <row r="41" spans="1:35" ht="21" customHeight="1" x14ac:dyDescent="0.35">
      <c r="A41" s="58"/>
      <c r="H41" s="442"/>
      <c r="N41" s="888" t="s">
        <v>145</v>
      </c>
      <c r="O41" s="888"/>
      <c r="P41" s="888"/>
      <c r="Q41" s="888"/>
      <c r="R41" s="431" t="s">
        <v>146</v>
      </c>
      <c r="S41" s="431"/>
      <c r="T41" s="431"/>
      <c r="U41" s="431"/>
      <c r="V41" s="431"/>
      <c r="W41" s="431"/>
      <c r="X41" s="431"/>
      <c r="Y41" s="431"/>
      <c r="Z41" s="431"/>
      <c r="AA41" s="431"/>
      <c r="AB41" s="431"/>
      <c r="AC41" s="431"/>
      <c r="AD41" s="880" t="s">
        <v>132</v>
      </c>
      <c r="AE41" s="881"/>
      <c r="AF41" s="881"/>
      <c r="AG41" s="881"/>
      <c r="AH41" s="881"/>
      <c r="AI41" s="882"/>
    </row>
    <row r="42" spans="1:35" ht="31.5" customHeight="1" x14ac:dyDescent="0.35">
      <c r="A42" s="378" t="s">
        <v>147</v>
      </c>
      <c r="C42" s="885" t="s">
        <v>128</v>
      </c>
      <c r="D42" s="885"/>
      <c r="E42" s="885"/>
      <c r="F42" s="885"/>
      <c r="H42" s="442"/>
      <c r="J42" s="444"/>
      <c r="K42" s="445" t="s">
        <v>35</v>
      </c>
      <c r="L42" s="445" t="s">
        <v>148</v>
      </c>
      <c r="N42" s="446" t="s">
        <v>149</v>
      </c>
      <c r="O42" s="447" t="s">
        <v>150</v>
      </c>
      <c r="P42" s="447" t="s">
        <v>138</v>
      </c>
      <c r="Q42" s="447" t="s">
        <v>151</v>
      </c>
      <c r="R42" s="749" t="s">
        <v>152</v>
      </c>
      <c r="S42" s="749"/>
      <c r="T42" s="883" t="s">
        <v>153</v>
      </c>
      <c r="U42" s="883"/>
      <c r="W42" s="425" t="s">
        <v>154</v>
      </c>
      <c r="X42" s="425"/>
      <c r="Y42" s="425"/>
      <c r="Z42" s="425"/>
      <c r="AA42" s="425"/>
      <c r="AB42" s="425"/>
      <c r="AC42" s="425"/>
      <c r="AD42" s="868" t="s">
        <v>160</v>
      </c>
      <c r="AE42" s="869"/>
      <c r="AF42" s="869"/>
      <c r="AG42" s="869"/>
      <c r="AH42" s="869"/>
      <c r="AI42" s="870"/>
    </row>
    <row r="43" spans="1:35" ht="18" customHeight="1" thickBot="1" x14ac:dyDescent="0.3">
      <c r="A43" s="639"/>
      <c r="B43" s="364"/>
      <c r="C43" s="372"/>
      <c r="D43" s="372"/>
      <c r="E43" s="372"/>
      <c r="F43" s="372"/>
      <c r="G43" s="366">
        <f>+(D43-C43)+(F43-E43)</f>
        <v>0</v>
      </c>
      <c r="H43" s="367">
        <f>+G43*1440</f>
        <v>0</v>
      </c>
      <c r="I43" s="859" t="s">
        <v>155</v>
      </c>
      <c r="J43" s="860"/>
      <c r="K43" s="373"/>
      <c r="L43" s="374"/>
      <c r="M43" s="423"/>
      <c r="N43" s="629">
        <f>+J40+L40+K40+K43+L43</f>
        <v>0</v>
      </c>
      <c r="O43" s="368">
        <f>+(Setup_and_Criteria!$K$31+(J40*Setup_and_Criteria!$F$20)+('M1_1-15th'!K40*Setup_and_Criteria!$F$21)+('M1_1-15th'!L40*Setup_and_Criteria!$F$20))+T43+(K43*Setup_and_Criteria!$F$21)+(Setup_and_Criteria!$F$22*'M1_1-15th'!L43)</f>
        <v>75</v>
      </c>
      <c r="P43" s="367">
        <f>+H43</f>
        <v>0</v>
      </c>
      <c r="Q43" s="367">
        <f>+O43-P43</f>
        <v>75</v>
      </c>
      <c r="R43" s="861" t="s">
        <v>252</v>
      </c>
      <c r="S43" s="861"/>
      <c r="T43" s="862"/>
      <c r="U43" s="863"/>
      <c r="V43" s="265" t="s">
        <v>156</v>
      </c>
      <c r="W43" s="854"/>
      <c r="X43" s="855"/>
      <c r="Y43" s="855"/>
      <c r="Z43" s="855"/>
      <c r="AA43" s="855"/>
      <c r="AB43" s="855"/>
      <c r="AC43" s="855"/>
      <c r="AD43" s="868"/>
      <c r="AE43" s="869"/>
      <c r="AF43" s="869"/>
      <c r="AG43" s="869"/>
      <c r="AH43" s="869"/>
      <c r="AI43" s="870"/>
    </row>
    <row r="44" spans="1:35" ht="15.75" thickBot="1" x14ac:dyDescent="0.3">
      <c r="A44" s="449" t="str">
        <f>+A31</f>
        <v>Password to enter data = "Enter Info"</v>
      </c>
      <c r="B44" s="450"/>
      <c r="C44" s="451"/>
      <c r="D44" s="451"/>
      <c r="E44" s="451"/>
      <c r="F44" s="451"/>
      <c r="G44" s="451"/>
      <c r="H44" s="451"/>
      <c r="I44" s="450"/>
      <c r="J44" s="451"/>
      <c r="K44" s="451"/>
      <c r="L44" s="451"/>
      <c r="M44" s="451"/>
      <c r="N44" s="451"/>
      <c r="O44" s="451"/>
      <c r="P44" s="451"/>
      <c r="Q44" s="450"/>
      <c r="R44" s="451"/>
      <c r="S44" s="451"/>
      <c r="T44" s="451"/>
      <c r="U44" s="451"/>
      <c r="V44" s="451"/>
      <c r="W44" s="451"/>
      <c r="X44" s="451"/>
      <c r="Y44" s="451"/>
      <c r="Z44" s="451"/>
      <c r="AA44" s="451"/>
      <c r="AB44" s="450"/>
      <c r="AC44" s="450"/>
      <c r="AD44" s="871"/>
      <c r="AE44" s="872"/>
      <c r="AF44" s="872"/>
      <c r="AG44" s="872"/>
      <c r="AH44" s="872"/>
      <c r="AI44" s="873"/>
    </row>
    <row r="45" spans="1:35" ht="35.25" customHeight="1" x14ac:dyDescent="0.4">
      <c r="A45" s="434" t="str">
        <f>+A32</f>
        <v>June</v>
      </c>
      <c r="B45" s="624">
        <f>+B32+1</f>
        <v>4</v>
      </c>
      <c r="C45" s="884" t="s">
        <v>128</v>
      </c>
      <c r="D45" s="884"/>
      <c r="E45" s="884"/>
      <c r="F45" s="884"/>
      <c r="G45" s="377"/>
      <c r="H45" s="377"/>
      <c r="I45" s="21"/>
      <c r="J45" s="874" t="s">
        <v>129</v>
      </c>
      <c r="K45" s="875"/>
      <c r="L45" s="875"/>
      <c r="M45" s="875"/>
      <c r="N45" s="876" t="s">
        <v>130</v>
      </c>
      <c r="O45" s="876"/>
      <c r="P45" s="876"/>
      <c r="Q45" s="876"/>
      <c r="R45" s="424" t="str">
        <f>+R32</f>
        <v xml:space="preserve"> Corrections Tracking - Check out rooms</v>
      </c>
      <c r="S45" s="424"/>
      <c r="T45" s="424"/>
      <c r="U45" s="424"/>
      <c r="V45" s="424"/>
      <c r="W45" s="424"/>
      <c r="X45" s="424"/>
      <c r="Y45" s="424"/>
      <c r="Z45" s="424"/>
      <c r="AA45" s="424"/>
      <c r="AB45" s="424"/>
      <c r="AC45" s="424"/>
      <c r="AD45" s="461" t="s">
        <v>132</v>
      </c>
      <c r="AE45" s="426"/>
      <c r="AF45" s="426"/>
      <c r="AG45" s="426"/>
      <c r="AH45" s="426"/>
      <c r="AI45" s="427"/>
    </row>
    <row r="46" spans="1:35" ht="59.25" customHeight="1" x14ac:dyDescent="0.25">
      <c r="A46" s="378" t="s">
        <v>133</v>
      </c>
      <c r="C46" s="435" t="s">
        <v>134</v>
      </c>
      <c r="D46" s="435" t="s">
        <v>135</v>
      </c>
      <c r="E46" s="435" t="s">
        <v>134</v>
      </c>
      <c r="F46" s="435" t="s">
        <v>135</v>
      </c>
      <c r="G46" s="1" t="s">
        <v>136</v>
      </c>
      <c r="H46" s="1" t="s">
        <v>108</v>
      </c>
      <c r="I46" s="436"/>
      <c r="J46" s="437" t="str">
        <f>+Setup_and_Criteria!$B$13</f>
        <v>Checkouts</v>
      </c>
      <c r="K46" s="437" t="str">
        <f>+Setup_and_Criteria!$B$14</f>
        <v>Pet Rooms</v>
      </c>
      <c r="L46" s="437" t="str">
        <f>+Setup_and_Criteria!$B$15</f>
        <v>2 Rm &amp; Jac Stes</v>
      </c>
      <c r="M46" s="438" t="str">
        <f>+Setup_and_Criteria!$B$16</f>
        <v>Stayovers</v>
      </c>
      <c r="N46" s="269" t="s">
        <v>137</v>
      </c>
      <c r="O46" s="269" t="s">
        <v>138</v>
      </c>
      <c r="P46" s="439" t="s">
        <v>139</v>
      </c>
      <c r="Q46" s="439" t="s">
        <v>140</v>
      </c>
      <c r="R46" s="440" t="str">
        <f>+Corrections!$C$8</f>
        <v>Vanity</v>
      </c>
      <c r="S46" s="440" t="str">
        <f>+Corrections!$I$8</f>
        <v>Toilet</v>
      </c>
      <c r="T46" s="440" t="str">
        <f>+Corrections!$O$8</f>
        <v>Bed/Pillows</v>
      </c>
      <c r="U46" s="440" t="str">
        <f>+Corrections!$U$8</f>
        <v>Floor</v>
      </c>
      <c r="V46" s="440" t="str">
        <f>+Corrections!$AA$8</f>
        <v>Dusting</v>
      </c>
      <c r="W46" s="440" t="str">
        <f>+Corrections!$AG$8</f>
        <v>Fridge/Micro</v>
      </c>
      <c r="X46" s="440" t="str">
        <f>+Corrections!$AM$8</f>
        <v>Tub</v>
      </c>
      <c r="Y46" s="441" t="str">
        <f>+Corrections!$AS$8</f>
        <v>Mirrors/Glass</v>
      </c>
      <c r="Z46" s="440" t="str">
        <f>+Corrections!$AY$8</f>
        <v>Stocking</v>
      </c>
      <c r="AA46" s="440" t="str">
        <f>+Corrections!$BE$8</f>
        <v>Other</v>
      </c>
      <c r="AB46" s="269" t="s">
        <v>141</v>
      </c>
      <c r="AC46" s="269" t="str">
        <f>+$AC$7</f>
        <v>Daily Corr / Inspected Checkout</v>
      </c>
      <c r="AD46" s="889" t="s">
        <v>143</v>
      </c>
      <c r="AE46" s="890"/>
      <c r="AF46" s="890"/>
      <c r="AG46" s="890"/>
      <c r="AH46" s="890"/>
      <c r="AI46" s="891"/>
    </row>
    <row r="47" spans="1:35" x14ac:dyDescent="0.25">
      <c r="A47" s="638"/>
      <c r="C47" s="369"/>
      <c r="D47" s="369"/>
      <c r="E47" s="369"/>
      <c r="F47" s="369"/>
      <c r="G47" s="264">
        <f t="shared" ref="G47:G52" si="24">+(D47-C47)+(F47-E47)</f>
        <v>0</v>
      </c>
      <c r="H47" s="442">
        <f t="shared" ref="H47:H52" si="25">+G47*1440</f>
        <v>0</v>
      </c>
      <c r="J47" s="630"/>
      <c r="K47" s="630"/>
      <c r="L47" s="630"/>
      <c r="M47" s="630"/>
      <c r="N47" s="1">
        <f>IF(C47&gt;0,((J47*Setup_and_Criteria!$F$13)+('M1_1-15th'!K47*Setup_and_Criteria!$F$14)+('M1_1-15th'!L47*Setup_and_Criteria!$F$15)+('M1_1-15th'!M47*Setup_and_Criteria!$F$16)+Setup_and_Criteria!$J$16),0)</f>
        <v>0</v>
      </c>
      <c r="O47" s="442">
        <f>+H47</f>
        <v>0</v>
      </c>
      <c r="P47" s="443">
        <f t="shared" ref="P47:P53" si="26">+N47-O47</f>
        <v>0</v>
      </c>
      <c r="Q47" s="357" t="e">
        <f t="shared" ref="Q47:Q53" si="27">O47/_xlfn.SINGLE(SUM(J47:M47))</f>
        <v>#DIV/0!</v>
      </c>
      <c r="R47" s="630"/>
      <c r="S47" s="630"/>
      <c r="T47" s="630"/>
      <c r="U47" s="630"/>
      <c r="V47" s="630"/>
      <c r="W47" s="630"/>
      <c r="X47" s="630"/>
      <c r="Y47" s="630"/>
      <c r="Z47" s="630"/>
      <c r="AA47" s="630"/>
      <c r="AB47" s="1">
        <f t="shared" ref="AB47:AB53" si="28">SUM(R47:AA47)</f>
        <v>0</v>
      </c>
      <c r="AC47" s="357" t="e">
        <f t="shared" ref="AC47:AC53" si="29">+AB47/(J47+K47+L47)</f>
        <v>#DIV/0!</v>
      </c>
      <c r="AD47" s="864" t="s">
        <v>144</v>
      </c>
      <c r="AE47" s="865"/>
      <c r="AF47" s="865"/>
      <c r="AG47" s="866"/>
      <c r="AH47" s="866"/>
      <c r="AI47" s="867"/>
    </row>
    <row r="48" spans="1:35" x14ac:dyDescent="0.25">
      <c r="A48" s="638"/>
      <c r="C48" s="630"/>
      <c r="D48" s="630"/>
      <c r="E48" s="630"/>
      <c r="F48" s="630"/>
      <c r="G48" s="264">
        <f t="shared" si="24"/>
        <v>0</v>
      </c>
      <c r="H48" s="442">
        <f t="shared" si="25"/>
        <v>0</v>
      </c>
      <c r="J48" s="630"/>
      <c r="K48" s="630"/>
      <c r="L48" s="630"/>
      <c r="M48" s="630"/>
      <c r="N48" s="1">
        <f>IF(C48&gt;0,((J48*Setup_and_Criteria!$F$13)+('M1_1-15th'!K48*Setup_and_Criteria!$F$14)+('M1_1-15th'!L48*Setup_and_Criteria!$F$15)+('M1_1-15th'!M48*Setup_and_Criteria!$F$16)+Setup_and_Criteria!$J$16),0)</f>
        <v>0</v>
      </c>
      <c r="O48" s="442">
        <f t="shared" ref="O48:O53" si="30">+H48</f>
        <v>0</v>
      </c>
      <c r="P48" s="443">
        <f t="shared" si="26"/>
        <v>0</v>
      </c>
      <c r="Q48" s="357" t="e">
        <f t="shared" si="27"/>
        <v>#DIV/0!</v>
      </c>
      <c r="R48" s="630"/>
      <c r="S48" s="630"/>
      <c r="T48" s="630"/>
      <c r="U48" s="630"/>
      <c r="V48" s="630"/>
      <c r="W48" s="630"/>
      <c r="X48" s="630"/>
      <c r="Y48" s="630"/>
      <c r="Z48" s="630"/>
      <c r="AA48" s="630"/>
      <c r="AB48" s="1">
        <f t="shared" si="28"/>
        <v>0</v>
      </c>
      <c r="AC48" s="357" t="e">
        <f t="shared" si="29"/>
        <v>#DIV/0!</v>
      </c>
      <c r="AD48" s="864"/>
      <c r="AE48" s="865"/>
      <c r="AF48" s="865"/>
      <c r="AG48" s="866"/>
      <c r="AH48" s="866"/>
      <c r="AI48" s="867"/>
    </row>
    <row r="49" spans="1:35" x14ac:dyDescent="0.25">
      <c r="A49" s="638"/>
      <c r="C49" s="630"/>
      <c r="D49" s="630"/>
      <c r="E49" s="630"/>
      <c r="F49" s="630"/>
      <c r="G49" s="264">
        <f t="shared" si="24"/>
        <v>0</v>
      </c>
      <c r="H49" s="442">
        <f t="shared" si="25"/>
        <v>0</v>
      </c>
      <c r="J49" s="630"/>
      <c r="K49" s="630"/>
      <c r="L49" s="630"/>
      <c r="M49" s="630"/>
      <c r="N49" s="1">
        <f>IF(C49&gt;0,((J49*Setup_and_Criteria!$F$13)+('M1_1-15th'!K49*Setup_and_Criteria!$F$14)+('M1_1-15th'!L49*Setup_and_Criteria!$F$15)+('M1_1-15th'!M49*Setup_and_Criteria!$F$16)+Setup_and_Criteria!$J$16),0)</f>
        <v>0</v>
      </c>
      <c r="O49" s="442">
        <f t="shared" si="30"/>
        <v>0</v>
      </c>
      <c r="P49" s="443">
        <f t="shared" si="26"/>
        <v>0</v>
      </c>
      <c r="Q49" s="357" t="e">
        <f t="shared" si="27"/>
        <v>#DIV/0!</v>
      </c>
      <c r="R49" s="630"/>
      <c r="S49" s="630"/>
      <c r="T49" s="630"/>
      <c r="U49" s="630"/>
      <c r="V49" s="630"/>
      <c r="W49" s="630"/>
      <c r="X49" s="630"/>
      <c r="Y49" s="630"/>
      <c r="Z49" s="630"/>
      <c r="AA49" s="630"/>
      <c r="AB49" s="1">
        <f t="shared" si="28"/>
        <v>0</v>
      </c>
      <c r="AC49" s="357" t="e">
        <f t="shared" si="29"/>
        <v>#DIV/0!</v>
      </c>
      <c r="AD49" s="864"/>
      <c r="AE49" s="865"/>
      <c r="AF49" s="865"/>
      <c r="AG49" s="866"/>
      <c r="AH49" s="866"/>
      <c r="AI49" s="867"/>
    </row>
    <row r="50" spans="1:35" x14ac:dyDescent="0.25">
      <c r="A50" s="638"/>
      <c r="C50" s="630"/>
      <c r="D50" s="630"/>
      <c r="E50" s="630"/>
      <c r="F50" s="630"/>
      <c r="G50" s="264">
        <f t="shared" si="24"/>
        <v>0</v>
      </c>
      <c r="H50" s="442">
        <f t="shared" si="25"/>
        <v>0</v>
      </c>
      <c r="J50" s="630"/>
      <c r="K50" s="630"/>
      <c r="L50" s="630"/>
      <c r="M50" s="630"/>
      <c r="N50" s="1">
        <f>IF(C50&gt;0,((J50*Setup_and_Criteria!$F$13)+('M1_1-15th'!K50*Setup_and_Criteria!$F$14)+('M1_1-15th'!L50*Setup_and_Criteria!$F$15)+('M1_1-15th'!M50*Setup_and_Criteria!$F$16)+Setup_and_Criteria!$J$16),0)</f>
        <v>0</v>
      </c>
      <c r="O50" s="442">
        <f t="shared" si="30"/>
        <v>0</v>
      </c>
      <c r="P50" s="443">
        <f t="shared" si="26"/>
        <v>0</v>
      </c>
      <c r="Q50" s="357" t="e">
        <f t="shared" si="27"/>
        <v>#DIV/0!</v>
      </c>
      <c r="R50" s="630"/>
      <c r="S50" s="630"/>
      <c r="T50" s="630"/>
      <c r="U50" s="630"/>
      <c r="V50" s="630"/>
      <c r="W50" s="630"/>
      <c r="X50" s="630"/>
      <c r="Y50" s="630"/>
      <c r="Z50" s="630"/>
      <c r="AA50" s="630"/>
      <c r="AB50" s="1">
        <f t="shared" si="28"/>
        <v>0</v>
      </c>
      <c r="AC50" s="357" t="e">
        <f t="shared" si="29"/>
        <v>#DIV/0!</v>
      </c>
      <c r="AD50" s="864"/>
      <c r="AE50" s="865"/>
      <c r="AF50" s="865"/>
      <c r="AG50" s="866"/>
      <c r="AH50" s="866"/>
      <c r="AI50" s="867"/>
    </row>
    <row r="51" spans="1:35" x14ac:dyDescent="0.25">
      <c r="A51" s="638"/>
      <c r="C51" s="630"/>
      <c r="D51" s="630"/>
      <c r="E51" s="630"/>
      <c r="F51" s="630"/>
      <c r="G51" s="264">
        <f t="shared" si="24"/>
        <v>0</v>
      </c>
      <c r="H51" s="442">
        <f t="shared" si="25"/>
        <v>0</v>
      </c>
      <c r="J51" s="630"/>
      <c r="K51" s="630"/>
      <c r="L51" s="630"/>
      <c r="M51" s="630"/>
      <c r="N51" s="1">
        <f>IF(C51&gt;0,((J51*Setup_and_Criteria!$F$13)+('M1_1-15th'!K51*Setup_and_Criteria!$F$14)+('M1_1-15th'!L51*Setup_and_Criteria!$F$15)+('M1_1-15th'!M51*Setup_and_Criteria!$F$16)+Setup_and_Criteria!$J$16),0)</f>
        <v>0</v>
      </c>
      <c r="O51" s="442">
        <f t="shared" si="30"/>
        <v>0</v>
      </c>
      <c r="P51" s="443">
        <f t="shared" si="26"/>
        <v>0</v>
      </c>
      <c r="Q51" s="357" t="e">
        <f t="shared" si="27"/>
        <v>#DIV/0!</v>
      </c>
      <c r="R51" s="630"/>
      <c r="S51" s="630"/>
      <c r="T51" s="630"/>
      <c r="U51" s="630"/>
      <c r="V51" s="630"/>
      <c r="W51" s="630"/>
      <c r="X51" s="630"/>
      <c r="Y51" s="630"/>
      <c r="Z51" s="630"/>
      <c r="AA51" s="630"/>
      <c r="AB51" s="1">
        <f t="shared" si="28"/>
        <v>0</v>
      </c>
      <c r="AC51" s="357" t="e">
        <f t="shared" si="29"/>
        <v>#DIV/0!</v>
      </c>
      <c r="AD51" s="864"/>
      <c r="AE51" s="865"/>
      <c r="AF51" s="865"/>
      <c r="AG51" s="866"/>
      <c r="AH51" s="866"/>
      <c r="AI51" s="867"/>
    </row>
    <row r="52" spans="1:35" ht="15.75" thickBot="1" x14ac:dyDescent="0.3">
      <c r="A52" s="638"/>
      <c r="C52" s="370"/>
      <c r="D52" s="370"/>
      <c r="E52" s="630"/>
      <c r="F52" s="630"/>
      <c r="G52" s="264">
        <f t="shared" si="24"/>
        <v>0</v>
      </c>
      <c r="H52" s="442">
        <f t="shared" si="25"/>
        <v>0</v>
      </c>
      <c r="J52" s="371"/>
      <c r="K52" s="371"/>
      <c r="L52" s="371"/>
      <c r="M52" s="371"/>
      <c r="N52" s="358">
        <f>IF(C52&gt;0,((J52*Setup_and_Criteria!$F$13)+('M1_1-15th'!K52*Setup_and_Criteria!$F$14)+('M1_1-15th'!L52*Setup_and_Criteria!$F$15)+('M1_1-15th'!M52*Setup_and_Criteria!$F$16)+Setup_and_Criteria!$J$16),0)</f>
        <v>0</v>
      </c>
      <c r="O52" s="359">
        <f t="shared" si="30"/>
        <v>0</v>
      </c>
      <c r="P52" s="383">
        <f t="shared" si="26"/>
        <v>0</v>
      </c>
      <c r="Q52" s="360" t="e">
        <f t="shared" si="27"/>
        <v>#DIV/0!</v>
      </c>
      <c r="R52" s="511"/>
      <c r="S52" s="511"/>
      <c r="T52" s="511"/>
      <c r="U52" s="511"/>
      <c r="V52" s="511"/>
      <c r="W52" s="511"/>
      <c r="X52" s="511"/>
      <c r="Y52" s="511"/>
      <c r="Z52" s="511"/>
      <c r="AA52" s="511"/>
      <c r="AB52" s="1">
        <f t="shared" si="28"/>
        <v>0</v>
      </c>
      <c r="AC52" s="357" t="e">
        <f t="shared" si="29"/>
        <v>#DIV/0!</v>
      </c>
      <c r="AD52" s="864"/>
      <c r="AE52" s="865"/>
      <c r="AF52" s="865"/>
      <c r="AG52" s="866"/>
      <c r="AH52" s="866"/>
      <c r="AI52" s="867"/>
    </row>
    <row r="53" spans="1:35" ht="15.75" thickTop="1" x14ac:dyDescent="0.25">
      <c r="A53" s="58"/>
      <c r="H53" s="442">
        <f>SUM(H47:H52)</f>
        <v>0</v>
      </c>
      <c r="J53" s="1">
        <f>SUM(J47:J52)</f>
        <v>0</v>
      </c>
      <c r="K53" s="1">
        <f>SUM(K47:K52)</f>
        <v>0</v>
      </c>
      <c r="L53" s="1">
        <f>SUM(L47:L52)</f>
        <v>0</v>
      </c>
      <c r="M53" s="1">
        <f>SUM(M47:M52)</f>
        <v>0</v>
      </c>
      <c r="N53" s="1">
        <f>SUM(N47:N52)</f>
        <v>0</v>
      </c>
      <c r="O53" s="1">
        <f t="shared" si="30"/>
        <v>0</v>
      </c>
      <c r="P53" s="443">
        <f t="shared" si="26"/>
        <v>0</v>
      </c>
      <c r="Q53" s="357" t="e">
        <f t="shared" si="27"/>
        <v>#DIV/0!</v>
      </c>
      <c r="R53" s="1">
        <f t="shared" ref="R53:AA53" si="31">SUM(R47:R52)</f>
        <v>0</v>
      </c>
      <c r="S53" s="1">
        <f t="shared" si="31"/>
        <v>0</v>
      </c>
      <c r="T53" s="1">
        <f t="shared" si="31"/>
        <v>0</v>
      </c>
      <c r="U53" s="1">
        <f t="shared" si="31"/>
        <v>0</v>
      </c>
      <c r="V53" s="1">
        <f t="shared" si="31"/>
        <v>0</v>
      </c>
      <c r="W53" s="1">
        <f t="shared" si="31"/>
        <v>0</v>
      </c>
      <c r="X53" s="1">
        <f t="shared" si="31"/>
        <v>0</v>
      </c>
      <c r="Y53" s="1">
        <f t="shared" si="31"/>
        <v>0</v>
      </c>
      <c r="Z53" s="1">
        <f t="shared" si="31"/>
        <v>0</v>
      </c>
      <c r="AA53" s="1">
        <f t="shared" si="31"/>
        <v>0</v>
      </c>
      <c r="AB53" s="1">
        <f t="shared" si="28"/>
        <v>0</v>
      </c>
      <c r="AC53" s="357" t="e">
        <f t="shared" si="29"/>
        <v>#DIV/0!</v>
      </c>
      <c r="AD53" s="877"/>
      <c r="AE53" s="878"/>
      <c r="AF53" s="878"/>
      <c r="AG53" s="749"/>
      <c r="AH53" s="749"/>
      <c r="AI53" s="879"/>
    </row>
    <row r="54" spans="1:35" ht="21" customHeight="1" x14ac:dyDescent="0.35">
      <c r="A54" s="58"/>
      <c r="H54" s="442"/>
      <c r="N54" s="888" t="s">
        <v>145</v>
      </c>
      <c r="O54" s="888"/>
      <c r="P54" s="888"/>
      <c r="Q54" s="888"/>
      <c r="R54" s="431" t="s">
        <v>146</v>
      </c>
      <c r="S54" s="431"/>
      <c r="T54" s="431"/>
      <c r="U54" s="431"/>
      <c r="V54" s="431"/>
      <c r="W54" s="431"/>
      <c r="X54" s="431"/>
      <c r="Y54" s="431"/>
      <c r="Z54" s="431"/>
      <c r="AA54" s="431"/>
      <c r="AB54" s="431"/>
      <c r="AC54" s="431"/>
      <c r="AD54" s="880" t="s">
        <v>132</v>
      </c>
      <c r="AE54" s="881"/>
      <c r="AF54" s="881"/>
      <c r="AG54" s="881"/>
      <c r="AH54" s="881"/>
      <c r="AI54" s="882"/>
    </row>
    <row r="55" spans="1:35" ht="31.5" customHeight="1" x14ac:dyDescent="0.35">
      <c r="A55" s="378" t="s">
        <v>147</v>
      </c>
      <c r="C55" s="885" t="s">
        <v>128</v>
      </c>
      <c r="D55" s="885"/>
      <c r="E55" s="885"/>
      <c r="F55" s="885"/>
      <c r="H55" s="442"/>
      <c r="J55" s="444"/>
      <c r="K55" s="445" t="s">
        <v>35</v>
      </c>
      <c r="L55" s="445" t="s">
        <v>148</v>
      </c>
      <c r="N55" s="446" t="s">
        <v>149</v>
      </c>
      <c r="O55" s="447" t="s">
        <v>150</v>
      </c>
      <c r="P55" s="447" t="s">
        <v>138</v>
      </c>
      <c r="Q55" s="447" t="s">
        <v>151</v>
      </c>
      <c r="R55" s="749" t="s">
        <v>152</v>
      </c>
      <c r="S55" s="749"/>
      <c r="T55" s="883" t="s">
        <v>153</v>
      </c>
      <c r="U55" s="883"/>
      <c r="W55" s="425" t="s">
        <v>154</v>
      </c>
      <c r="X55" s="425"/>
      <c r="Y55" s="425"/>
      <c r="Z55" s="425"/>
      <c r="AA55" s="425"/>
      <c r="AB55" s="425"/>
      <c r="AC55" s="425"/>
      <c r="AD55" s="868" t="s">
        <v>160</v>
      </c>
      <c r="AE55" s="869"/>
      <c r="AF55" s="869"/>
      <c r="AG55" s="869"/>
      <c r="AH55" s="869"/>
      <c r="AI55" s="870"/>
    </row>
    <row r="56" spans="1:35" ht="18" customHeight="1" thickBot="1" x14ac:dyDescent="0.3">
      <c r="A56" s="639"/>
      <c r="B56" s="375"/>
      <c r="C56" s="372"/>
      <c r="D56" s="372"/>
      <c r="E56" s="372"/>
      <c r="F56" s="372"/>
      <c r="G56" s="366">
        <f>+(D56-C56)+(F56-E56)</f>
        <v>0</v>
      </c>
      <c r="H56" s="367">
        <f>+G56*1440</f>
        <v>0</v>
      </c>
      <c r="I56" s="859" t="s">
        <v>155</v>
      </c>
      <c r="J56" s="860"/>
      <c r="K56" s="373"/>
      <c r="L56" s="374"/>
      <c r="M56" s="423"/>
      <c r="N56" s="629">
        <f>+J53+L53+K53+K56+L56</f>
        <v>0</v>
      </c>
      <c r="O56" s="368">
        <f>+(Setup_and_Criteria!$K$31+(J53*Setup_and_Criteria!$F$20)+('M1_1-15th'!K53*Setup_and_Criteria!$F$21)+('M1_1-15th'!L53*Setup_and_Criteria!$F$20))+T56+(K56*Setup_and_Criteria!$F$21)+(Setup_and_Criteria!$F$22*'M1_1-15th'!L56)</f>
        <v>75</v>
      </c>
      <c r="P56" s="367">
        <f>+H56</f>
        <v>0</v>
      </c>
      <c r="Q56" s="367">
        <f>+O56-P56</f>
        <v>75</v>
      </c>
      <c r="R56" s="861" t="s">
        <v>252</v>
      </c>
      <c r="S56" s="861"/>
      <c r="T56" s="862"/>
      <c r="U56" s="863"/>
      <c r="V56" s="265" t="s">
        <v>156</v>
      </c>
      <c r="W56" s="854"/>
      <c r="X56" s="855"/>
      <c r="Y56" s="855"/>
      <c r="Z56" s="855"/>
      <c r="AA56" s="855"/>
      <c r="AB56" s="855"/>
      <c r="AC56" s="855"/>
      <c r="AD56" s="868"/>
      <c r="AE56" s="869"/>
      <c r="AF56" s="869"/>
      <c r="AG56" s="869"/>
      <c r="AH56" s="869"/>
      <c r="AI56" s="870"/>
    </row>
    <row r="57" spans="1:35" ht="15.75" thickBot="1" x14ac:dyDescent="0.3">
      <c r="A57" s="449" t="str">
        <f>+A44</f>
        <v>Password to enter data = "Enter Info"</v>
      </c>
      <c r="B57" s="450"/>
      <c r="C57" s="451"/>
      <c r="D57" s="451"/>
      <c r="E57" s="451"/>
      <c r="F57" s="451"/>
      <c r="G57" s="451"/>
      <c r="H57" s="451"/>
      <c r="I57" s="450"/>
      <c r="J57" s="451"/>
      <c r="K57" s="451"/>
      <c r="L57" s="451"/>
      <c r="M57" s="451"/>
      <c r="N57" s="451"/>
      <c r="O57" s="451"/>
      <c r="P57" s="451"/>
      <c r="Q57" s="450"/>
      <c r="R57" s="451"/>
      <c r="S57" s="451"/>
      <c r="T57" s="451"/>
      <c r="U57" s="451"/>
      <c r="V57" s="451"/>
      <c r="W57" s="451"/>
      <c r="X57" s="451"/>
      <c r="Y57" s="451"/>
      <c r="Z57" s="451"/>
      <c r="AA57" s="451"/>
      <c r="AB57" s="450"/>
      <c r="AC57" s="450"/>
      <c r="AD57" s="871"/>
      <c r="AE57" s="872"/>
      <c r="AF57" s="872"/>
      <c r="AG57" s="872"/>
      <c r="AH57" s="872"/>
      <c r="AI57" s="873"/>
    </row>
    <row r="58" spans="1:35" ht="35.25" customHeight="1" x14ac:dyDescent="0.4">
      <c r="A58" s="434" t="str">
        <f>+A45</f>
        <v>June</v>
      </c>
      <c r="B58" s="624">
        <f>+B45+1</f>
        <v>5</v>
      </c>
      <c r="C58" s="884" t="s">
        <v>128</v>
      </c>
      <c r="D58" s="884"/>
      <c r="E58" s="884"/>
      <c r="F58" s="884"/>
      <c r="G58" s="377"/>
      <c r="H58" s="377"/>
      <c r="I58" s="21"/>
      <c r="J58" s="874" t="s">
        <v>129</v>
      </c>
      <c r="K58" s="875"/>
      <c r="L58" s="875"/>
      <c r="M58" s="875"/>
      <c r="N58" s="876" t="s">
        <v>130</v>
      </c>
      <c r="O58" s="876"/>
      <c r="P58" s="876"/>
      <c r="Q58" s="876"/>
      <c r="R58" s="424" t="str">
        <f>+R45</f>
        <v xml:space="preserve"> Corrections Tracking - Check out rooms</v>
      </c>
      <c r="S58" s="424"/>
      <c r="T58" s="424"/>
      <c r="U58" s="424"/>
      <c r="V58" s="424"/>
      <c r="W58" s="424"/>
      <c r="X58" s="424"/>
      <c r="Y58" s="424"/>
      <c r="Z58" s="424"/>
      <c r="AA58" s="424"/>
      <c r="AB58" s="424"/>
      <c r="AC58" s="424"/>
      <c r="AD58" s="461" t="s">
        <v>132</v>
      </c>
      <c r="AE58" s="426"/>
      <c r="AF58" s="426"/>
      <c r="AG58" s="426"/>
      <c r="AH58" s="426"/>
      <c r="AI58" s="427"/>
    </row>
    <row r="59" spans="1:35" ht="59.25" customHeight="1" x14ac:dyDescent="0.25">
      <c r="A59" s="378" t="s">
        <v>133</v>
      </c>
      <c r="C59" s="435" t="s">
        <v>134</v>
      </c>
      <c r="D59" s="435" t="s">
        <v>135</v>
      </c>
      <c r="E59" s="435" t="s">
        <v>134</v>
      </c>
      <c r="F59" s="435" t="s">
        <v>135</v>
      </c>
      <c r="G59" s="1" t="s">
        <v>136</v>
      </c>
      <c r="H59" s="1" t="s">
        <v>108</v>
      </c>
      <c r="I59" s="436"/>
      <c r="J59" s="437" t="str">
        <f>+Setup_and_Criteria!$B$13</f>
        <v>Checkouts</v>
      </c>
      <c r="K59" s="437" t="str">
        <f>+Setup_and_Criteria!$B$14</f>
        <v>Pet Rooms</v>
      </c>
      <c r="L59" s="437" t="str">
        <f>+Setup_and_Criteria!$B$15</f>
        <v>2 Rm &amp; Jac Stes</v>
      </c>
      <c r="M59" s="438" t="str">
        <f>+Setup_and_Criteria!$B$16</f>
        <v>Stayovers</v>
      </c>
      <c r="N59" s="269" t="s">
        <v>137</v>
      </c>
      <c r="O59" s="269" t="s">
        <v>138</v>
      </c>
      <c r="P59" s="439" t="s">
        <v>139</v>
      </c>
      <c r="Q59" s="439" t="s">
        <v>140</v>
      </c>
      <c r="R59" s="440" t="str">
        <f>+Corrections!$C$8</f>
        <v>Vanity</v>
      </c>
      <c r="S59" s="440" t="str">
        <f>+Corrections!$I$8</f>
        <v>Toilet</v>
      </c>
      <c r="T59" s="440" t="str">
        <f>+Corrections!$O$8</f>
        <v>Bed/Pillows</v>
      </c>
      <c r="U59" s="440" t="str">
        <f>+Corrections!$U$8</f>
        <v>Floor</v>
      </c>
      <c r="V59" s="440" t="str">
        <f>+Corrections!$AA$8</f>
        <v>Dusting</v>
      </c>
      <c r="W59" s="440" t="str">
        <f>+Corrections!$AG$8</f>
        <v>Fridge/Micro</v>
      </c>
      <c r="X59" s="440" t="str">
        <f>+Corrections!$AM$8</f>
        <v>Tub</v>
      </c>
      <c r="Y59" s="441" t="str">
        <f>+Corrections!$AS$8</f>
        <v>Mirrors/Glass</v>
      </c>
      <c r="Z59" s="440" t="str">
        <f>+Corrections!$AY$8</f>
        <v>Stocking</v>
      </c>
      <c r="AA59" s="440" t="str">
        <f>+Corrections!$BE$8</f>
        <v>Other</v>
      </c>
      <c r="AB59" s="269" t="s">
        <v>141</v>
      </c>
      <c r="AC59" s="269" t="str">
        <f>+$AC$7</f>
        <v>Daily Corr / Inspected Checkout</v>
      </c>
      <c r="AD59" s="889" t="s">
        <v>143</v>
      </c>
      <c r="AE59" s="890"/>
      <c r="AF59" s="890"/>
      <c r="AG59" s="890"/>
      <c r="AH59" s="890"/>
      <c r="AI59" s="891"/>
    </row>
    <row r="60" spans="1:35" x14ac:dyDescent="0.25">
      <c r="A60" s="638"/>
      <c r="C60" s="369"/>
      <c r="D60" s="369"/>
      <c r="E60" s="369"/>
      <c r="F60" s="369"/>
      <c r="G60" s="264">
        <f t="shared" ref="G60:G65" si="32">+(D60-C60)+(F60-E60)</f>
        <v>0</v>
      </c>
      <c r="H60" s="442">
        <f t="shared" ref="H60:H65" si="33">+G60*1440</f>
        <v>0</v>
      </c>
      <c r="J60" s="630"/>
      <c r="K60" s="630"/>
      <c r="L60" s="630"/>
      <c r="M60" s="630"/>
      <c r="N60" s="1">
        <f>IF(C60&gt;0,((J60*Setup_and_Criteria!$F$13)+('M1_1-15th'!K60*Setup_and_Criteria!$F$14)+('M1_1-15th'!L60*Setup_and_Criteria!$F$15)+('M1_1-15th'!M60*Setup_and_Criteria!$F$16)+Setup_and_Criteria!$J$16),0)</f>
        <v>0</v>
      </c>
      <c r="O60" s="442">
        <f>+H60</f>
        <v>0</v>
      </c>
      <c r="P60" s="443">
        <f t="shared" ref="P60:P66" si="34">+N60-O60</f>
        <v>0</v>
      </c>
      <c r="Q60" s="357" t="e">
        <f t="shared" ref="Q60:Q66" si="35">O60/_xlfn.SINGLE(SUM(J60:M60))</f>
        <v>#DIV/0!</v>
      </c>
      <c r="R60" s="630"/>
      <c r="S60" s="630"/>
      <c r="T60" s="630"/>
      <c r="U60" s="630"/>
      <c r="V60" s="630"/>
      <c r="W60" s="630"/>
      <c r="X60" s="630"/>
      <c r="Y60" s="630"/>
      <c r="Z60" s="630"/>
      <c r="AA60" s="630"/>
      <c r="AB60" s="1">
        <f t="shared" ref="AB60:AB66" si="36">SUM(R60:AA60)</f>
        <v>0</v>
      </c>
      <c r="AC60" s="357" t="e">
        <f t="shared" ref="AC60:AC65" si="37">+AB60/(J60+K60+L60)</f>
        <v>#DIV/0!</v>
      </c>
      <c r="AD60" s="864" t="s">
        <v>144</v>
      </c>
      <c r="AE60" s="865"/>
      <c r="AF60" s="865"/>
      <c r="AG60" s="866"/>
      <c r="AH60" s="866"/>
      <c r="AI60" s="867"/>
    </row>
    <row r="61" spans="1:35" x14ac:dyDescent="0.25">
      <c r="A61" s="638"/>
      <c r="C61" s="630"/>
      <c r="D61" s="630"/>
      <c r="E61" s="630"/>
      <c r="F61" s="630"/>
      <c r="G61" s="264">
        <f t="shared" si="32"/>
        <v>0</v>
      </c>
      <c r="H61" s="442">
        <f t="shared" si="33"/>
        <v>0</v>
      </c>
      <c r="J61" s="630"/>
      <c r="K61" s="630"/>
      <c r="L61" s="630"/>
      <c r="M61" s="630"/>
      <c r="N61" s="1">
        <f>IF(C61&gt;0,((J61*Setup_and_Criteria!$F$13)+('M1_1-15th'!K61*Setup_and_Criteria!$F$14)+('M1_1-15th'!L61*Setup_and_Criteria!$F$15)+('M1_1-15th'!M61*Setup_and_Criteria!$F$16)+Setup_and_Criteria!$J$16),0)</f>
        <v>0</v>
      </c>
      <c r="O61" s="442">
        <f t="shared" ref="O61:O66" si="38">+H61</f>
        <v>0</v>
      </c>
      <c r="P61" s="443">
        <f t="shared" si="34"/>
        <v>0</v>
      </c>
      <c r="Q61" s="357" t="e">
        <f t="shared" si="35"/>
        <v>#DIV/0!</v>
      </c>
      <c r="R61" s="630"/>
      <c r="S61" s="630"/>
      <c r="T61" s="630"/>
      <c r="U61" s="630"/>
      <c r="V61" s="630"/>
      <c r="W61" s="630"/>
      <c r="X61" s="630"/>
      <c r="Y61" s="630"/>
      <c r="Z61" s="630"/>
      <c r="AA61" s="630"/>
      <c r="AB61" s="1">
        <f t="shared" si="36"/>
        <v>0</v>
      </c>
      <c r="AC61" s="357" t="e">
        <f t="shared" si="37"/>
        <v>#DIV/0!</v>
      </c>
      <c r="AD61" s="864"/>
      <c r="AE61" s="865"/>
      <c r="AF61" s="865"/>
      <c r="AG61" s="866"/>
      <c r="AH61" s="866"/>
      <c r="AI61" s="867"/>
    </row>
    <row r="62" spans="1:35" x14ac:dyDescent="0.25">
      <c r="A62" s="638"/>
      <c r="C62" s="630"/>
      <c r="D62" s="630"/>
      <c r="E62" s="630"/>
      <c r="F62" s="630"/>
      <c r="G62" s="264">
        <f t="shared" si="32"/>
        <v>0</v>
      </c>
      <c r="H62" s="442">
        <f t="shared" si="33"/>
        <v>0</v>
      </c>
      <c r="J62" s="630"/>
      <c r="K62" s="630"/>
      <c r="L62" s="630"/>
      <c r="M62" s="630"/>
      <c r="N62" s="1">
        <f>IF(C62&gt;0,((J62*Setup_and_Criteria!$F$13)+('M1_1-15th'!K62*Setup_and_Criteria!$F$14)+('M1_1-15th'!L62*Setup_and_Criteria!$F$15)+('M1_1-15th'!M62*Setup_and_Criteria!$F$16)+Setup_and_Criteria!$J$16),0)</f>
        <v>0</v>
      </c>
      <c r="O62" s="442">
        <f t="shared" si="38"/>
        <v>0</v>
      </c>
      <c r="P62" s="443">
        <f t="shared" si="34"/>
        <v>0</v>
      </c>
      <c r="Q62" s="357" t="e">
        <f t="shared" si="35"/>
        <v>#DIV/0!</v>
      </c>
      <c r="R62" s="630"/>
      <c r="S62" s="630"/>
      <c r="T62" s="630"/>
      <c r="U62" s="630"/>
      <c r="V62" s="630"/>
      <c r="W62" s="630"/>
      <c r="X62" s="630"/>
      <c r="Y62" s="630"/>
      <c r="Z62" s="630"/>
      <c r="AA62" s="630"/>
      <c r="AB62" s="1">
        <f t="shared" si="36"/>
        <v>0</v>
      </c>
      <c r="AC62" s="357" t="e">
        <f t="shared" si="37"/>
        <v>#DIV/0!</v>
      </c>
      <c r="AD62" s="864"/>
      <c r="AE62" s="865"/>
      <c r="AF62" s="865"/>
      <c r="AG62" s="866"/>
      <c r="AH62" s="866"/>
      <c r="AI62" s="867"/>
    </row>
    <row r="63" spans="1:35" x14ac:dyDescent="0.25">
      <c r="A63" s="638"/>
      <c r="C63" s="630"/>
      <c r="D63" s="630"/>
      <c r="E63" s="630"/>
      <c r="F63" s="630"/>
      <c r="G63" s="264">
        <f t="shared" si="32"/>
        <v>0</v>
      </c>
      <c r="H63" s="442">
        <f t="shared" si="33"/>
        <v>0</v>
      </c>
      <c r="J63" s="630"/>
      <c r="K63" s="630"/>
      <c r="L63" s="630"/>
      <c r="M63" s="630"/>
      <c r="N63" s="1">
        <f>IF(C63&gt;0,((J63*Setup_and_Criteria!$F$13)+('M1_1-15th'!K63*Setup_and_Criteria!$F$14)+('M1_1-15th'!L63*Setup_and_Criteria!$F$15)+('M1_1-15th'!M63*Setup_and_Criteria!$F$16)+Setup_and_Criteria!$J$16),0)</f>
        <v>0</v>
      </c>
      <c r="O63" s="442">
        <f t="shared" si="38"/>
        <v>0</v>
      </c>
      <c r="P63" s="443">
        <f t="shared" si="34"/>
        <v>0</v>
      </c>
      <c r="Q63" s="357" t="e">
        <f t="shared" si="35"/>
        <v>#DIV/0!</v>
      </c>
      <c r="R63" s="630"/>
      <c r="S63" s="630"/>
      <c r="T63" s="630"/>
      <c r="U63" s="630"/>
      <c r="V63" s="630"/>
      <c r="W63" s="630"/>
      <c r="X63" s="630"/>
      <c r="Y63" s="630"/>
      <c r="Z63" s="630"/>
      <c r="AA63" s="630"/>
      <c r="AB63" s="1">
        <f t="shared" si="36"/>
        <v>0</v>
      </c>
      <c r="AC63" s="357" t="e">
        <f t="shared" si="37"/>
        <v>#DIV/0!</v>
      </c>
      <c r="AD63" s="864"/>
      <c r="AE63" s="865"/>
      <c r="AF63" s="865"/>
      <c r="AG63" s="866"/>
      <c r="AH63" s="866"/>
      <c r="AI63" s="867"/>
    </row>
    <row r="64" spans="1:35" x14ac:dyDescent="0.25">
      <c r="A64" s="638"/>
      <c r="C64" s="630"/>
      <c r="D64" s="630"/>
      <c r="E64" s="630"/>
      <c r="F64" s="630"/>
      <c r="G64" s="264">
        <f t="shared" si="32"/>
        <v>0</v>
      </c>
      <c r="H64" s="442">
        <f t="shared" si="33"/>
        <v>0</v>
      </c>
      <c r="J64" s="630"/>
      <c r="K64" s="630"/>
      <c r="L64" s="630"/>
      <c r="M64" s="630"/>
      <c r="N64" s="1">
        <f>IF(C64&gt;0,((J64*Setup_and_Criteria!$F$13)+('M1_1-15th'!K64*Setup_and_Criteria!$F$14)+('M1_1-15th'!L64*Setup_and_Criteria!$F$15)+('M1_1-15th'!M64*Setup_and_Criteria!$F$16)+Setup_and_Criteria!$J$16),0)</f>
        <v>0</v>
      </c>
      <c r="O64" s="442">
        <f t="shared" si="38"/>
        <v>0</v>
      </c>
      <c r="P64" s="443">
        <f t="shared" si="34"/>
        <v>0</v>
      </c>
      <c r="Q64" s="357" t="e">
        <f t="shared" si="35"/>
        <v>#DIV/0!</v>
      </c>
      <c r="R64" s="630"/>
      <c r="S64" s="630"/>
      <c r="T64" s="630"/>
      <c r="U64" s="630"/>
      <c r="V64" s="630"/>
      <c r="W64" s="630"/>
      <c r="X64" s="630"/>
      <c r="Y64" s="630"/>
      <c r="Z64" s="630"/>
      <c r="AA64" s="630"/>
      <c r="AB64" s="1">
        <f t="shared" si="36"/>
        <v>0</v>
      </c>
      <c r="AC64" s="357" t="e">
        <f t="shared" si="37"/>
        <v>#DIV/0!</v>
      </c>
      <c r="AD64" s="864"/>
      <c r="AE64" s="865"/>
      <c r="AF64" s="865"/>
      <c r="AG64" s="866"/>
      <c r="AH64" s="866"/>
      <c r="AI64" s="867"/>
    </row>
    <row r="65" spans="1:35" ht="15.75" thickBot="1" x14ac:dyDescent="0.3">
      <c r="A65" s="638"/>
      <c r="C65" s="370"/>
      <c r="D65" s="370"/>
      <c r="E65" s="630"/>
      <c r="F65" s="630"/>
      <c r="G65" s="264">
        <f t="shared" si="32"/>
        <v>0</v>
      </c>
      <c r="H65" s="442">
        <f t="shared" si="33"/>
        <v>0</v>
      </c>
      <c r="J65" s="371"/>
      <c r="K65" s="371"/>
      <c r="L65" s="371"/>
      <c r="M65" s="371"/>
      <c r="N65" s="358">
        <f>IF(C65&gt;0,((J65*Setup_and_Criteria!$F$13)+('M1_1-15th'!K65*Setup_and_Criteria!$F$14)+('M1_1-15th'!L65*Setup_and_Criteria!$F$15)+('M1_1-15th'!M65*Setup_and_Criteria!$F$16)+Setup_and_Criteria!$J$16),0)</f>
        <v>0</v>
      </c>
      <c r="O65" s="359">
        <f t="shared" si="38"/>
        <v>0</v>
      </c>
      <c r="P65" s="383">
        <f t="shared" si="34"/>
        <v>0</v>
      </c>
      <c r="Q65" s="360" t="e">
        <f t="shared" si="35"/>
        <v>#DIV/0!</v>
      </c>
      <c r="R65" s="511"/>
      <c r="S65" s="511"/>
      <c r="T65" s="511"/>
      <c r="U65" s="511"/>
      <c r="V65" s="511"/>
      <c r="W65" s="511"/>
      <c r="X65" s="511"/>
      <c r="Y65" s="511"/>
      <c r="Z65" s="511"/>
      <c r="AA65" s="511"/>
      <c r="AB65" s="1">
        <f t="shared" si="36"/>
        <v>0</v>
      </c>
      <c r="AC65" s="357" t="e">
        <f t="shared" si="37"/>
        <v>#DIV/0!</v>
      </c>
      <c r="AD65" s="864"/>
      <c r="AE65" s="865"/>
      <c r="AF65" s="865"/>
      <c r="AG65" s="866"/>
      <c r="AH65" s="866"/>
      <c r="AI65" s="867"/>
    </row>
    <row r="66" spans="1:35" ht="15.75" thickTop="1" x14ac:dyDescent="0.25">
      <c r="A66" s="58"/>
      <c r="H66" s="442">
        <f>SUM(H60:H65)</f>
        <v>0</v>
      </c>
      <c r="J66" s="1">
        <f>SUM(J60:J65)</f>
        <v>0</v>
      </c>
      <c r="K66" s="1">
        <f>SUM(K60:K65)</f>
        <v>0</v>
      </c>
      <c r="L66" s="1">
        <f>SUM(L60:L65)</f>
        <v>0</v>
      </c>
      <c r="M66" s="1">
        <f>SUM(M60:M65)</f>
        <v>0</v>
      </c>
      <c r="N66" s="1">
        <f>SUM(N60:N65)</f>
        <v>0</v>
      </c>
      <c r="O66" s="1">
        <f t="shared" si="38"/>
        <v>0</v>
      </c>
      <c r="P66" s="443">
        <f t="shared" si="34"/>
        <v>0</v>
      </c>
      <c r="Q66" s="357" t="e">
        <f t="shared" si="35"/>
        <v>#DIV/0!</v>
      </c>
      <c r="R66" s="1">
        <f t="shared" ref="R66:AA66" si="39">SUM(R60:R65)</f>
        <v>0</v>
      </c>
      <c r="S66" s="1">
        <f t="shared" si="39"/>
        <v>0</v>
      </c>
      <c r="T66" s="1">
        <f t="shared" si="39"/>
        <v>0</v>
      </c>
      <c r="U66" s="1">
        <f t="shared" si="39"/>
        <v>0</v>
      </c>
      <c r="V66" s="1">
        <f t="shared" si="39"/>
        <v>0</v>
      </c>
      <c r="W66" s="1">
        <f t="shared" si="39"/>
        <v>0</v>
      </c>
      <c r="X66" s="1">
        <f t="shared" si="39"/>
        <v>0</v>
      </c>
      <c r="Y66" s="1">
        <f t="shared" si="39"/>
        <v>0</v>
      </c>
      <c r="Z66" s="1">
        <f t="shared" si="39"/>
        <v>0</v>
      </c>
      <c r="AA66" s="1">
        <f t="shared" si="39"/>
        <v>0</v>
      </c>
      <c r="AB66" s="1">
        <f t="shared" si="36"/>
        <v>0</v>
      </c>
      <c r="AC66" s="357" t="e">
        <f>+AB66/(J66+K66+L66+M66)</f>
        <v>#DIV/0!</v>
      </c>
      <c r="AD66" s="877"/>
      <c r="AE66" s="878"/>
      <c r="AF66" s="878"/>
      <c r="AG66" s="749"/>
      <c r="AH66" s="749"/>
      <c r="AI66" s="879"/>
    </row>
    <row r="67" spans="1:35" ht="21" customHeight="1" x14ac:dyDescent="0.35">
      <c r="A67" s="58"/>
      <c r="H67" s="442"/>
      <c r="N67" s="888" t="s">
        <v>145</v>
      </c>
      <c r="O67" s="888"/>
      <c r="P67" s="888"/>
      <c r="Q67" s="888"/>
      <c r="R67" s="431" t="s">
        <v>146</v>
      </c>
      <c r="S67" s="431"/>
      <c r="T67" s="431"/>
      <c r="U67" s="431"/>
      <c r="V67" s="431"/>
      <c r="W67" s="431"/>
      <c r="X67" s="431"/>
      <c r="Y67" s="431"/>
      <c r="Z67" s="431"/>
      <c r="AA67" s="431"/>
      <c r="AB67" s="431"/>
      <c r="AC67" s="431"/>
      <c r="AD67" s="880" t="s">
        <v>132</v>
      </c>
      <c r="AE67" s="881"/>
      <c r="AF67" s="881"/>
      <c r="AG67" s="881"/>
      <c r="AH67" s="881"/>
      <c r="AI67" s="882"/>
    </row>
    <row r="68" spans="1:35" ht="31.5" customHeight="1" x14ac:dyDescent="0.35">
      <c r="A68" s="378" t="s">
        <v>147</v>
      </c>
      <c r="C68" s="885" t="s">
        <v>128</v>
      </c>
      <c r="D68" s="885"/>
      <c r="E68" s="885"/>
      <c r="F68" s="885"/>
      <c r="H68" s="442"/>
      <c r="J68" s="444"/>
      <c r="K68" s="445" t="s">
        <v>35</v>
      </c>
      <c r="L68" s="445" t="s">
        <v>148</v>
      </c>
      <c r="N68" s="446" t="s">
        <v>149</v>
      </c>
      <c r="O68" s="447" t="s">
        <v>150</v>
      </c>
      <c r="P68" s="447" t="s">
        <v>138</v>
      </c>
      <c r="Q68" s="447" t="s">
        <v>151</v>
      </c>
      <c r="R68" s="749" t="s">
        <v>152</v>
      </c>
      <c r="S68" s="749"/>
      <c r="T68" s="883" t="s">
        <v>153</v>
      </c>
      <c r="U68" s="883"/>
      <c r="W68" s="425" t="s">
        <v>154</v>
      </c>
      <c r="X68" s="425"/>
      <c r="Y68" s="425"/>
      <c r="Z68" s="425"/>
      <c r="AA68" s="425"/>
      <c r="AB68" s="425"/>
      <c r="AC68" s="425"/>
      <c r="AD68" s="868" t="s">
        <v>160</v>
      </c>
      <c r="AE68" s="869"/>
      <c r="AF68" s="869"/>
      <c r="AG68" s="869"/>
      <c r="AH68" s="869"/>
      <c r="AI68" s="870"/>
    </row>
    <row r="69" spans="1:35" ht="18" customHeight="1" thickBot="1" x14ac:dyDescent="0.3">
      <c r="A69" s="639"/>
      <c r="B69" s="375"/>
      <c r="C69" s="372"/>
      <c r="D69" s="372"/>
      <c r="E69" s="372"/>
      <c r="F69" s="372"/>
      <c r="G69" s="366">
        <f>+(D69-C69)+(F69-E69)</f>
        <v>0</v>
      </c>
      <c r="H69" s="367">
        <f>+G69*1440</f>
        <v>0</v>
      </c>
      <c r="I69" s="859" t="s">
        <v>155</v>
      </c>
      <c r="J69" s="860"/>
      <c r="K69" s="373"/>
      <c r="L69" s="374"/>
      <c r="M69" s="423"/>
      <c r="N69" s="629">
        <f>+J66+L66+K66+K69+L69</f>
        <v>0</v>
      </c>
      <c r="O69" s="368">
        <f>+(Setup_and_Criteria!$K$31+(J66*Setup_and_Criteria!$F$20)+('M1_1-15th'!K66*Setup_and_Criteria!$F$21)+('M1_1-15th'!L66*Setup_and_Criteria!$F$20))+T69+(K69*Setup_and_Criteria!$F$21)+(Setup_and_Criteria!$F$22*'M1_1-15th'!L69)</f>
        <v>75</v>
      </c>
      <c r="P69" s="367">
        <f>+H69</f>
        <v>0</v>
      </c>
      <c r="Q69" s="367">
        <f>+O69-P69</f>
        <v>75</v>
      </c>
      <c r="R69" s="861" t="s">
        <v>252</v>
      </c>
      <c r="S69" s="861"/>
      <c r="T69" s="862"/>
      <c r="U69" s="863"/>
      <c r="V69" s="265" t="s">
        <v>156</v>
      </c>
      <c r="W69" s="854"/>
      <c r="X69" s="855"/>
      <c r="Y69" s="855"/>
      <c r="Z69" s="855"/>
      <c r="AA69" s="855"/>
      <c r="AB69" s="855"/>
      <c r="AC69" s="855"/>
      <c r="AD69" s="868"/>
      <c r="AE69" s="869"/>
      <c r="AF69" s="869"/>
      <c r="AG69" s="869"/>
      <c r="AH69" s="869"/>
      <c r="AI69" s="870"/>
    </row>
    <row r="70" spans="1:35" ht="15.75" thickBot="1" x14ac:dyDescent="0.3">
      <c r="A70" s="449" t="str">
        <f>+A57</f>
        <v>Password to enter data = "Enter Info"</v>
      </c>
      <c r="B70" s="450"/>
      <c r="C70" s="451"/>
      <c r="D70" s="451"/>
      <c r="E70" s="451"/>
      <c r="F70" s="451"/>
      <c r="G70" s="451"/>
      <c r="H70" s="451"/>
      <c r="I70" s="450"/>
      <c r="J70" s="451"/>
      <c r="K70" s="451"/>
      <c r="L70" s="451"/>
      <c r="M70" s="451"/>
      <c r="N70" s="451"/>
      <c r="O70" s="451"/>
      <c r="P70" s="451"/>
      <c r="Q70" s="450"/>
      <c r="R70" s="451"/>
      <c r="S70" s="451"/>
      <c r="T70" s="451"/>
      <c r="U70" s="451"/>
      <c r="V70" s="451"/>
      <c r="W70" s="451"/>
      <c r="X70" s="451"/>
      <c r="Y70" s="451"/>
      <c r="Z70" s="451"/>
      <c r="AA70" s="451"/>
      <c r="AB70" s="450"/>
      <c r="AC70" s="450"/>
      <c r="AD70" s="871"/>
      <c r="AE70" s="872"/>
      <c r="AF70" s="872"/>
      <c r="AG70" s="872"/>
      <c r="AH70" s="872"/>
      <c r="AI70" s="873"/>
    </row>
    <row r="71" spans="1:35" ht="35.25" customHeight="1" thickBot="1" x14ac:dyDescent="0.45">
      <c r="A71" s="428" t="str">
        <f>+A58</f>
        <v>June</v>
      </c>
      <c r="B71" s="429">
        <f>+B58+1</f>
        <v>6</v>
      </c>
      <c r="C71" s="885" t="s">
        <v>128</v>
      </c>
      <c r="D71" s="885"/>
      <c r="E71" s="885"/>
      <c r="F71" s="885"/>
      <c r="G71" s="430"/>
      <c r="H71" s="430"/>
      <c r="J71" s="895" t="s">
        <v>129</v>
      </c>
      <c r="K71" s="896"/>
      <c r="L71" s="896"/>
      <c r="M71" s="896"/>
      <c r="N71" s="888" t="s">
        <v>130</v>
      </c>
      <c r="O71" s="888"/>
      <c r="P71" s="888"/>
      <c r="Q71" s="888"/>
      <c r="R71" s="431" t="str">
        <f>+R58</f>
        <v xml:space="preserve"> Corrections Tracking - Check out rooms</v>
      </c>
      <c r="S71" s="431"/>
      <c r="T71" s="431"/>
      <c r="U71" s="431"/>
      <c r="V71" s="431"/>
      <c r="W71" s="431"/>
      <c r="X71" s="431"/>
      <c r="Y71" s="431"/>
      <c r="Z71" s="431"/>
      <c r="AA71" s="431"/>
      <c r="AB71" s="431"/>
      <c r="AC71" s="431"/>
      <c r="AD71" s="462" t="s">
        <v>132</v>
      </c>
      <c r="AE71" s="432"/>
      <c r="AF71" s="432"/>
      <c r="AG71" s="432"/>
      <c r="AH71" s="432"/>
      <c r="AI71" s="433"/>
    </row>
    <row r="72" spans="1:35" ht="59.25" customHeight="1" x14ac:dyDescent="0.25">
      <c r="A72" s="623" t="s">
        <v>133</v>
      </c>
      <c r="B72" s="21"/>
      <c r="C72" s="453" t="s">
        <v>134</v>
      </c>
      <c r="D72" s="453" t="s">
        <v>135</v>
      </c>
      <c r="E72" s="453" t="s">
        <v>134</v>
      </c>
      <c r="F72" s="453" t="s">
        <v>135</v>
      </c>
      <c r="G72" s="635" t="s">
        <v>136</v>
      </c>
      <c r="H72" s="635" t="s">
        <v>108</v>
      </c>
      <c r="I72" s="454"/>
      <c r="J72" s="455" t="str">
        <f>+Setup_and_Criteria!$B$13</f>
        <v>Checkouts</v>
      </c>
      <c r="K72" s="455" t="str">
        <f>+Setup_and_Criteria!$B$14</f>
        <v>Pet Rooms</v>
      </c>
      <c r="L72" s="455" t="str">
        <f>+Setup_and_Criteria!$B$15</f>
        <v>2 Rm &amp; Jac Stes</v>
      </c>
      <c r="M72" s="456" t="str">
        <f>+Setup_and_Criteria!$B$16</f>
        <v>Stayovers</v>
      </c>
      <c r="N72" s="457" t="s">
        <v>137</v>
      </c>
      <c r="O72" s="457" t="s">
        <v>138</v>
      </c>
      <c r="P72" s="458" t="s">
        <v>139</v>
      </c>
      <c r="Q72" s="458" t="s">
        <v>140</v>
      </c>
      <c r="R72" s="459" t="str">
        <f>+Corrections!$C$8</f>
        <v>Vanity</v>
      </c>
      <c r="S72" s="459" t="str">
        <f>+Corrections!$I$8</f>
        <v>Toilet</v>
      </c>
      <c r="T72" s="459" t="str">
        <f>+Corrections!$O$8</f>
        <v>Bed/Pillows</v>
      </c>
      <c r="U72" s="459" t="str">
        <f>+Corrections!$U$8</f>
        <v>Floor</v>
      </c>
      <c r="V72" s="459" t="str">
        <f>+Corrections!$AA$8</f>
        <v>Dusting</v>
      </c>
      <c r="W72" s="459" t="str">
        <f>+Corrections!$AG$8</f>
        <v>Fridge/Micro</v>
      </c>
      <c r="X72" s="459" t="str">
        <f>+Corrections!$AM$8</f>
        <v>Tub</v>
      </c>
      <c r="Y72" s="460" t="str">
        <f>+Corrections!$AS$8</f>
        <v>Mirrors/Glass</v>
      </c>
      <c r="Z72" s="459" t="str">
        <f>+Corrections!$AY$8</f>
        <v>Stocking</v>
      </c>
      <c r="AA72" s="459" t="str">
        <f>+Corrections!$BE$8</f>
        <v>Other</v>
      </c>
      <c r="AB72" s="457" t="s">
        <v>141</v>
      </c>
      <c r="AC72" s="269" t="str">
        <f>+$AC$7</f>
        <v>Daily Corr / Inspected Checkout</v>
      </c>
      <c r="AD72" s="892" t="s">
        <v>143</v>
      </c>
      <c r="AE72" s="893"/>
      <c r="AF72" s="893"/>
      <c r="AG72" s="893"/>
      <c r="AH72" s="893"/>
      <c r="AI72" s="894"/>
    </row>
    <row r="73" spans="1:35" x14ac:dyDescent="0.25">
      <c r="A73" s="638"/>
      <c r="C73" s="369"/>
      <c r="D73" s="369"/>
      <c r="E73" s="369"/>
      <c r="F73" s="369"/>
      <c r="G73" s="264">
        <f t="shared" ref="G73:G78" si="40">+(D73-C73)+(F73-E73)</f>
        <v>0</v>
      </c>
      <c r="H73" s="442">
        <f t="shared" ref="H73:H78" si="41">+G73*1440</f>
        <v>0</v>
      </c>
      <c r="J73" s="630"/>
      <c r="K73" s="630"/>
      <c r="L73" s="630"/>
      <c r="M73" s="630"/>
      <c r="N73" s="1">
        <f>IF(C73&gt;0,((J73*Setup_and_Criteria!$F$13)+('M1_1-15th'!K73*Setup_and_Criteria!$F$14)+('M1_1-15th'!L73*Setup_and_Criteria!$F$15)+('M1_1-15th'!M73*Setup_and_Criteria!$F$16)+Setup_and_Criteria!$J$16),0)</f>
        <v>0</v>
      </c>
      <c r="O73" s="442">
        <f>+H73</f>
        <v>0</v>
      </c>
      <c r="P73" s="443">
        <f t="shared" ref="P73:P79" si="42">+N73-O73</f>
        <v>0</v>
      </c>
      <c r="Q73" s="357" t="e">
        <f t="shared" ref="Q73:Q79" si="43">O73/_xlfn.SINGLE(SUM(J73:M73))</f>
        <v>#DIV/0!</v>
      </c>
      <c r="R73" s="630"/>
      <c r="S73" s="630"/>
      <c r="T73" s="630"/>
      <c r="U73" s="630"/>
      <c r="V73" s="630"/>
      <c r="W73" s="630"/>
      <c r="X73" s="630"/>
      <c r="Y73" s="630"/>
      <c r="Z73" s="630"/>
      <c r="AA73" s="630"/>
      <c r="AB73" s="1">
        <f t="shared" ref="AB73:AB79" si="44">SUM(R73:AA73)</f>
        <v>0</v>
      </c>
      <c r="AC73" s="357" t="e">
        <f t="shared" ref="AC73:AC79" si="45">+AB73/(J73+K73+L73)</f>
        <v>#DIV/0!</v>
      </c>
      <c r="AD73" s="864" t="s">
        <v>144</v>
      </c>
      <c r="AE73" s="865"/>
      <c r="AF73" s="865"/>
      <c r="AG73" s="866"/>
      <c r="AH73" s="866"/>
      <c r="AI73" s="867"/>
    </row>
    <row r="74" spans="1:35" x14ac:dyDescent="0.25">
      <c r="A74" s="638"/>
      <c r="C74" s="630"/>
      <c r="D74" s="630"/>
      <c r="E74" s="630"/>
      <c r="F74" s="630"/>
      <c r="G74" s="264">
        <f t="shared" si="40"/>
        <v>0</v>
      </c>
      <c r="H74" s="442">
        <f t="shared" si="41"/>
        <v>0</v>
      </c>
      <c r="J74" s="630"/>
      <c r="K74" s="630"/>
      <c r="L74" s="630"/>
      <c r="M74" s="630"/>
      <c r="N74" s="1">
        <f>IF(C74&gt;0,((J74*Setup_and_Criteria!$F$13)+('M1_1-15th'!K74*Setup_and_Criteria!$F$14)+('M1_1-15th'!L74*Setup_and_Criteria!$F$15)+('M1_1-15th'!M74*Setup_and_Criteria!$F$16)+Setup_and_Criteria!$J$16),0)</f>
        <v>0</v>
      </c>
      <c r="O74" s="442">
        <f t="shared" ref="O74:O79" si="46">+H74</f>
        <v>0</v>
      </c>
      <c r="P74" s="443">
        <f t="shared" si="42"/>
        <v>0</v>
      </c>
      <c r="Q74" s="357" t="e">
        <f t="shared" si="43"/>
        <v>#DIV/0!</v>
      </c>
      <c r="R74" s="630"/>
      <c r="S74" s="630"/>
      <c r="T74" s="630"/>
      <c r="U74" s="630"/>
      <c r="V74" s="630"/>
      <c r="W74" s="630"/>
      <c r="X74" s="630"/>
      <c r="Y74" s="630"/>
      <c r="Z74" s="630"/>
      <c r="AA74" s="630"/>
      <c r="AB74" s="1">
        <f t="shared" si="44"/>
        <v>0</v>
      </c>
      <c r="AC74" s="357" t="e">
        <f t="shared" si="45"/>
        <v>#DIV/0!</v>
      </c>
      <c r="AD74" s="864"/>
      <c r="AE74" s="865"/>
      <c r="AF74" s="865"/>
      <c r="AG74" s="866"/>
      <c r="AH74" s="866"/>
      <c r="AI74" s="867"/>
    </row>
    <row r="75" spans="1:35" x14ac:dyDescent="0.25">
      <c r="A75" s="638"/>
      <c r="C75" s="630"/>
      <c r="D75" s="630"/>
      <c r="E75" s="630"/>
      <c r="F75" s="630"/>
      <c r="G75" s="264">
        <f t="shared" si="40"/>
        <v>0</v>
      </c>
      <c r="H75" s="442">
        <f t="shared" si="41"/>
        <v>0</v>
      </c>
      <c r="J75" s="630"/>
      <c r="K75" s="630"/>
      <c r="L75" s="630"/>
      <c r="M75" s="630"/>
      <c r="N75" s="1">
        <f>IF(C75&gt;0,((J75*Setup_and_Criteria!$F$13)+('M1_1-15th'!K75*Setup_and_Criteria!$F$14)+('M1_1-15th'!L75*Setup_and_Criteria!$F$15)+('M1_1-15th'!M75*Setup_and_Criteria!$F$16)+Setup_and_Criteria!$J$16),0)</f>
        <v>0</v>
      </c>
      <c r="O75" s="442">
        <f t="shared" si="46"/>
        <v>0</v>
      </c>
      <c r="P75" s="443">
        <f t="shared" si="42"/>
        <v>0</v>
      </c>
      <c r="Q75" s="357" t="e">
        <f t="shared" si="43"/>
        <v>#DIV/0!</v>
      </c>
      <c r="R75" s="630"/>
      <c r="S75" s="630"/>
      <c r="T75" s="630"/>
      <c r="U75" s="630"/>
      <c r="V75" s="630"/>
      <c r="W75" s="630"/>
      <c r="X75" s="630"/>
      <c r="Y75" s="630"/>
      <c r="Z75" s="630"/>
      <c r="AA75" s="630"/>
      <c r="AB75" s="1">
        <f t="shared" si="44"/>
        <v>0</v>
      </c>
      <c r="AC75" s="357" t="e">
        <f t="shared" si="45"/>
        <v>#DIV/0!</v>
      </c>
      <c r="AD75" s="864"/>
      <c r="AE75" s="865"/>
      <c r="AF75" s="865"/>
      <c r="AG75" s="866"/>
      <c r="AH75" s="866"/>
      <c r="AI75" s="867"/>
    </row>
    <row r="76" spans="1:35" x14ac:dyDescent="0.25">
      <c r="A76" s="638"/>
      <c r="C76" s="630"/>
      <c r="D76" s="630"/>
      <c r="E76" s="630"/>
      <c r="F76" s="630"/>
      <c r="G76" s="264">
        <f t="shared" si="40"/>
        <v>0</v>
      </c>
      <c r="H76" s="442">
        <f t="shared" si="41"/>
        <v>0</v>
      </c>
      <c r="J76" s="630"/>
      <c r="K76" s="630"/>
      <c r="L76" s="630"/>
      <c r="M76" s="630"/>
      <c r="N76" s="1">
        <f>IF(C76&gt;0,((J76*Setup_and_Criteria!$F$13)+('M1_1-15th'!K76*Setup_and_Criteria!$F$14)+('M1_1-15th'!L76*Setup_and_Criteria!$F$15)+('M1_1-15th'!M76*Setup_and_Criteria!$F$16)+Setup_and_Criteria!$J$16),0)</f>
        <v>0</v>
      </c>
      <c r="O76" s="442">
        <f t="shared" si="46"/>
        <v>0</v>
      </c>
      <c r="P76" s="443">
        <f t="shared" si="42"/>
        <v>0</v>
      </c>
      <c r="Q76" s="357" t="e">
        <f t="shared" si="43"/>
        <v>#DIV/0!</v>
      </c>
      <c r="R76" s="630"/>
      <c r="S76" s="630"/>
      <c r="T76" s="630"/>
      <c r="U76" s="630"/>
      <c r="V76" s="630"/>
      <c r="W76" s="630"/>
      <c r="X76" s="630"/>
      <c r="Y76" s="630"/>
      <c r="Z76" s="630"/>
      <c r="AA76" s="630"/>
      <c r="AB76" s="1">
        <f t="shared" si="44"/>
        <v>0</v>
      </c>
      <c r="AC76" s="357" t="e">
        <f t="shared" si="45"/>
        <v>#DIV/0!</v>
      </c>
      <c r="AD76" s="864"/>
      <c r="AE76" s="865"/>
      <c r="AF76" s="865"/>
      <c r="AG76" s="866"/>
      <c r="AH76" s="866"/>
      <c r="AI76" s="867"/>
    </row>
    <row r="77" spans="1:35" x14ac:dyDescent="0.25">
      <c r="A77" s="638"/>
      <c r="C77" s="630"/>
      <c r="D77" s="630"/>
      <c r="E77" s="630"/>
      <c r="F77" s="630"/>
      <c r="G77" s="264">
        <f t="shared" si="40"/>
        <v>0</v>
      </c>
      <c r="H77" s="442">
        <f t="shared" si="41"/>
        <v>0</v>
      </c>
      <c r="J77" s="630"/>
      <c r="K77" s="630"/>
      <c r="L77" s="630"/>
      <c r="M77" s="630"/>
      <c r="N77" s="1">
        <f>IF(C77&gt;0,((J77*Setup_and_Criteria!$F$13)+('M1_1-15th'!K77*Setup_and_Criteria!$F$14)+('M1_1-15th'!L77*Setup_and_Criteria!$F$15)+('M1_1-15th'!M77*Setup_and_Criteria!$F$16)+Setup_and_Criteria!$J$16),0)</f>
        <v>0</v>
      </c>
      <c r="O77" s="442">
        <f t="shared" si="46"/>
        <v>0</v>
      </c>
      <c r="P77" s="443">
        <f t="shared" si="42"/>
        <v>0</v>
      </c>
      <c r="Q77" s="357" t="e">
        <f t="shared" si="43"/>
        <v>#DIV/0!</v>
      </c>
      <c r="R77" s="630"/>
      <c r="S77" s="630"/>
      <c r="T77" s="630"/>
      <c r="U77" s="630"/>
      <c r="V77" s="630"/>
      <c r="W77" s="630"/>
      <c r="X77" s="630"/>
      <c r="Y77" s="630"/>
      <c r="Z77" s="630"/>
      <c r="AA77" s="630"/>
      <c r="AB77" s="1">
        <f t="shared" si="44"/>
        <v>0</v>
      </c>
      <c r="AC77" s="357" t="e">
        <f t="shared" si="45"/>
        <v>#DIV/0!</v>
      </c>
      <c r="AD77" s="864"/>
      <c r="AE77" s="865"/>
      <c r="AF77" s="865"/>
      <c r="AG77" s="866"/>
      <c r="AH77" s="866"/>
      <c r="AI77" s="867"/>
    </row>
    <row r="78" spans="1:35" ht="15.75" thickBot="1" x14ac:dyDescent="0.3">
      <c r="A78" s="638"/>
      <c r="C78" s="370"/>
      <c r="D78" s="370"/>
      <c r="E78" s="630"/>
      <c r="F78" s="630"/>
      <c r="G78" s="264">
        <f t="shared" si="40"/>
        <v>0</v>
      </c>
      <c r="H78" s="442">
        <f t="shared" si="41"/>
        <v>0</v>
      </c>
      <c r="J78" s="371"/>
      <c r="K78" s="371"/>
      <c r="L78" s="371"/>
      <c r="M78" s="371"/>
      <c r="N78" s="358">
        <f>IF(C78&gt;0,((J78*Setup_and_Criteria!$F$13)+('M1_1-15th'!K78*Setup_and_Criteria!$F$14)+('M1_1-15th'!L78*Setup_and_Criteria!$F$15)+('M1_1-15th'!M78*Setup_and_Criteria!$F$16)+Setup_and_Criteria!$J$16),0)</f>
        <v>0</v>
      </c>
      <c r="O78" s="359">
        <f t="shared" si="46"/>
        <v>0</v>
      </c>
      <c r="P78" s="383">
        <f t="shared" si="42"/>
        <v>0</v>
      </c>
      <c r="Q78" s="360" t="e">
        <f t="shared" si="43"/>
        <v>#DIV/0!</v>
      </c>
      <c r="R78" s="511"/>
      <c r="S78" s="511"/>
      <c r="T78" s="511"/>
      <c r="U78" s="511"/>
      <c r="V78" s="511"/>
      <c r="W78" s="511"/>
      <c r="X78" s="511"/>
      <c r="Y78" s="511"/>
      <c r="Z78" s="511"/>
      <c r="AA78" s="511"/>
      <c r="AB78" s="1">
        <f t="shared" si="44"/>
        <v>0</v>
      </c>
      <c r="AC78" s="357" t="e">
        <f t="shared" si="45"/>
        <v>#DIV/0!</v>
      </c>
      <c r="AD78" s="864"/>
      <c r="AE78" s="865"/>
      <c r="AF78" s="865"/>
      <c r="AG78" s="866"/>
      <c r="AH78" s="866"/>
      <c r="AI78" s="867"/>
    </row>
    <row r="79" spans="1:35" ht="15.75" thickTop="1" x14ac:dyDescent="0.25">
      <c r="A79" s="58"/>
      <c r="H79" s="442">
        <f>SUM(H73:H78)</f>
        <v>0</v>
      </c>
      <c r="J79" s="1">
        <f>SUM(J73:J78)</f>
        <v>0</v>
      </c>
      <c r="K79" s="1">
        <f>SUM(K73:K78)</f>
        <v>0</v>
      </c>
      <c r="L79" s="1">
        <f>SUM(L73:L78)</f>
        <v>0</v>
      </c>
      <c r="M79" s="1">
        <f>SUM(M73:M78)</f>
        <v>0</v>
      </c>
      <c r="N79" s="1">
        <f>SUM(N73:N78)</f>
        <v>0</v>
      </c>
      <c r="O79" s="1">
        <f t="shared" si="46"/>
        <v>0</v>
      </c>
      <c r="P79" s="443">
        <f t="shared" si="42"/>
        <v>0</v>
      </c>
      <c r="Q79" s="357" t="e">
        <f t="shared" si="43"/>
        <v>#DIV/0!</v>
      </c>
      <c r="R79" s="1">
        <f t="shared" ref="R79:AA79" si="47">SUM(R73:R78)</f>
        <v>0</v>
      </c>
      <c r="S79" s="1">
        <f t="shared" si="47"/>
        <v>0</v>
      </c>
      <c r="T79" s="1">
        <f t="shared" si="47"/>
        <v>0</v>
      </c>
      <c r="U79" s="1">
        <f t="shared" si="47"/>
        <v>0</v>
      </c>
      <c r="V79" s="1">
        <f t="shared" si="47"/>
        <v>0</v>
      </c>
      <c r="W79" s="1">
        <f t="shared" si="47"/>
        <v>0</v>
      </c>
      <c r="X79" s="1">
        <f t="shared" si="47"/>
        <v>0</v>
      </c>
      <c r="Y79" s="1">
        <f t="shared" si="47"/>
        <v>0</v>
      </c>
      <c r="Z79" s="1">
        <f t="shared" si="47"/>
        <v>0</v>
      </c>
      <c r="AA79" s="1">
        <f t="shared" si="47"/>
        <v>0</v>
      </c>
      <c r="AB79" s="1">
        <f t="shared" si="44"/>
        <v>0</v>
      </c>
      <c r="AC79" s="357" t="e">
        <f t="shared" si="45"/>
        <v>#DIV/0!</v>
      </c>
      <c r="AD79" s="877"/>
      <c r="AE79" s="878"/>
      <c r="AF79" s="878"/>
      <c r="AG79" s="749"/>
      <c r="AH79" s="749"/>
      <c r="AI79" s="879"/>
    </row>
    <row r="80" spans="1:35" ht="21" customHeight="1" x14ac:dyDescent="0.35">
      <c r="A80" s="58"/>
      <c r="H80" s="442"/>
      <c r="N80" s="888" t="s">
        <v>145</v>
      </c>
      <c r="O80" s="888"/>
      <c r="P80" s="888"/>
      <c r="Q80" s="888"/>
      <c r="R80" s="431" t="s">
        <v>146</v>
      </c>
      <c r="S80" s="431"/>
      <c r="T80" s="431"/>
      <c r="U80" s="431"/>
      <c r="V80" s="431"/>
      <c r="W80" s="431"/>
      <c r="X80" s="431"/>
      <c r="Y80" s="431"/>
      <c r="Z80" s="431"/>
      <c r="AA80" s="431"/>
      <c r="AB80" s="431"/>
      <c r="AC80" s="431"/>
      <c r="AD80" s="880" t="s">
        <v>132</v>
      </c>
      <c r="AE80" s="881"/>
      <c r="AF80" s="881"/>
      <c r="AG80" s="881"/>
      <c r="AH80" s="881"/>
      <c r="AI80" s="882"/>
    </row>
    <row r="81" spans="1:35" ht="31.5" customHeight="1" x14ac:dyDescent="0.35">
      <c r="A81" s="378" t="s">
        <v>147</v>
      </c>
      <c r="C81" s="885" t="s">
        <v>128</v>
      </c>
      <c r="D81" s="885"/>
      <c r="E81" s="885"/>
      <c r="F81" s="885"/>
      <c r="H81" s="442"/>
      <c r="J81" s="444"/>
      <c r="K81" s="445" t="s">
        <v>35</v>
      </c>
      <c r="L81" s="445" t="s">
        <v>148</v>
      </c>
      <c r="N81" s="446" t="s">
        <v>149</v>
      </c>
      <c r="O81" s="447" t="s">
        <v>150</v>
      </c>
      <c r="P81" s="447" t="s">
        <v>138</v>
      </c>
      <c r="Q81" s="447" t="s">
        <v>151</v>
      </c>
      <c r="R81" s="749" t="s">
        <v>152</v>
      </c>
      <c r="S81" s="749"/>
      <c r="T81" s="883" t="s">
        <v>153</v>
      </c>
      <c r="U81" s="883"/>
      <c r="W81" s="425" t="s">
        <v>154</v>
      </c>
      <c r="X81" s="425"/>
      <c r="Y81" s="425"/>
      <c r="Z81" s="425"/>
      <c r="AA81" s="425"/>
      <c r="AB81" s="425"/>
      <c r="AC81" s="425"/>
      <c r="AD81" s="868" t="s">
        <v>160</v>
      </c>
      <c r="AE81" s="869"/>
      <c r="AF81" s="869"/>
      <c r="AG81" s="869"/>
      <c r="AH81" s="869"/>
      <c r="AI81" s="870"/>
    </row>
    <row r="82" spans="1:35" ht="18" customHeight="1" thickBot="1" x14ac:dyDescent="0.3">
      <c r="A82" s="639"/>
      <c r="B82" s="375"/>
      <c r="C82" s="372"/>
      <c r="D82" s="372"/>
      <c r="E82" s="372"/>
      <c r="F82" s="372"/>
      <c r="G82" s="366">
        <f>+(D82-C82)+(F82-E82)</f>
        <v>0</v>
      </c>
      <c r="H82" s="367">
        <f>+G82*1440</f>
        <v>0</v>
      </c>
      <c r="I82" s="859" t="s">
        <v>155</v>
      </c>
      <c r="J82" s="860"/>
      <c r="K82" s="373"/>
      <c r="L82" s="374"/>
      <c r="M82" s="423"/>
      <c r="N82" s="629">
        <f>+J79+L79+K79+K82+L82</f>
        <v>0</v>
      </c>
      <c r="O82" s="368">
        <f>+(Setup_and_Criteria!$K$31+(J79*Setup_and_Criteria!$F$20)+('M1_1-15th'!K79*Setup_and_Criteria!$F$21)+('M1_1-15th'!L79*Setup_and_Criteria!$F$20))+T82+(K82*Setup_and_Criteria!$F$21)+(Setup_and_Criteria!$F$22*'M1_1-15th'!L82)</f>
        <v>75</v>
      </c>
      <c r="P82" s="367">
        <f>+H82</f>
        <v>0</v>
      </c>
      <c r="Q82" s="367">
        <f>+O82-P82</f>
        <v>75</v>
      </c>
      <c r="R82" s="861" t="s">
        <v>252</v>
      </c>
      <c r="S82" s="861"/>
      <c r="T82" s="862"/>
      <c r="U82" s="863"/>
      <c r="V82" s="265" t="s">
        <v>156</v>
      </c>
      <c r="W82" s="854"/>
      <c r="X82" s="855"/>
      <c r="Y82" s="855"/>
      <c r="Z82" s="855"/>
      <c r="AA82" s="855"/>
      <c r="AB82" s="855"/>
      <c r="AC82" s="855"/>
      <c r="AD82" s="868"/>
      <c r="AE82" s="869"/>
      <c r="AF82" s="869"/>
      <c r="AG82" s="869"/>
      <c r="AH82" s="869"/>
      <c r="AI82" s="870"/>
    </row>
    <row r="83" spans="1:35" ht="15.75" thickBot="1" x14ac:dyDescent="0.3">
      <c r="A83" s="449" t="str">
        <f>+A70</f>
        <v>Password to enter data = "Enter Info"</v>
      </c>
      <c r="B83" s="450"/>
      <c r="C83" s="451"/>
      <c r="D83" s="451"/>
      <c r="E83" s="451"/>
      <c r="F83" s="451"/>
      <c r="G83" s="451"/>
      <c r="H83" s="451"/>
      <c r="I83" s="450"/>
      <c r="J83" s="451"/>
      <c r="K83" s="451"/>
      <c r="L83" s="451"/>
      <c r="M83" s="451"/>
      <c r="N83" s="451"/>
      <c r="O83" s="451"/>
      <c r="P83" s="451"/>
      <c r="Q83" s="450"/>
      <c r="R83" s="451"/>
      <c r="S83" s="451"/>
      <c r="T83" s="451"/>
      <c r="U83" s="451"/>
      <c r="V83" s="451"/>
      <c r="W83" s="451"/>
      <c r="X83" s="451"/>
      <c r="Y83" s="451"/>
      <c r="Z83" s="451"/>
      <c r="AA83" s="451"/>
      <c r="AB83" s="450"/>
      <c r="AC83" s="450"/>
      <c r="AD83" s="871"/>
      <c r="AE83" s="872"/>
      <c r="AF83" s="872"/>
      <c r="AG83" s="872"/>
      <c r="AH83" s="872"/>
      <c r="AI83" s="873"/>
    </row>
    <row r="84" spans="1:35" ht="35.25" customHeight="1" x14ac:dyDescent="0.4">
      <c r="A84" s="434" t="str">
        <f>+A71</f>
        <v>June</v>
      </c>
      <c r="B84" s="624">
        <f>+B71+1</f>
        <v>7</v>
      </c>
      <c r="C84" s="884" t="s">
        <v>128</v>
      </c>
      <c r="D84" s="884"/>
      <c r="E84" s="884"/>
      <c r="F84" s="884"/>
      <c r="G84" s="377"/>
      <c r="H84" s="377"/>
      <c r="I84" s="21"/>
      <c r="J84" s="874" t="s">
        <v>129</v>
      </c>
      <c r="K84" s="875"/>
      <c r="L84" s="875"/>
      <c r="M84" s="875"/>
      <c r="N84" s="876" t="s">
        <v>130</v>
      </c>
      <c r="O84" s="876"/>
      <c r="P84" s="876"/>
      <c r="Q84" s="876"/>
      <c r="R84" s="424" t="str">
        <f>+R71</f>
        <v xml:space="preserve"> Corrections Tracking - Check out rooms</v>
      </c>
      <c r="S84" s="424"/>
      <c r="T84" s="424"/>
      <c r="U84" s="424"/>
      <c r="V84" s="424"/>
      <c r="W84" s="424"/>
      <c r="X84" s="424"/>
      <c r="Y84" s="424"/>
      <c r="Z84" s="424"/>
      <c r="AA84" s="424"/>
      <c r="AB84" s="424"/>
      <c r="AC84" s="424"/>
      <c r="AD84" s="461" t="s">
        <v>132</v>
      </c>
      <c r="AE84" s="426"/>
      <c r="AF84" s="426"/>
      <c r="AG84" s="426"/>
      <c r="AH84" s="426"/>
      <c r="AI84" s="427"/>
    </row>
    <row r="85" spans="1:35" ht="59.25" customHeight="1" x14ac:dyDescent="0.25">
      <c r="A85" s="378" t="s">
        <v>133</v>
      </c>
      <c r="C85" s="435" t="s">
        <v>134</v>
      </c>
      <c r="D85" s="435" t="s">
        <v>135</v>
      </c>
      <c r="E85" s="435" t="s">
        <v>134</v>
      </c>
      <c r="F85" s="435" t="s">
        <v>135</v>
      </c>
      <c r="G85" s="1" t="s">
        <v>136</v>
      </c>
      <c r="H85" s="1" t="s">
        <v>108</v>
      </c>
      <c r="I85" s="436"/>
      <c r="J85" s="437" t="str">
        <f>+Setup_and_Criteria!$B$13</f>
        <v>Checkouts</v>
      </c>
      <c r="K85" s="437" t="str">
        <f>+Setup_and_Criteria!$B$14</f>
        <v>Pet Rooms</v>
      </c>
      <c r="L85" s="437" t="str">
        <f>+Setup_and_Criteria!$B$15</f>
        <v>2 Rm &amp; Jac Stes</v>
      </c>
      <c r="M85" s="438" t="str">
        <f>+Setup_and_Criteria!$B$16</f>
        <v>Stayovers</v>
      </c>
      <c r="N85" s="269" t="s">
        <v>137</v>
      </c>
      <c r="O85" s="269" t="s">
        <v>138</v>
      </c>
      <c r="P85" s="439" t="s">
        <v>139</v>
      </c>
      <c r="Q85" s="439" t="s">
        <v>140</v>
      </c>
      <c r="R85" s="440" t="str">
        <f>+Corrections!$C$8</f>
        <v>Vanity</v>
      </c>
      <c r="S85" s="440" t="str">
        <f>+Corrections!$I$8</f>
        <v>Toilet</v>
      </c>
      <c r="T85" s="440" t="str">
        <f>+Corrections!$O$8</f>
        <v>Bed/Pillows</v>
      </c>
      <c r="U85" s="440" t="str">
        <f>+Corrections!$U$8</f>
        <v>Floor</v>
      </c>
      <c r="V85" s="440" t="str">
        <f>+Corrections!$AA$8</f>
        <v>Dusting</v>
      </c>
      <c r="W85" s="440" t="str">
        <f>+Corrections!$AG$8</f>
        <v>Fridge/Micro</v>
      </c>
      <c r="X85" s="440" t="str">
        <f>+Corrections!$AM$8</f>
        <v>Tub</v>
      </c>
      <c r="Y85" s="441" t="str">
        <f>+Corrections!$AS$8</f>
        <v>Mirrors/Glass</v>
      </c>
      <c r="Z85" s="440" t="str">
        <f>+Corrections!$AY$8</f>
        <v>Stocking</v>
      </c>
      <c r="AA85" s="440" t="str">
        <f>+Corrections!$BE$8</f>
        <v>Other</v>
      </c>
      <c r="AB85" s="269" t="s">
        <v>141</v>
      </c>
      <c r="AC85" s="269" t="str">
        <f>+$AC$7</f>
        <v>Daily Corr / Inspected Checkout</v>
      </c>
      <c r="AD85" s="889" t="s">
        <v>143</v>
      </c>
      <c r="AE85" s="890"/>
      <c r="AF85" s="890"/>
      <c r="AG85" s="890"/>
      <c r="AH85" s="890"/>
      <c r="AI85" s="891"/>
    </row>
    <row r="86" spans="1:35" x14ac:dyDescent="0.25">
      <c r="A86" s="638"/>
      <c r="C86" s="369"/>
      <c r="D86" s="369"/>
      <c r="E86" s="369"/>
      <c r="F86" s="369"/>
      <c r="G86" s="264">
        <f t="shared" ref="G86:G91" si="48">+(D86-C86)+(F86-E86)</f>
        <v>0</v>
      </c>
      <c r="H86" s="442">
        <f t="shared" ref="H86:H91" si="49">+G86*1440</f>
        <v>0</v>
      </c>
      <c r="J86" s="630"/>
      <c r="K86" s="630"/>
      <c r="L86" s="630"/>
      <c r="M86" s="630"/>
      <c r="N86" s="1">
        <f>IF(C86&gt;0,((J86*Setup_and_Criteria!$F$13)+('M1_1-15th'!K86*Setup_and_Criteria!$F$14)+('M1_1-15th'!L86*Setup_and_Criteria!$F$15)+('M1_1-15th'!M86*Setup_and_Criteria!$F$16)+Setup_and_Criteria!$J$16),0)</f>
        <v>0</v>
      </c>
      <c r="O86" s="442">
        <f>+H86</f>
        <v>0</v>
      </c>
      <c r="P86" s="443">
        <f t="shared" ref="P86:P92" si="50">+N86-O86</f>
        <v>0</v>
      </c>
      <c r="Q86" s="357" t="e">
        <f t="shared" ref="Q86:Q92" si="51">O86/_xlfn.SINGLE(SUM(J86:M86))</f>
        <v>#DIV/0!</v>
      </c>
      <c r="R86" s="630"/>
      <c r="S86" s="630"/>
      <c r="T86" s="630"/>
      <c r="U86" s="630"/>
      <c r="V86" s="630"/>
      <c r="W86" s="630"/>
      <c r="X86" s="630"/>
      <c r="Y86" s="630"/>
      <c r="Z86" s="630"/>
      <c r="AA86" s="630"/>
      <c r="AB86" s="1">
        <f t="shared" ref="AB86:AB92" si="52">SUM(R86:AA86)</f>
        <v>0</v>
      </c>
      <c r="AC86" s="357" t="e">
        <f t="shared" ref="AC86:AC92" si="53">+AB86/(J86+K86+L86)</f>
        <v>#DIV/0!</v>
      </c>
      <c r="AD86" s="864" t="s">
        <v>144</v>
      </c>
      <c r="AE86" s="865"/>
      <c r="AF86" s="865"/>
      <c r="AG86" s="866"/>
      <c r="AH86" s="866"/>
      <c r="AI86" s="867"/>
    </row>
    <row r="87" spans="1:35" x14ac:dyDescent="0.25">
      <c r="A87" s="638"/>
      <c r="C87" s="630"/>
      <c r="D87" s="630"/>
      <c r="E87" s="630"/>
      <c r="F87" s="630"/>
      <c r="G87" s="264">
        <f t="shared" si="48"/>
        <v>0</v>
      </c>
      <c r="H87" s="442">
        <f t="shared" si="49"/>
        <v>0</v>
      </c>
      <c r="J87" s="630"/>
      <c r="K87" s="630"/>
      <c r="L87" s="630"/>
      <c r="M87" s="630"/>
      <c r="N87" s="1">
        <f>IF(C87&gt;0,((J87*Setup_and_Criteria!$F$13)+('M1_1-15th'!K87*Setup_and_Criteria!$F$14)+('M1_1-15th'!L87*Setup_and_Criteria!$F$15)+('M1_1-15th'!M87*Setup_and_Criteria!$F$16)+Setup_and_Criteria!$J$16),0)</f>
        <v>0</v>
      </c>
      <c r="O87" s="442">
        <f t="shared" ref="O87:O92" si="54">+H87</f>
        <v>0</v>
      </c>
      <c r="P87" s="443">
        <f t="shared" si="50"/>
        <v>0</v>
      </c>
      <c r="Q87" s="357" t="e">
        <f t="shared" si="51"/>
        <v>#DIV/0!</v>
      </c>
      <c r="R87" s="630"/>
      <c r="S87" s="630"/>
      <c r="T87" s="630"/>
      <c r="U87" s="630"/>
      <c r="V87" s="630"/>
      <c r="W87" s="630"/>
      <c r="X87" s="630"/>
      <c r="Y87" s="630"/>
      <c r="Z87" s="630"/>
      <c r="AA87" s="630"/>
      <c r="AB87" s="1">
        <f t="shared" si="52"/>
        <v>0</v>
      </c>
      <c r="AC87" s="357" t="e">
        <f t="shared" si="53"/>
        <v>#DIV/0!</v>
      </c>
      <c r="AD87" s="864"/>
      <c r="AE87" s="865"/>
      <c r="AF87" s="865"/>
      <c r="AG87" s="866"/>
      <c r="AH87" s="866"/>
      <c r="AI87" s="867"/>
    </row>
    <row r="88" spans="1:35" x14ac:dyDescent="0.25">
      <c r="A88" s="638"/>
      <c r="C88" s="630"/>
      <c r="D88" s="630"/>
      <c r="E88" s="630"/>
      <c r="F88" s="630"/>
      <c r="G88" s="264">
        <f t="shared" si="48"/>
        <v>0</v>
      </c>
      <c r="H88" s="442">
        <f t="shared" si="49"/>
        <v>0</v>
      </c>
      <c r="J88" s="630"/>
      <c r="K88" s="630"/>
      <c r="L88" s="630"/>
      <c r="M88" s="630"/>
      <c r="N88" s="1">
        <f>IF(C88&gt;0,((J88*Setup_and_Criteria!$F$13)+('M1_1-15th'!K88*Setup_and_Criteria!$F$14)+('M1_1-15th'!L88*Setup_and_Criteria!$F$15)+('M1_1-15th'!M88*Setup_and_Criteria!$F$16)+Setup_and_Criteria!$J$16),0)</f>
        <v>0</v>
      </c>
      <c r="O88" s="442">
        <f t="shared" si="54"/>
        <v>0</v>
      </c>
      <c r="P88" s="443">
        <f t="shared" si="50"/>
        <v>0</v>
      </c>
      <c r="Q88" s="357" t="e">
        <f t="shared" si="51"/>
        <v>#DIV/0!</v>
      </c>
      <c r="R88" s="630"/>
      <c r="S88" s="630"/>
      <c r="T88" s="630"/>
      <c r="U88" s="630"/>
      <c r="V88" s="630"/>
      <c r="W88" s="630"/>
      <c r="X88" s="630"/>
      <c r="Y88" s="630"/>
      <c r="Z88" s="630"/>
      <c r="AA88" s="630"/>
      <c r="AB88" s="1">
        <f t="shared" si="52"/>
        <v>0</v>
      </c>
      <c r="AC88" s="357" t="e">
        <f t="shared" si="53"/>
        <v>#DIV/0!</v>
      </c>
      <c r="AD88" s="864"/>
      <c r="AE88" s="865"/>
      <c r="AF88" s="865"/>
      <c r="AG88" s="866"/>
      <c r="AH88" s="866"/>
      <c r="AI88" s="867"/>
    </row>
    <row r="89" spans="1:35" x14ac:dyDescent="0.25">
      <c r="A89" s="638"/>
      <c r="C89" s="630"/>
      <c r="D89" s="630"/>
      <c r="E89" s="630"/>
      <c r="F89" s="630"/>
      <c r="G89" s="264">
        <f t="shared" si="48"/>
        <v>0</v>
      </c>
      <c r="H89" s="442">
        <f t="shared" si="49"/>
        <v>0</v>
      </c>
      <c r="J89" s="630"/>
      <c r="K89" s="630"/>
      <c r="L89" s="630"/>
      <c r="M89" s="630"/>
      <c r="N89" s="1">
        <f>IF(C89&gt;0,((J89*Setup_and_Criteria!$F$13)+('M1_1-15th'!K89*Setup_and_Criteria!$F$14)+('M1_1-15th'!L89*Setup_and_Criteria!$F$15)+('M1_1-15th'!M89*Setup_and_Criteria!$F$16)+Setup_and_Criteria!$J$16),0)</f>
        <v>0</v>
      </c>
      <c r="O89" s="442">
        <f t="shared" si="54"/>
        <v>0</v>
      </c>
      <c r="P89" s="443">
        <f t="shared" si="50"/>
        <v>0</v>
      </c>
      <c r="Q89" s="357" t="e">
        <f t="shared" si="51"/>
        <v>#DIV/0!</v>
      </c>
      <c r="R89" s="630"/>
      <c r="S89" s="630"/>
      <c r="T89" s="630"/>
      <c r="U89" s="630"/>
      <c r="V89" s="630"/>
      <c r="W89" s="630"/>
      <c r="X89" s="630"/>
      <c r="Y89" s="630"/>
      <c r="Z89" s="630"/>
      <c r="AA89" s="630"/>
      <c r="AB89" s="1">
        <f t="shared" si="52"/>
        <v>0</v>
      </c>
      <c r="AC89" s="357" t="e">
        <f t="shared" si="53"/>
        <v>#DIV/0!</v>
      </c>
      <c r="AD89" s="864"/>
      <c r="AE89" s="865"/>
      <c r="AF89" s="865"/>
      <c r="AG89" s="866"/>
      <c r="AH89" s="866"/>
      <c r="AI89" s="867"/>
    </row>
    <row r="90" spans="1:35" x14ac:dyDescent="0.25">
      <c r="A90" s="638"/>
      <c r="C90" s="630"/>
      <c r="D90" s="630"/>
      <c r="E90" s="630"/>
      <c r="F90" s="630"/>
      <c r="G90" s="264">
        <f t="shared" si="48"/>
        <v>0</v>
      </c>
      <c r="H90" s="442">
        <f t="shared" si="49"/>
        <v>0</v>
      </c>
      <c r="J90" s="630"/>
      <c r="K90" s="630"/>
      <c r="L90" s="630"/>
      <c r="M90" s="630"/>
      <c r="N90" s="1">
        <f>IF(C90&gt;0,((J90*Setup_and_Criteria!$F$13)+('M1_1-15th'!K90*Setup_and_Criteria!$F$14)+('M1_1-15th'!L90*Setup_and_Criteria!$F$15)+('M1_1-15th'!M90*Setup_and_Criteria!$F$16)+Setup_and_Criteria!$J$16),0)</f>
        <v>0</v>
      </c>
      <c r="O90" s="442">
        <f t="shared" si="54"/>
        <v>0</v>
      </c>
      <c r="P90" s="443">
        <f t="shared" si="50"/>
        <v>0</v>
      </c>
      <c r="Q90" s="357" t="e">
        <f t="shared" si="51"/>
        <v>#DIV/0!</v>
      </c>
      <c r="R90" s="630"/>
      <c r="S90" s="630"/>
      <c r="T90" s="630"/>
      <c r="U90" s="630"/>
      <c r="V90" s="630"/>
      <c r="W90" s="630"/>
      <c r="X90" s="630"/>
      <c r="Y90" s="630"/>
      <c r="Z90" s="630"/>
      <c r="AA90" s="630"/>
      <c r="AB90" s="1">
        <f t="shared" si="52"/>
        <v>0</v>
      </c>
      <c r="AC90" s="357" t="e">
        <f t="shared" si="53"/>
        <v>#DIV/0!</v>
      </c>
      <c r="AD90" s="864"/>
      <c r="AE90" s="865"/>
      <c r="AF90" s="865"/>
      <c r="AG90" s="866"/>
      <c r="AH90" s="866"/>
      <c r="AI90" s="867"/>
    </row>
    <row r="91" spans="1:35" ht="15.75" thickBot="1" x14ac:dyDescent="0.3">
      <c r="A91" s="638"/>
      <c r="C91" s="370"/>
      <c r="D91" s="370"/>
      <c r="E91" s="630"/>
      <c r="F91" s="630"/>
      <c r="G91" s="264">
        <f t="shared" si="48"/>
        <v>0</v>
      </c>
      <c r="H91" s="442">
        <f t="shared" si="49"/>
        <v>0</v>
      </c>
      <c r="J91" s="371"/>
      <c r="K91" s="371"/>
      <c r="L91" s="371"/>
      <c r="M91" s="371"/>
      <c r="N91" s="358">
        <f>IF(C91&gt;0,((J91*Setup_and_Criteria!$F$13)+('M1_1-15th'!K91*Setup_and_Criteria!$F$14)+('M1_1-15th'!L91*Setup_and_Criteria!$F$15)+('M1_1-15th'!M91*Setup_and_Criteria!$F$16)+Setup_and_Criteria!$J$16),0)</f>
        <v>0</v>
      </c>
      <c r="O91" s="359">
        <f t="shared" si="54"/>
        <v>0</v>
      </c>
      <c r="P91" s="383">
        <f t="shared" si="50"/>
        <v>0</v>
      </c>
      <c r="Q91" s="360" t="e">
        <f t="shared" si="51"/>
        <v>#DIV/0!</v>
      </c>
      <c r="R91" s="511"/>
      <c r="S91" s="511"/>
      <c r="T91" s="511"/>
      <c r="U91" s="511"/>
      <c r="V91" s="511"/>
      <c r="W91" s="511"/>
      <c r="X91" s="511"/>
      <c r="Y91" s="511"/>
      <c r="Z91" s="511"/>
      <c r="AA91" s="511"/>
      <c r="AB91" s="1">
        <f t="shared" si="52"/>
        <v>0</v>
      </c>
      <c r="AC91" s="357" t="e">
        <f t="shared" si="53"/>
        <v>#DIV/0!</v>
      </c>
      <c r="AD91" s="864"/>
      <c r="AE91" s="865"/>
      <c r="AF91" s="865"/>
      <c r="AG91" s="866"/>
      <c r="AH91" s="866"/>
      <c r="AI91" s="867"/>
    </row>
    <row r="92" spans="1:35" ht="15.75" thickTop="1" x14ac:dyDescent="0.25">
      <c r="A92" s="58"/>
      <c r="H92" s="442">
        <f>SUM(H86:H91)</f>
        <v>0</v>
      </c>
      <c r="J92" s="1">
        <f>SUM(J86:J91)</f>
        <v>0</v>
      </c>
      <c r="K92" s="1">
        <f>SUM(K86:K91)</f>
        <v>0</v>
      </c>
      <c r="L92" s="1">
        <f>SUM(L86:L91)</f>
        <v>0</v>
      </c>
      <c r="M92" s="1">
        <f>SUM(M86:M91)</f>
        <v>0</v>
      </c>
      <c r="N92" s="1">
        <f>SUM(N86:N91)</f>
        <v>0</v>
      </c>
      <c r="O92" s="1">
        <f t="shared" si="54"/>
        <v>0</v>
      </c>
      <c r="P92" s="443">
        <f t="shared" si="50"/>
        <v>0</v>
      </c>
      <c r="Q92" s="357" t="e">
        <f t="shared" si="51"/>
        <v>#DIV/0!</v>
      </c>
      <c r="R92" s="1">
        <f t="shared" ref="R92:AA92" si="55">SUM(R86:R91)</f>
        <v>0</v>
      </c>
      <c r="S92" s="1">
        <f t="shared" si="55"/>
        <v>0</v>
      </c>
      <c r="T92" s="1">
        <f t="shared" si="55"/>
        <v>0</v>
      </c>
      <c r="U92" s="1">
        <f t="shared" si="55"/>
        <v>0</v>
      </c>
      <c r="V92" s="1">
        <f t="shared" si="55"/>
        <v>0</v>
      </c>
      <c r="W92" s="1">
        <f t="shared" si="55"/>
        <v>0</v>
      </c>
      <c r="X92" s="1">
        <f t="shared" si="55"/>
        <v>0</v>
      </c>
      <c r="Y92" s="1">
        <f t="shared" si="55"/>
        <v>0</v>
      </c>
      <c r="Z92" s="1">
        <f t="shared" si="55"/>
        <v>0</v>
      </c>
      <c r="AA92" s="1">
        <f t="shared" si="55"/>
        <v>0</v>
      </c>
      <c r="AB92" s="1">
        <f t="shared" si="52"/>
        <v>0</v>
      </c>
      <c r="AC92" s="357" t="e">
        <f t="shared" si="53"/>
        <v>#DIV/0!</v>
      </c>
      <c r="AD92" s="877"/>
      <c r="AE92" s="878"/>
      <c r="AF92" s="878"/>
      <c r="AG92" s="749"/>
      <c r="AH92" s="749"/>
      <c r="AI92" s="879"/>
    </row>
    <row r="93" spans="1:35" ht="21" customHeight="1" x14ac:dyDescent="0.35">
      <c r="A93" s="58"/>
      <c r="H93" s="442"/>
      <c r="N93" s="888" t="s">
        <v>145</v>
      </c>
      <c r="O93" s="888"/>
      <c r="P93" s="888"/>
      <c r="Q93" s="888"/>
      <c r="R93" s="431" t="s">
        <v>146</v>
      </c>
      <c r="S93" s="431"/>
      <c r="T93" s="431"/>
      <c r="U93" s="431"/>
      <c r="V93" s="431"/>
      <c r="W93" s="431"/>
      <c r="X93" s="431"/>
      <c r="Y93" s="431"/>
      <c r="Z93" s="431"/>
      <c r="AA93" s="431"/>
      <c r="AB93" s="431"/>
      <c r="AC93" s="431"/>
      <c r="AD93" s="880" t="s">
        <v>132</v>
      </c>
      <c r="AE93" s="881"/>
      <c r="AF93" s="881"/>
      <c r="AG93" s="881"/>
      <c r="AH93" s="881"/>
      <c r="AI93" s="882"/>
    </row>
    <row r="94" spans="1:35" ht="31.5" customHeight="1" x14ac:dyDescent="0.35">
      <c r="A94" s="378" t="s">
        <v>147</v>
      </c>
      <c r="C94" s="885" t="s">
        <v>128</v>
      </c>
      <c r="D94" s="885"/>
      <c r="E94" s="885"/>
      <c r="F94" s="885"/>
      <c r="H94" s="442"/>
      <c r="J94" s="444"/>
      <c r="K94" s="445" t="s">
        <v>35</v>
      </c>
      <c r="L94" s="445" t="s">
        <v>148</v>
      </c>
      <c r="N94" s="446" t="s">
        <v>149</v>
      </c>
      <c r="O94" s="447" t="s">
        <v>150</v>
      </c>
      <c r="P94" s="447" t="s">
        <v>138</v>
      </c>
      <c r="Q94" s="447" t="s">
        <v>151</v>
      </c>
      <c r="R94" s="749" t="s">
        <v>152</v>
      </c>
      <c r="S94" s="749"/>
      <c r="T94" s="883" t="s">
        <v>153</v>
      </c>
      <c r="U94" s="883"/>
      <c r="W94" s="425" t="s">
        <v>154</v>
      </c>
      <c r="X94" s="425"/>
      <c r="Y94" s="425"/>
      <c r="Z94" s="425"/>
      <c r="AA94" s="425"/>
      <c r="AB94" s="425"/>
      <c r="AC94" s="425"/>
      <c r="AD94" s="868" t="s">
        <v>160</v>
      </c>
      <c r="AE94" s="869"/>
      <c r="AF94" s="869"/>
      <c r="AG94" s="869"/>
      <c r="AH94" s="869"/>
      <c r="AI94" s="870"/>
    </row>
    <row r="95" spans="1:35" ht="18" customHeight="1" thickBot="1" x14ac:dyDescent="0.3">
      <c r="A95" s="639"/>
      <c r="B95" s="375"/>
      <c r="C95" s="372"/>
      <c r="D95" s="372"/>
      <c r="E95" s="372"/>
      <c r="F95" s="372"/>
      <c r="G95" s="366">
        <f>+(D95-C95)+(F95-E95)</f>
        <v>0</v>
      </c>
      <c r="H95" s="367">
        <f>+G95*1440</f>
        <v>0</v>
      </c>
      <c r="I95" s="859" t="s">
        <v>155</v>
      </c>
      <c r="J95" s="860"/>
      <c r="K95" s="373"/>
      <c r="L95" s="374"/>
      <c r="M95" s="423"/>
      <c r="N95" s="629">
        <f>+J92+L92+K92+K95+L95</f>
        <v>0</v>
      </c>
      <c r="O95" s="368">
        <f>+(Setup_and_Criteria!$K$31+(J92*Setup_and_Criteria!$F$20)+('M1_1-15th'!K92*Setup_and_Criteria!$F$21)+('M1_1-15th'!L92*Setup_and_Criteria!$F$20))+T95+(K95*Setup_and_Criteria!$F$21)+(Setup_and_Criteria!$F$22*'M1_1-15th'!L95)</f>
        <v>75</v>
      </c>
      <c r="P95" s="367">
        <f>+H95</f>
        <v>0</v>
      </c>
      <c r="Q95" s="367">
        <f>+O95-P95</f>
        <v>75</v>
      </c>
      <c r="R95" s="861" t="s">
        <v>252</v>
      </c>
      <c r="S95" s="861"/>
      <c r="T95" s="862"/>
      <c r="U95" s="863"/>
      <c r="V95" s="265" t="s">
        <v>156</v>
      </c>
      <c r="W95" s="854"/>
      <c r="X95" s="855"/>
      <c r="Y95" s="855"/>
      <c r="Z95" s="855"/>
      <c r="AA95" s="855"/>
      <c r="AB95" s="855"/>
      <c r="AC95" s="855"/>
      <c r="AD95" s="868"/>
      <c r="AE95" s="869"/>
      <c r="AF95" s="869"/>
      <c r="AG95" s="869"/>
      <c r="AH95" s="869"/>
      <c r="AI95" s="870"/>
    </row>
    <row r="96" spans="1:35" ht="15.75" thickBot="1" x14ac:dyDescent="0.3">
      <c r="A96" s="449" t="str">
        <f>+A83</f>
        <v>Password to enter data = "Enter Info"</v>
      </c>
      <c r="B96" s="450"/>
      <c r="C96" s="451"/>
      <c r="D96" s="451"/>
      <c r="E96" s="451"/>
      <c r="F96" s="451"/>
      <c r="G96" s="451"/>
      <c r="H96" s="451"/>
      <c r="I96" s="450"/>
      <c r="J96" s="451"/>
      <c r="K96" s="451"/>
      <c r="L96" s="451"/>
      <c r="M96" s="451"/>
      <c r="N96" s="451"/>
      <c r="O96" s="451"/>
      <c r="P96" s="451"/>
      <c r="Q96" s="450"/>
      <c r="R96" s="451"/>
      <c r="S96" s="451"/>
      <c r="T96" s="451"/>
      <c r="U96" s="451"/>
      <c r="V96" s="451"/>
      <c r="W96" s="451"/>
      <c r="X96" s="451"/>
      <c r="Y96" s="451"/>
      <c r="Z96" s="451"/>
      <c r="AA96" s="451"/>
      <c r="AB96" s="450"/>
      <c r="AC96" s="450"/>
      <c r="AD96" s="871"/>
      <c r="AE96" s="872"/>
      <c r="AF96" s="872"/>
      <c r="AG96" s="872"/>
      <c r="AH96" s="872"/>
      <c r="AI96" s="873"/>
    </row>
    <row r="97" spans="1:35" ht="35.25" customHeight="1" x14ac:dyDescent="0.4">
      <c r="A97" s="434" t="str">
        <f>+A84</f>
        <v>June</v>
      </c>
      <c r="B97" s="624">
        <f>+B84+1</f>
        <v>8</v>
      </c>
      <c r="C97" s="884" t="s">
        <v>128</v>
      </c>
      <c r="D97" s="884"/>
      <c r="E97" s="884"/>
      <c r="F97" s="884"/>
      <c r="G97" s="377"/>
      <c r="H97" s="377"/>
      <c r="I97" s="21"/>
      <c r="J97" s="874" t="s">
        <v>129</v>
      </c>
      <c r="K97" s="875"/>
      <c r="L97" s="875"/>
      <c r="M97" s="875"/>
      <c r="N97" s="876" t="s">
        <v>130</v>
      </c>
      <c r="O97" s="876"/>
      <c r="P97" s="876"/>
      <c r="Q97" s="876"/>
      <c r="R97" s="424" t="str">
        <f>+R84</f>
        <v xml:space="preserve"> Corrections Tracking - Check out rooms</v>
      </c>
      <c r="S97" s="424"/>
      <c r="T97" s="424"/>
      <c r="U97" s="424"/>
      <c r="V97" s="424"/>
      <c r="W97" s="424"/>
      <c r="X97" s="424"/>
      <c r="Y97" s="424"/>
      <c r="Z97" s="424"/>
      <c r="AA97" s="424"/>
      <c r="AB97" s="424"/>
      <c r="AC97" s="424"/>
      <c r="AD97" s="461" t="s">
        <v>132</v>
      </c>
      <c r="AE97" s="426"/>
      <c r="AF97" s="426"/>
      <c r="AG97" s="426"/>
      <c r="AH97" s="426"/>
      <c r="AI97" s="427"/>
    </row>
    <row r="98" spans="1:35" ht="59.25" customHeight="1" x14ac:dyDescent="0.25">
      <c r="A98" s="378" t="s">
        <v>133</v>
      </c>
      <c r="C98" s="435" t="s">
        <v>134</v>
      </c>
      <c r="D98" s="435" t="s">
        <v>135</v>
      </c>
      <c r="E98" s="435" t="s">
        <v>134</v>
      </c>
      <c r="F98" s="435" t="s">
        <v>135</v>
      </c>
      <c r="G98" s="1" t="s">
        <v>136</v>
      </c>
      <c r="H98" s="1" t="s">
        <v>108</v>
      </c>
      <c r="I98" s="436"/>
      <c r="J98" s="437" t="str">
        <f>+Setup_and_Criteria!$B$13</f>
        <v>Checkouts</v>
      </c>
      <c r="K98" s="437" t="str">
        <f>+Setup_and_Criteria!$B$14</f>
        <v>Pet Rooms</v>
      </c>
      <c r="L98" s="437" t="str">
        <f>+Setup_and_Criteria!$B$15</f>
        <v>2 Rm &amp; Jac Stes</v>
      </c>
      <c r="M98" s="438" t="str">
        <f>+Setup_and_Criteria!$B$16</f>
        <v>Stayovers</v>
      </c>
      <c r="N98" s="269" t="s">
        <v>137</v>
      </c>
      <c r="O98" s="269" t="s">
        <v>138</v>
      </c>
      <c r="P98" s="439" t="s">
        <v>139</v>
      </c>
      <c r="Q98" s="439" t="s">
        <v>140</v>
      </c>
      <c r="R98" s="440" t="str">
        <f>+Corrections!$C$8</f>
        <v>Vanity</v>
      </c>
      <c r="S98" s="440" t="str">
        <f>+Corrections!$I$8</f>
        <v>Toilet</v>
      </c>
      <c r="T98" s="440" t="str">
        <f>+Corrections!$O$8</f>
        <v>Bed/Pillows</v>
      </c>
      <c r="U98" s="440" t="str">
        <f>+Corrections!$U$8</f>
        <v>Floor</v>
      </c>
      <c r="V98" s="440" t="str">
        <f>+Corrections!$AA$8</f>
        <v>Dusting</v>
      </c>
      <c r="W98" s="440" t="str">
        <f>+Corrections!$AG$8</f>
        <v>Fridge/Micro</v>
      </c>
      <c r="X98" s="440" t="str">
        <f>+Corrections!$AM$8</f>
        <v>Tub</v>
      </c>
      <c r="Y98" s="441" t="str">
        <f>+Corrections!$AS$8</f>
        <v>Mirrors/Glass</v>
      </c>
      <c r="Z98" s="440" t="str">
        <f>+Corrections!$AY$8</f>
        <v>Stocking</v>
      </c>
      <c r="AA98" s="440" t="str">
        <f>+Corrections!$BE$8</f>
        <v>Other</v>
      </c>
      <c r="AB98" s="269" t="s">
        <v>141</v>
      </c>
      <c r="AC98" s="269" t="str">
        <f>+$AC$7</f>
        <v>Daily Corr / Inspected Checkout</v>
      </c>
      <c r="AD98" s="889" t="s">
        <v>143</v>
      </c>
      <c r="AE98" s="890"/>
      <c r="AF98" s="890"/>
      <c r="AG98" s="890"/>
      <c r="AH98" s="890"/>
      <c r="AI98" s="891"/>
    </row>
    <row r="99" spans="1:35" x14ac:dyDescent="0.25">
      <c r="A99" s="638"/>
      <c r="C99" s="369"/>
      <c r="D99" s="369"/>
      <c r="E99" s="369"/>
      <c r="F99" s="369"/>
      <c r="G99" s="264">
        <f t="shared" ref="G99:G104" si="56">+(D99-C99)+(F99-E99)</f>
        <v>0</v>
      </c>
      <c r="H99" s="442">
        <f t="shared" ref="H99:H104" si="57">+G99*1440</f>
        <v>0</v>
      </c>
      <c r="J99" s="630"/>
      <c r="K99" s="630"/>
      <c r="L99" s="630"/>
      <c r="M99" s="630"/>
      <c r="N99" s="1">
        <f>IF(C99&gt;0,((J99*Setup_and_Criteria!$F$13)+('M1_1-15th'!K99*Setup_and_Criteria!$F$14)+('M1_1-15th'!L99*Setup_and_Criteria!$F$15)+('M1_1-15th'!M99*Setup_and_Criteria!$F$16)+Setup_and_Criteria!$J$16),0)</f>
        <v>0</v>
      </c>
      <c r="O99" s="442">
        <f>+H99</f>
        <v>0</v>
      </c>
      <c r="P99" s="443">
        <f t="shared" ref="P99:P105" si="58">+N99-O99</f>
        <v>0</v>
      </c>
      <c r="Q99" s="357" t="e">
        <f t="shared" ref="Q99:Q105" si="59">O99/_xlfn.SINGLE(SUM(J99:M99))</f>
        <v>#DIV/0!</v>
      </c>
      <c r="R99" s="630"/>
      <c r="S99" s="630"/>
      <c r="T99" s="630"/>
      <c r="U99" s="630"/>
      <c r="V99" s="630"/>
      <c r="W99" s="630"/>
      <c r="X99" s="630"/>
      <c r="Y99" s="630"/>
      <c r="Z99" s="630"/>
      <c r="AA99" s="630"/>
      <c r="AB99" s="1">
        <f t="shared" ref="AB99:AB105" si="60">SUM(R99:AA99)</f>
        <v>0</v>
      </c>
      <c r="AC99" s="357" t="e">
        <f t="shared" ref="AC99:AC105" si="61">+AB99/(J99+K99+L99)</f>
        <v>#DIV/0!</v>
      </c>
      <c r="AD99" s="864" t="s">
        <v>144</v>
      </c>
      <c r="AE99" s="865"/>
      <c r="AF99" s="865"/>
      <c r="AG99" s="866"/>
      <c r="AH99" s="866"/>
      <c r="AI99" s="867"/>
    </row>
    <row r="100" spans="1:35" x14ac:dyDescent="0.25">
      <c r="A100" s="638"/>
      <c r="C100" s="630"/>
      <c r="D100" s="630"/>
      <c r="E100" s="630"/>
      <c r="F100" s="630"/>
      <c r="G100" s="264">
        <f t="shared" si="56"/>
        <v>0</v>
      </c>
      <c r="H100" s="442">
        <f t="shared" si="57"/>
        <v>0</v>
      </c>
      <c r="J100" s="630"/>
      <c r="K100" s="630"/>
      <c r="L100" s="630"/>
      <c r="M100" s="630"/>
      <c r="N100" s="1">
        <f>IF(C100&gt;0,((J100*Setup_and_Criteria!$F$13)+('M1_1-15th'!K100*Setup_and_Criteria!$F$14)+('M1_1-15th'!L100*Setup_and_Criteria!$F$15)+('M1_1-15th'!M100*Setup_and_Criteria!$F$16)+Setup_and_Criteria!$J$16),0)</f>
        <v>0</v>
      </c>
      <c r="O100" s="442">
        <f t="shared" ref="O100:O105" si="62">+H100</f>
        <v>0</v>
      </c>
      <c r="P100" s="443">
        <f t="shared" si="58"/>
        <v>0</v>
      </c>
      <c r="Q100" s="357" t="e">
        <f t="shared" si="59"/>
        <v>#DIV/0!</v>
      </c>
      <c r="R100" s="630"/>
      <c r="S100" s="630"/>
      <c r="T100" s="630"/>
      <c r="U100" s="630"/>
      <c r="V100" s="630"/>
      <c r="W100" s="630"/>
      <c r="X100" s="630"/>
      <c r="Y100" s="630"/>
      <c r="Z100" s="630"/>
      <c r="AA100" s="630"/>
      <c r="AB100" s="1">
        <f t="shared" si="60"/>
        <v>0</v>
      </c>
      <c r="AC100" s="357" t="e">
        <f t="shared" si="61"/>
        <v>#DIV/0!</v>
      </c>
      <c r="AD100" s="864"/>
      <c r="AE100" s="865"/>
      <c r="AF100" s="865"/>
      <c r="AG100" s="866"/>
      <c r="AH100" s="866"/>
      <c r="AI100" s="867"/>
    </row>
    <row r="101" spans="1:35" x14ac:dyDescent="0.25">
      <c r="A101" s="638"/>
      <c r="C101" s="630"/>
      <c r="D101" s="630"/>
      <c r="E101" s="630"/>
      <c r="F101" s="630"/>
      <c r="G101" s="264">
        <f t="shared" si="56"/>
        <v>0</v>
      </c>
      <c r="H101" s="442">
        <f t="shared" si="57"/>
        <v>0</v>
      </c>
      <c r="J101" s="630"/>
      <c r="K101" s="630"/>
      <c r="L101" s="630"/>
      <c r="M101" s="630"/>
      <c r="N101" s="1">
        <f>IF(C101&gt;0,((J101*Setup_and_Criteria!$F$13)+('M1_1-15th'!K101*Setup_and_Criteria!$F$14)+('M1_1-15th'!L101*Setup_and_Criteria!$F$15)+('M1_1-15th'!M101*Setup_and_Criteria!$F$16)+Setup_and_Criteria!$J$16),0)</f>
        <v>0</v>
      </c>
      <c r="O101" s="442">
        <f t="shared" si="62"/>
        <v>0</v>
      </c>
      <c r="P101" s="443">
        <f t="shared" si="58"/>
        <v>0</v>
      </c>
      <c r="Q101" s="357" t="e">
        <f t="shared" si="59"/>
        <v>#DIV/0!</v>
      </c>
      <c r="R101" s="630"/>
      <c r="S101" s="630"/>
      <c r="T101" s="630"/>
      <c r="U101" s="630"/>
      <c r="V101" s="630"/>
      <c r="W101" s="630"/>
      <c r="X101" s="630"/>
      <c r="Y101" s="630"/>
      <c r="Z101" s="630"/>
      <c r="AA101" s="630"/>
      <c r="AB101" s="1">
        <f t="shared" si="60"/>
        <v>0</v>
      </c>
      <c r="AC101" s="357" t="e">
        <f t="shared" si="61"/>
        <v>#DIV/0!</v>
      </c>
      <c r="AD101" s="864"/>
      <c r="AE101" s="865"/>
      <c r="AF101" s="865"/>
      <c r="AG101" s="866"/>
      <c r="AH101" s="866"/>
      <c r="AI101" s="867"/>
    </row>
    <row r="102" spans="1:35" x14ac:dyDescent="0.25">
      <c r="A102" s="638"/>
      <c r="C102" s="630"/>
      <c r="D102" s="630"/>
      <c r="E102" s="630"/>
      <c r="F102" s="630"/>
      <c r="G102" s="264">
        <f t="shared" si="56"/>
        <v>0</v>
      </c>
      <c r="H102" s="442">
        <f t="shared" si="57"/>
        <v>0</v>
      </c>
      <c r="J102" s="630"/>
      <c r="K102" s="630"/>
      <c r="L102" s="630"/>
      <c r="M102" s="630"/>
      <c r="N102" s="1">
        <f>IF(C102&gt;0,((J102*Setup_and_Criteria!$F$13)+('M1_1-15th'!K102*Setup_and_Criteria!$F$14)+('M1_1-15th'!L102*Setup_and_Criteria!$F$15)+('M1_1-15th'!M102*Setup_and_Criteria!$F$16)+Setup_and_Criteria!$J$16),0)</f>
        <v>0</v>
      </c>
      <c r="O102" s="442">
        <f t="shared" si="62"/>
        <v>0</v>
      </c>
      <c r="P102" s="443">
        <f t="shared" si="58"/>
        <v>0</v>
      </c>
      <c r="Q102" s="357" t="e">
        <f t="shared" si="59"/>
        <v>#DIV/0!</v>
      </c>
      <c r="R102" s="630"/>
      <c r="S102" s="630"/>
      <c r="T102" s="630"/>
      <c r="U102" s="630"/>
      <c r="V102" s="630"/>
      <c r="W102" s="630"/>
      <c r="X102" s="630"/>
      <c r="Y102" s="630"/>
      <c r="Z102" s="630"/>
      <c r="AA102" s="630"/>
      <c r="AB102" s="1">
        <f t="shared" si="60"/>
        <v>0</v>
      </c>
      <c r="AC102" s="357" t="e">
        <f t="shared" si="61"/>
        <v>#DIV/0!</v>
      </c>
      <c r="AD102" s="864"/>
      <c r="AE102" s="865"/>
      <c r="AF102" s="865"/>
      <c r="AG102" s="866"/>
      <c r="AH102" s="866"/>
      <c r="AI102" s="867"/>
    </row>
    <row r="103" spans="1:35" x14ac:dyDescent="0.25">
      <c r="A103" s="638"/>
      <c r="C103" s="630"/>
      <c r="D103" s="630"/>
      <c r="E103" s="630"/>
      <c r="F103" s="630"/>
      <c r="G103" s="264">
        <f t="shared" si="56"/>
        <v>0</v>
      </c>
      <c r="H103" s="442">
        <f t="shared" si="57"/>
        <v>0</v>
      </c>
      <c r="J103" s="630"/>
      <c r="K103" s="630"/>
      <c r="L103" s="630"/>
      <c r="M103" s="630"/>
      <c r="N103" s="1">
        <f>IF(C103&gt;0,((J103*Setup_and_Criteria!$F$13)+('M1_1-15th'!K103*Setup_and_Criteria!$F$14)+('M1_1-15th'!L103*Setup_and_Criteria!$F$15)+('M1_1-15th'!M103*Setup_and_Criteria!$F$16)+Setup_and_Criteria!$J$16),0)</f>
        <v>0</v>
      </c>
      <c r="O103" s="442">
        <f t="shared" si="62"/>
        <v>0</v>
      </c>
      <c r="P103" s="443">
        <f t="shared" si="58"/>
        <v>0</v>
      </c>
      <c r="Q103" s="357" t="e">
        <f t="shared" si="59"/>
        <v>#DIV/0!</v>
      </c>
      <c r="R103" s="630"/>
      <c r="S103" s="630"/>
      <c r="T103" s="630"/>
      <c r="U103" s="630"/>
      <c r="V103" s="630"/>
      <c r="W103" s="630"/>
      <c r="X103" s="630"/>
      <c r="Y103" s="630"/>
      <c r="Z103" s="630"/>
      <c r="AA103" s="630"/>
      <c r="AB103" s="1">
        <f t="shared" si="60"/>
        <v>0</v>
      </c>
      <c r="AC103" s="357" t="e">
        <f t="shared" si="61"/>
        <v>#DIV/0!</v>
      </c>
      <c r="AD103" s="864"/>
      <c r="AE103" s="865"/>
      <c r="AF103" s="865"/>
      <c r="AG103" s="866"/>
      <c r="AH103" s="866"/>
      <c r="AI103" s="867"/>
    </row>
    <row r="104" spans="1:35" ht="15.75" thickBot="1" x14ac:dyDescent="0.3">
      <c r="A104" s="638"/>
      <c r="C104" s="370"/>
      <c r="D104" s="370"/>
      <c r="E104" s="630"/>
      <c r="F104" s="630"/>
      <c r="G104" s="264">
        <f t="shared" si="56"/>
        <v>0</v>
      </c>
      <c r="H104" s="442">
        <f t="shared" si="57"/>
        <v>0</v>
      </c>
      <c r="J104" s="371"/>
      <c r="K104" s="371"/>
      <c r="L104" s="371"/>
      <c r="M104" s="371"/>
      <c r="N104" s="358">
        <f>IF(C104&gt;0,((J104*Setup_and_Criteria!$F$13)+('M1_1-15th'!K104*Setup_and_Criteria!$F$14)+('M1_1-15th'!L104*Setup_and_Criteria!$F$15)+('M1_1-15th'!M104*Setup_and_Criteria!$F$16)+Setup_and_Criteria!$J$16),0)</f>
        <v>0</v>
      </c>
      <c r="O104" s="359">
        <f t="shared" si="62"/>
        <v>0</v>
      </c>
      <c r="P104" s="383">
        <f t="shared" si="58"/>
        <v>0</v>
      </c>
      <c r="Q104" s="360" t="e">
        <f t="shared" si="59"/>
        <v>#DIV/0!</v>
      </c>
      <c r="R104" s="511"/>
      <c r="S104" s="511"/>
      <c r="T104" s="511"/>
      <c r="U104" s="511"/>
      <c r="V104" s="511"/>
      <c r="W104" s="511"/>
      <c r="X104" s="511"/>
      <c r="Y104" s="511"/>
      <c r="Z104" s="511"/>
      <c r="AA104" s="511"/>
      <c r="AB104" s="1">
        <f t="shared" si="60"/>
        <v>0</v>
      </c>
      <c r="AC104" s="357" t="e">
        <f t="shared" si="61"/>
        <v>#DIV/0!</v>
      </c>
      <c r="AD104" s="864"/>
      <c r="AE104" s="865"/>
      <c r="AF104" s="865"/>
      <c r="AG104" s="866"/>
      <c r="AH104" s="866"/>
      <c r="AI104" s="867"/>
    </row>
    <row r="105" spans="1:35" ht="15.75" thickTop="1" x14ac:dyDescent="0.25">
      <c r="A105" s="58"/>
      <c r="H105" s="442">
        <f>SUM(H99:H104)</f>
        <v>0</v>
      </c>
      <c r="J105" s="1">
        <f>SUM(J99:J104)</f>
        <v>0</v>
      </c>
      <c r="K105" s="1">
        <f>SUM(K99:K104)</f>
        <v>0</v>
      </c>
      <c r="L105" s="1">
        <f>SUM(L99:L104)</f>
        <v>0</v>
      </c>
      <c r="M105" s="1">
        <f>SUM(M99:M104)</f>
        <v>0</v>
      </c>
      <c r="N105" s="1">
        <f>SUM(N99:N104)</f>
        <v>0</v>
      </c>
      <c r="O105" s="1">
        <f t="shared" si="62"/>
        <v>0</v>
      </c>
      <c r="P105" s="443">
        <f t="shared" si="58"/>
        <v>0</v>
      </c>
      <c r="Q105" s="357" t="e">
        <f t="shared" si="59"/>
        <v>#DIV/0!</v>
      </c>
      <c r="R105" s="1">
        <f t="shared" ref="R105:AA105" si="63">SUM(R99:R104)</f>
        <v>0</v>
      </c>
      <c r="S105" s="1">
        <f t="shared" si="63"/>
        <v>0</v>
      </c>
      <c r="T105" s="1">
        <f t="shared" si="63"/>
        <v>0</v>
      </c>
      <c r="U105" s="1">
        <f t="shared" si="63"/>
        <v>0</v>
      </c>
      <c r="V105" s="1">
        <f t="shared" si="63"/>
        <v>0</v>
      </c>
      <c r="W105" s="1">
        <f t="shared" si="63"/>
        <v>0</v>
      </c>
      <c r="X105" s="1">
        <f t="shared" si="63"/>
        <v>0</v>
      </c>
      <c r="Y105" s="1">
        <f t="shared" si="63"/>
        <v>0</v>
      </c>
      <c r="Z105" s="1">
        <f t="shared" si="63"/>
        <v>0</v>
      </c>
      <c r="AA105" s="1">
        <f t="shared" si="63"/>
        <v>0</v>
      </c>
      <c r="AB105" s="1">
        <f t="shared" si="60"/>
        <v>0</v>
      </c>
      <c r="AC105" s="357" t="e">
        <f t="shared" si="61"/>
        <v>#DIV/0!</v>
      </c>
      <c r="AD105" s="877"/>
      <c r="AE105" s="878"/>
      <c r="AF105" s="878"/>
      <c r="AG105" s="749"/>
      <c r="AH105" s="749"/>
      <c r="AI105" s="879"/>
    </row>
    <row r="106" spans="1:35" ht="21" customHeight="1" x14ac:dyDescent="0.35">
      <c r="A106" s="58"/>
      <c r="H106" s="442"/>
      <c r="N106" s="888" t="s">
        <v>145</v>
      </c>
      <c r="O106" s="888"/>
      <c r="P106" s="888"/>
      <c r="Q106" s="888"/>
      <c r="R106" s="431" t="s">
        <v>146</v>
      </c>
      <c r="S106" s="431"/>
      <c r="T106" s="431"/>
      <c r="U106" s="431"/>
      <c r="V106" s="431"/>
      <c r="W106" s="431"/>
      <c r="X106" s="431"/>
      <c r="Y106" s="431"/>
      <c r="Z106" s="431"/>
      <c r="AA106" s="431"/>
      <c r="AB106" s="431"/>
      <c r="AC106" s="431"/>
      <c r="AD106" s="880" t="s">
        <v>132</v>
      </c>
      <c r="AE106" s="881"/>
      <c r="AF106" s="881"/>
      <c r="AG106" s="881"/>
      <c r="AH106" s="881"/>
      <c r="AI106" s="882"/>
    </row>
    <row r="107" spans="1:35" ht="31.5" customHeight="1" x14ac:dyDescent="0.35">
      <c r="A107" s="378" t="s">
        <v>147</v>
      </c>
      <c r="C107" s="885" t="s">
        <v>128</v>
      </c>
      <c r="D107" s="885"/>
      <c r="E107" s="885"/>
      <c r="F107" s="885"/>
      <c r="H107" s="442"/>
      <c r="J107" s="444"/>
      <c r="K107" s="445" t="s">
        <v>35</v>
      </c>
      <c r="L107" s="445" t="s">
        <v>148</v>
      </c>
      <c r="N107" s="446" t="s">
        <v>149</v>
      </c>
      <c r="O107" s="447" t="s">
        <v>150</v>
      </c>
      <c r="P107" s="447" t="s">
        <v>138</v>
      </c>
      <c r="Q107" s="447" t="s">
        <v>151</v>
      </c>
      <c r="R107" s="749" t="s">
        <v>152</v>
      </c>
      <c r="S107" s="749"/>
      <c r="T107" s="883" t="s">
        <v>153</v>
      </c>
      <c r="U107" s="883"/>
      <c r="W107" s="425" t="s">
        <v>154</v>
      </c>
      <c r="X107" s="425"/>
      <c r="Y107" s="425"/>
      <c r="Z107" s="425"/>
      <c r="AA107" s="425"/>
      <c r="AB107" s="425"/>
      <c r="AC107" s="425"/>
      <c r="AD107" s="868" t="s">
        <v>160</v>
      </c>
      <c r="AE107" s="869"/>
      <c r="AF107" s="869"/>
      <c r="AG107" s="869"/>
      <c r="AH107" s="869"/>
      <c r="AI107" s="870"/>
    </row>
    <row r="108" spans="1:35" ht="18" customHeight="1" thickBot="1" x14ac:dyDescent="0.3">
      <c r="A108" s="639"/>
      <c r="B108" s="364"/>
      <c r="C108" s="372"/>
      <c r="D108" s="372"/>
      <c r="E108" s="372"/>
      <c r="F108" s="372"/>
      <c r="G108" s="366">
        <f>+(D108-C108)+(F108-E108)</f>
        <v>0</v>
      </c>
      <c r="H108" s="367">
        <f>+G108*1440</f>
        <v>0</v>
      </c>
      <c r="I108" s="859" t="s">
        <v>155</v>
      </c>
      <c r="J108" s="860"/>
      <c r="K108" s="373"/>
      <c r="L108" s="374"/>
      <c r="M108" s="423"/>
      <c r="N108" s="629">
        <f>+J105+L105+K105+K108+L108</f>
        <v>0</v>
      </c>
      <c r="O108" s="368">
        <f>+(Setup_and_Criteria!$K$31+(J105*Setup_and_Criteria!$F$20)+('M1_1-15th'!K105*Setup_and_Criteria!$F$21)+('M1_1-15th'!L105*Setup_and_Criteria!$F$20))+T108+(K108*Setup_and_Criteria!$F$21)+(Setup_and_Criteria!$F$22*'M1_1-15th'!L108)</f>
        <v>75</v>
      </c>
      <c r="P108" s="367">
        <f>+H108</f>
        <v>0</v>
      </c>
      <c r="Q108" s="367">
        <f>+O108-P108</f>
        <v>75</v>
      </c>
      <c r="R108" s="861" t="s">
        <v>252</v>
      </c>
      <c r="S108" s="861"/>
      <c r="T108" s="862"/>
      <c r="U108" s="863"/>
      <c r="V108" s="265" t="s">
        <v>156</v>
      </c>
      <c r="W108" s="854"/>
      <c r="X108" s="855"/>
      <c r="Y108" s="855"/>
      <c r="Z108" s="855"/>
      <c r="AA108" s="855"/>
      <c r="AB108" s="855"/>
      <c r="AC108" s="855"/>
      <c r="AD108" s="868"/>
      <c r="AE108" s="869"/>
      <c r="AF108" s="869"/>
      <c r="AG108" s="869"/>
      <c r="AH108" s="869"/>
      <c r="AI108" s="870"/>
    </row>
    <row r="109" spans="1:35" ht="15.75" thickBot="1" x14ac:dyDescent="0.3">
      <c r="A109" s="449" t="str">
        <f>+A96</f>
        <v>Password to enter data = "Enter Info"</v>
      </c>
      <c r="B109" s="450"/>
      <c r="C109" s="451"/>
      <c r="D109" s="451"/>
      <c r="E109" s="451"/>
      <c r="F109" s="451"/>
      <c r="G109" s="451"/>
      <c r="H109" s="451"/>
      <c r="I109" s="450"/>
      <c r="J109" s="451"/>
      <c r="K109" s="451"/>
      <c r="L109" s="451"/>
      <c r="M109" s="451"/>
      <c r="N109" s="451"/>
      <c r="O109" s="451"/>
      <c r="P109" s="451"/>
      <c r="Q109" s="450"/>
      <c r="R109" s="451"/>
      <c r="S109" s="451"/>
      <c r="T109" s="451"/>
      <c r="U109" s="451"/>
      <c r="V109" s="451"/>
      <c r="W109" s="451"/>
      <c r="X109" s="451"/>
      <c r="Y109" s="451"/>
      <c r="Z109" s="451"/>
      <c r="AA109" s="451"/>
      <c r="AB109" s="450"/>
      <c r="AC109" s="450"/>
      <c r="AD109" s="871"/>
      <c r="AE109" s="872"/>
      <c r="AF109" s="872"/>
      <c r="AG109" s="872"/>
      <c r="AH109" s="872"/>
      <c r="AI109" s="873"/>
    </row>
    <row r="110" spans="1:35" ht="35.25" customHeight="1" x14ac:dyDescent="0.4">
      <c r="A110" s="434" t="str">
        <f>+A97</f>
        <v>June</v>
      </c>
      <c r="B110" s="624">
        <f>+B97+1</f>
        <v>9</v>
      </c>
      <c r="C110" s="884" t="s">
        <v>128</v>
      </c>
      <c r="D110" s="884"/>
      <c r="E110" s="884"/>
      <c r="F110" s="884"/>
      <c r="G110" s="377"/>
      <c r="H110" s="377"/>
      <c r="I110" s="21"/>
      <c r="J110" s="874" t="s">
        <v>129</v>
      </c>
      <c r="K110" s="875"/>
      <c r="L110" s="875"/>
      <c r="M110" s="875"/>
      <c r="N110" s="876" t="s">
        <v>130</v>
      </c>
      <c r="O110" s="876"/>
      <c r="P110" s="876"/>
      <c r="Q110" s="876"/>
      <c r="R110" s="424" t="str">
        <f>+R97</f>
        <v xml:space="preserve"> Corrections Tracking - Check out rooms</v>
      </c>
      <c r="S110" s="424"/>
      <c r="T110" s="424"/>
      <c r="U110" s="424"/>
      <c r="V110" s="424"/>
      <c r="W110" s="424"/>
      <c r="X110" s="424"/>
      <c r="Y110" s="424"/>
      <c r="Z110" s="424"/>
      <c r="AA110" s="424"/>
      <c r="AB110" s="424"/>
      <c r="AC110" s="424"/>
      <c r="AD110" s="461" t="s">
        <v>132</v>
      </c>
      <c r="AE110" s="426"/>
      <c r="AF110" s="426"/>
      <c r="AG110" s="426"/>
      <c r="AH110" s="426"/>
      <c r="AI110" s="427"/>
    </row>
    <row r="111" spans="1:35" ht="59.25" customHeight="1" x14ac:dyDescent="0.25">
      <c r="A111" s="378" t="s">
        <v>133</v>
      </c>
      <c r="C111" s="435" t="s">
        <v>134</v>
      </c>
      <c r="D111" s="435" t="s">
        <v>135</v>
      </c>
      <c r="E111" s="435" t="s">
        <v>134</v>
      </c>
      <c r="F111" s="435" t="s">
        <v>135</v>
      </c>
      <c r="G111" s="1" t="s">
        <v>136</v>
      </c>
      <c r="H111" s="1" t="s">
        <v>108</v>
      </c>
      <c r="I111" s="436"/>
      <c r="J111" s="437" t="str">
        <f>+Setup_and_Criteria!$B$13</f>
        <v>Checkouts</v>
      </c>
      <c r="K111" s="437" t="str">
        <f>+Setup_and_Criteria!$B$14</f>
        <v>Pet Rooms</v>
      </c>
      <c r="L111" s="437" t="str">
        <f>+Setup_and_Criteria!$B$15</f>
        <v>2 Rm &amp; Jac Stes</v>
      </c>
      <c r="M111" s="438" t="str">
        <f>+Setup_and_Criteria!$B$16</f>
        <v>Stayovers</v>
      </c>
      <c r="N111" s="269" t="s">
        <v>137</v>
      </c>
      <c r="O111" s="269" t="s">
        <v>138</v>
      </c>
      <c r="P111" s="439" t="s">
        <v>139</v>
      </c>
      <c r="Q111" s="439" t="s">
        <v>140</v>
      </c>
      <c r="R111" s="440" t="str">
        <f>+Corrections!$C$8</f>
        <v>Vanity</v>
      </c>
      <c r="S111" s="440" t="str">
        <f>+Corrections!$I$8</f>
        <v>Toilet</v>
      </c>
      <c r="T111" s="440" t="str">
        <f>+Corrections!$O$8</f>
        <v>Bed/Pillows</v>
      </c>
      <c r="U111" s="440" t="str">
        <f>+Corrections!$U$8</f>
        <v>Floor</v>
      </c>
      <c r="V111" s="440" t="str">
        <f>+Corrections!$AA$8</f>
        <v>Dusting</v>
      </c>
      <c r="W111" s="440" t="str">
        <f>+Corrections!$AG$8</f>
        <v>Fridge/Micro</v>
      </c>
      <c r="X111" s="440" t="str">
        <f>+Corrections!$AM$8</f>
        <v>Tub</v>
      </c>
      <c r="Y111" s="441" t="str">
        <f>+Corrections!$AS$8</f>
        <v>Mirrors/Glass</v>
      </c>
      <c r="Z111" s="440" t="str">
        <f>+Corrections!$AY$8</f>
        <v>Stocking</v>
      </c>
      <c r="AA111" s="440" t="str">
        <f>+Corrections!$BE$8</f>
        <v>Other</v>
      </c>
      <c r="AB111" s="269" t="s">
        <v>141</v>
      </c>
      <c r="AC111" s="269" t="str">
        <f>+$AC$7</f>
        <v>Daily Corr / Inspected Checkout</v>
      </c>
      <c r="AD111" s="889" t="s">
        <v>143</v>
      </c>
      <c r="AE111" s="890"/>
      <c r="AF111" s="890"/>
      <c r="AG111" s="890"/>
      <c r="AH111" s="890"/>
      <c r="AI111" s="891"/>
    </row>
    <row r="112" spans="1:35" x14ac:dyDescent="0.25">
      <c r="A112" s="638"/>
      <c r="C112" s="369"/>
      <c r="D112" s="369"/>
      <c r="E112" s="369"/>
      <c r="F112" s="369"/>
      <c r="G112" s="264">
        <f t="shared" ref="G112:G117" si="64">+(D112-C112)+(F112-E112)</f>
        <v>0</v>
      </c>
      <c r="H112" s="442">
        <f t="shared" ref="H112:H117" si="65">+G112*1440</f>
        <v>0</v>
      </c>
      <c r="J112" s="630"/>
      <c r="K112" s="630"/>
      <c r="L112" s="630"/>
      <c r="M112" s="630"/>
      <c r="N112" s="1">
        <f>IF(C112&gt;0,((J112*Setup_and_Criteria!$F$13)+('M1_1-15th'!K112*Setup_and_Criteria!$F$14)+('M1_1-15th'!L112*Setup_and_Criteria!$F$15)+('M1_1-15th'!M112*Setup_and_Criteria!$F$16)+Setup_and_Criteria!$J$16),0)</f>
        <v>0</v>
      </c>
      <c r="O112" s="442">
        <f>+H112</f>
        <v>0</v>
      </c>
      <c r="P112" s="443">
        <f t="shared" ref="P112:P118" si="66">+N112-O112</f>
        <v>0</v>
      </c>
      <c r="Q112" s="357" t="e">
        <f t="shared" ref="Q112:Q118" si="67">O112/_xlfn.SINGLE(SUM(J112:M112))</f>
        <v>#DIV/0!</v>
      </c>
      <c r="R112" s="630"/>
      <c r="S112" s="630"/>
      <c r="T112" s="630"/>
      <c r="U112" s="630"/>
      <c r="V112" s="630"/>
      <c r="W112" s="630"/>
      <c r="X112" s="630"/>
      <c r="Y112" s="630"/>
      <c r="Z112" s="630"/>
      <c r="AA112" s="630"/>
      <c r="AB112" s="1">
        <f t="shared" ref="AB112:AB118" si="68">SUM(R112:AA112)</f>
        <v>0</v>
      </c>
      <c r="AC112" s="357" t="e">
        <f t="shared" ref="AC112:AC118" si="69">+AB112/(J112+K112+L112)</f>
        <v>#DIV/0!</v>
      </c>
      <c r="AD112" s="864" t="s">
        <v>144</v>
      </c>
      <c r="AE112" s="865"/>
      <c r="AF112" s="865"/>
      <c r="AG112" s="866"/>
      <c r="AH112" s="866"/>
      <c r="AI112" s="867"/>
    </row>
    <row r="113" spans="1:35" x14ac:dyDescent="0.25">
      <c r="A113" s="638"/>
      <c r="C113" s="630"/>
      <c r="D113" s="630"/>
      <c r="E113" s="630"/>
      <c r="F113" s="630"/>
      <c r="G113" s="264">
        <f t="shared" si="64"/>
        <v>0</v>
      </c>
      <c r="H113" s="442">
        <f t="shared" si="65"/>
        <v>0</v>
      </c>
      <c r="J113" s="630"/>
      <c r="K113" s="630"/>
      <c r="L113" s="630"/>
      <c r="M113" s="630"/>
      <c r="N113" s="1">
        <f>IF(C113&gt;0,((J113*Setup_and_Criteria!$F$13)+('M1_1-15th'!K113*Setup_and_Criteria!$F$14)+('M1_1-15th'!L113*Setup_and_Criteria!$F$15)+('M1_1-15th'!M113*Setup_and_Criteria!$F$16)+Setup_and_Criteria!$J$16),0)</f>
        <v>0</v>
      </c>
      <c r="O113" s="442">
        <f t="shared" ref="O113:O118" si="70">+H113</f>
        <v>0</v>
      </c>
      <c r="P113" s="443">
        <f t="shared" si="66"/>
        <v>0</v>
      </c>
      <c r="Q113" s="357" t="e">
        <f t="shared" si="67"/>
        <v>#DIV/0!</v>
      </c>
      <c r="R113" s="630"/>
      <c r="S113" s="630"/>
      <c r="T113" s="630"/>
      <c r="U113" s="630"/>
      <c r="V113" s="630"/>
      <c r="W113" s="630"/>
      <c r="X113" s="630"/>
      <c r="Y113" s="630"/>
      <c r="Z113" s="630"/>
      <c r="AA113" s="630"/>
      <c r="AB113" s="1">
        <f t="shared" si="68"/>
        <v>0</v>
      </c>
      <c r="AC113" s="357" t="e">
        <f t="shared" si="69"/>
        <v>#DIV/0!</v>
      </c>
      <c r="AD113" s="864"/>
      <c r="AE113" s="865"/>
      <c r="AF113" s="865"/>
      <c r="AG113" s="866"/>
      <c r="AH113" s="866"/>
      <c r="AI113" s="867"/>
    </row>
    <row r="114" spans="1:35" x14ac:dyDescent="0.25">
      <c r="A114" s="638"/>
      <c r="C114" s="630"/>
      <c r="D114" s="630"/>
      <c r="E114" s="630"/>
      <c r="F114" s="630"/>
      <c r="G114" s="264">
        <f t="shared" si="64"/>
        <v>0</v>
      </c>
      <c r="H114" s="442">
        <f t="shared" si="65"/>
        <v>0</v>
      </c>
      <c r="J114" s="630"/>
      <c r="K114" s="630"/>
      <c r="L114" s="630"/>
      <c r="M114" s="630"/>
      <c r="N114" s="1">
        <f>IF(C114&gt;0,((J114*Setup_and_Criteria!$F$13)+('M1_1-15th'!K114*Setup_and_Criteria!$F$14)+('M1_1-15th'!L114*Setup_and_Criteria!$F$15)+('M1_1-15th'!M114*Setup_and_Criteria!$F$16)+Setup_and_Criteria!$J$16),0)</f>
        <v>0</v>
      </c>
      <c r="O114" s="442">
        <f t="shared" si="70"/>
        <v>0</v>
      </c>
      <c r="P114" s="443">
        <f t="shared" si="66"/>
        <v>0</v>
      </c>
      <c r="Q114" s="357" t="e">
        <f t="shared" si="67"/>
        <v>#DIV/0!</v>
      </c>
      <c r="R114" s="630"/>
      <c r="S114" s="630"/>
      <c r="T114" s="630"/>
      <c r="U114" s="630"/>
      <c r="V114" s="630"/>
      <c r="W114" s="630"/>
      <c r="X114" s="630"/>
      <c r="Y114" s="630"/>
      <c r="Z114" s="630"/>
      <c r="AA114" s="630"/>
      <c r="AB114" s="1">
        <f t="shared" si="68"/>
        <v>0</v>
      </c>
      <c r="AC114" s="357" t="e">
        <f t="shared" si="69"/>
        <v>#DIV/0!</v>
      </c>
      <c r="AD114" s="864"/>
      <c r="AE114" s="865"/>
      <c r="AF114" s="865"/>
      <c r="AG114" s="866"/>
      <c r="AH114" s="866"/>
      <c r="AI114" s="867"/>
    </row>
    <row r="115" spans="1:35" x14ac:dyDescent="0.25">
      <c r="A115" s="638"/>
      <c r="C115" s="630"/>
      <c r="D115" s="630"/>
      <c r="E115" s="630"/>
      <c r="F115" s="630"/>
      <c r="G115" s="264">
        <f t="shared" si="64"/>
        <v>0</v>
      </c>
      <c r="H115" s="442">
        <f t="shared" si="65"/>
        <v>0</v>
      </c>
      <c r="J115" s="630"/>
      <c r="K115" s="630"/>
      <c r="L115" s="630"/>
      <c r="M115" s="630"/>
      <c r="N115" s="1">
        <f>IF(C115&gt;0,((J115*Setup_and_Criteria!$F$13)+('M1_1-15th'!K115*Setup_and_Criteria!$F$14)+('M1_1-15th'!L115*Setup_and_Criteria!$F$15)+('M1_1-15th'!M115*Setup_and_Criteria!$F$16)+Setup_and_Criteria!$J$16),0)</f>
        <v>0</v>
      </c>
      <c r="O115" s="442">
        <f t="shared" si="70"/>
        <v>0</v>
      </c>
      <c r="P115" s="443">
        <f t="shared" si="66"/>
        <v>0</v>
      </c>
      <c r="Q115" s="357" t="e">
        <f t="shared" si="67"/>
        <v>#DIV/0!</v>
      </c>
      <c r="R115" s="630"/>
      <c r="S115" s="630"/>
      <c r="T115" s="630"/>
      <c r="U115" s="630"/>
      <c r="V115" s="630"/>
      <c r="W115" s="630"/>
      <c r="X115" s="630"/>
      <c r="Y115" s="630"/>
      <c r="Z115" s="630"/>
      <c r="AA115" s="630"/>
      <c r="AB115" s="1">
        <f t="shared" si="68"/>
        <v>0</v>
      </c>
      <c r="AC115" s="357" t="e">
        <f t="shared" si="69"/>
        <v>#DIV/0!</v>
      </c>
      <c r="AD115" s="864"/>
      <c r="AE115" s="865"/>
      <c r="AF115" s="865"/>
      <c r="AG115" s="866"/>
      <c r="AH115" s="866"/>
      <c r="AI115" s="867"/>
    </row>
    <row r="116" spans="1:35" x14ac:dyDescent="0.25">
      <c r="A116" s="638"/>
      <c r="C116" s="630"/>
      <c r="D116" s="630"/>
      <c r="E116" s="630"/>
      <c r="F116" s="630"/>
      <c r="G116" s="264">
        <f t="shared" si="64"/>
        <v>0</v>
      </c>
      <c r="H116" s="442">
        <f t="shared" si="65"/>
        <v>0</v>
      </c>
      <c r="J116" s="630"/>
      <c r="K116" s="630"/>
      <c r="L116" s="630"/>
      <c r="M116" s="630"/>
      <c r="N116" s="1">
        <f>IF(C116&gt;0,((J116*Setup_and_Criteria!$F$13)+('M1_1-15th'!K116*Setup_and_Criteria!$F$14)+('M1_1-15th'!L116*Setup_and_Criteria!$F$15)+('M1_1-15th'!M116*Setup_and_Criteria!$F$16)+Setup_and_Criteria!$J$16),0)</f>
        <v>0</v>
      </c>
      <c r="O116" s="442">
        <f t="shared" si="70"/>
        <v>0</v>
      </c>
      <c r="P116" s="443">
        <f t="shared" si="66"/>
        <v>0</v>
      </c>
      <c r="Q116" s="357" t="e">
        <f t="shared" si="67"/>
        <v>#DIV/0!</v>
      </c>
      <c r="R116" s="630"/>
      <c r="S116" s="630"/>
      <c r="T116" s="630"/>
      <c r="U116" s="630"/>
      <c r="V116" s="630"/>
      <c r="W116" s="630"/>
      <c r="X116" s="630"/>
      <c r="Y116" s="630"/>
      <c r="Z116" s="630"/>
      <c r="AA116" s="630"/>
      <c r="AB116" s="1">
        <f t="shared" si="68"/>
        <v>0</v>
      </c>
      <c r="AC116" s="357" t="e">
        <f t="shared" si="69"/>
        <v>#DIV/0!</v>
      </c>
      <c r="AD116" s="864"/>
      <c r="AE116" s="865"/>
      <c r="AF116" s="865"/>
      <c r="AG116" s="866"/>
      <c r="AH116" s="866"/>
      <c r="AI116" s="867"/>
    </row>
    <row r="117" spans="1:35" ht="15.75" thickBot="1" x14ac:dyDescent="0.3">
      <c r="A117" s="638"/>
      <c r="C117" s="370"/>
      <c r="D117" s="370"/>
      <c r="E117" s="630"/>
      <c r="F117" s="630"/>
      <c r="G117" s="264">
        <f t="shared" si="64"/>
        <v>0</v>
      </c>
      <c r="H117" s="442">
        <f t="shared" si="65"/>
        <v>0</v>
      </c>
      <c r="J117" s="371"/>
      <c r="K117" s="371"/>
      <c r="L117" s="371"/>
      <c r="M117" s="371"/>
      <c r="N117" s="358">
        <f>IF(C117&gt;0,((J117*Setup_and_Criteria!$F$13)+('M1_1-15th'!K117*Setup_and_Criteria!$F$14)+('M1_1-15th'!L117*Setup_and_Criteria!$F$15)+('M1_1-15th'!M117*Setup_and_Criteria!$F$16)+Setup_and_Criteria!$J$16),0)</f>
        <v>0</v>
      </c>
      <c r="O117" s="359">
        <f t="shared" si="70"/>
        <v>0</v>
      </c>
      <c r="P117" s="383">
        <f t="shared" si="66"/>
        <v>0</v>
      </c>
      <c r="Q117" s="360" t="e">
        <f t="shared" si="67"/>
        <v>#DIV/0!</v>
      </c>
      <c r="R117" s="511"/>
      <c r="S117" s="511"/>
      <c r="T117" s="511"/>
      <c r="U117" s="511"/>
      <c r="V117" s="511"/>
      <c r="W117" s="511"/>
      <c r="X117" s="511"/>
      <c r="Y117" s="511"/>
      <c r="Z117" s="511"/>
      <c r="AA117" s="511"/>
      <c r="AB117" s="1">
        <f t="shared" si="68"/>
        <v>0</v>
      </c>
      <c r="AC117" s="357" t="e">
        <f t="shared" si="69"/>
        <v>#DIV/0!</v>
      </c>
      <c r="AD117" s="864"/>
      <c r="AE117" s="865"/>
      <c r="AF117" s="865"/>
      <c r="AG117" s="866"/>
      <c r="AH117" s="866"/>
      <c r="AI117" s="867"/>
    </row>
    <row r="118" spans="1:35" ht="15.75" thickTop="1" x14ac:dyDescent="0.25">
      <c r="A118" s="58"/>
      <c r="H118" s="442">
        <f>SUM(H112:H117)</f>
        <v>0</v>
      </c>
      <c r="J118" s="1">
        <f>SUM(J112:J117)</f>
        <v>0</v>
      </c>
      <c r="K118" s="1">
        <f>SUM(K112:K117)</f>
        <v>0</v>
      </c>
      <c r="L118" s="1">
        <f>SUM(L112:L117)</f>
        <v>0</v>
      </c>
      <c r="M118" s="1">
        <f>SUM(M112:M117)</f>
        <v>0</v>
      </c>
      <c r="N118" s="1">
        <f>SUM(N112:N117)</f>
        <v>0</v>
      </c>
      <c r="O118" s="1">
        <f t="shared" si="70"/>
        <v>0</v>
      </c>
      <c r="P118" s="443">
        <f t="shared" si="66"/>
        <v>0</v>
      </c>
      <c r="Q118" s="357" t="e">
        <f t="shared" si="67"/>
        <v>#DIV/0!</v>
      </c>
      <c r="R118" s="1">
        <f t="shared" ref="R118:AA118" si="71">SUM(R112:R117)</f>
        <v>0</v>
      </c>
      <c r="S118" s="1">
        <f t="shared" si="71"/>
        <v>0</v>
      </c>
      <c r="T118" s="1">
        <f t="shared" si="71"/>
        <v>0</v>
      </c>
      <c r="U118" s="1">
        <f t="shared" si="71"/>
        <v>0</v>
      </c>
      <c r="V118" s="1">
        <f t="shared" si="71"/>
        <v>0</v>
      </c>
      <c r="W118" s="1">
        <f t="shared" si="71"/>
        <v>0</v>
      </c>
      <c r="X118" s="1">
        <f t="shared" si="71"/>
        <v>0</v>
      </c>
      <c r="Y118" s="1">
        <f t="shared" si="71"/>
        <v>0</v>
      </c>
      <c r="Z118" s="1">
        <f t="shared" si="71"/>
        <v>0</v>
      </c>
      <c r="AA118" s="1">
        <f t="shared" si="71"/>
        <v>0</v>
      </c>
      <c r="AB118" s="1">
        <f t="shared" si="68"/>
        <v>0</v>
      </c>
      <c r="AC118" s="357" t="e">
        <f t="shared" si="69"/>
        <v>#DIV/0!</v>
      </c>
      <c r="AD118" s="877"/>
      <c r="AE118" s="878"/>
      <c r="AF118" s="878"/>
      <c r="AG118" s="749"/>
      <c r="AH118" s="749"/>
      <c r="AI118" s="879"/>
    </row>
    <row r="119" spans="1:35" ht="21" customHeight="1" x14ac:dyDescent="0.35">
      <c r="A119" s="58"/>
      <c r="H119" s="442"/>
      <c r="N119" s="888" t="s">
        <v>145</v>
      </c>
      <c r="O119" s="888"/>
      <c r="P119" s="888"/>
      <c r="Q119" s="888"/>
      <c r="R119" s="431" t="s">
        <v>146</v>
      </c>
      <c r="S119" s="431"/>
      <c r="T119" s="431"/>
      <c r="U119" s="431"/>
      <c r="V119" s="431"/>
      <c r="W119" s="431"/>
      <c r="X119" s="431"/>
      <c r="Y119" s="431"/>
      <c r="Z119" s="431"/>
      <c r="AA119" s="431"/>
      <c r="AB119" s="431"/>
      <c r="AC119" s="431"/>
      <c r="AD119" s="880" t="s">
        <v>132</v>
      </c>
      <c r="AE119" s="881"/>
      <c r="AF119" s="881"/>
      <c r="AG119" s="881"/>
      <c r="AH119" s="881"/>
      <c r="AI119" s="882"/>
    </row>
    <row r="120" spans="1:35" ht="31.5" customHeight="1" x14ac:dyDescent="0.35">
      <c r="A120" s="378" t="s">
        <v>147</v>
      </c>
      <c r="C120" s="885" t="s">
        <v>128</v>
      </c>
      <c r="D120" s="885"/>
      <c r="E120" s="885"/>
      <c r="F120" s="885"/>
      <c r="H120" s="442"/>
      <c r="J120" s="444"/>
      <c r="K120" s="445" t="s">
        <v>35</v>
      </c>
      <c r="L120" s="445" t="s">
        <v>148</v>
      </c>
      <c r="N120" s="446" t="s">
        <v>149</v>
      </c>
      <c r="O120" s="447" t="s">
        <v>150</v>
      </c>
      <c r="P120" s="447" t="s">
        <v>138</v>
      </c>
      <c r="Q120" s="447" t="s">
        <v>151</v>
      </c>
      <c r="R120" s="749" t="s">
        <v>152</v>
      </c>
      <c r="S120" s="749"/>
      <c r="T120" s="883" t="s">
        <v>153</v>
      </c>
      <c r="U120" s="883"/>
      <c r="W120" s="425" t="s">
        <v>154</v>
      </c>
      <c r="X120" s="425"/>
      <c r="Y120" s="425"/>
      <c r="Z120" s="425"/>
      <c r="AA120" s="425"/>
      <c r="AB120" s="425"/>
      <c r="AC120" s="425"/>
      <c r="AD120" s="868" t="s">
        <v>160</v>
      </c>
      <c r="AE120" s="869"/>
      <c r="AF120" s="869"/>
      <c r="AG120" s="869"/>
      <c r="AH120" s="869"/>
      <c r="AI120" s="870"/>
    </row>
    <row r="121" spans="1:35" ht="18" customHeight="1" thickBot="1" x14ac:dyDescent="0.3">
      <c r="A121" s="639"/>
      <c r="B121" s="375"/>
      <c r="C121" s="372"/>
      <c r="D121" s="372"/>
      <c r="E121" s="372"/>
      <c r="F121" s="372"/>
      <c r="G121" s="366">
        <f>+(D121-C121)+(F121-E121)</f>
        <v>0</v>
      </c>
      <c r="H121" s="367">
        <f>+G121*1440</f>
        <v>0</v>
      </c>
      <c r="I121" s="859" t="s">
        <v>155</v>
      </c>
      <c r="J121" s="860"/>
      <c r="K121" s="373"/>
      <c r="L121" s="374"/>
      <c r="M121" s="423"/>
      <c r="N121" s="629">
        <f>+J118+L118+K118+K121+L121</f>
        <v>0</v>
      </c>
      <c r="O121" s="368">
        <f>+(Setup_and_Criteria!$K$31+(J118*Setup_and_Criteria!$F$20)+('M1_1-15th'!K118*Setup_and_Criteria!$F$21)+('M1_1-15th'!L118*Setup_and_Criteria!$F$20))+T121+(K121*Setup_and_Criteria!$F$21)+(Setup_and_Criteria!$F$22*'M1_1-15th'!L121)</f>
        <v>75</v>
      </c>
      <c r="P121" s="367">
        <f>+H121</f>
        <v>0</v>
      </c>
      <c r="Q121" s="367">
        <f>+O121-P121</f>
        <v>75</v>
      </c>
      <c r="R121" s="861" t="s">
        <v>252</v>
      </c>
      <c r="S121" s="861"/>
      <c r="T121" s="862"/>
      <c r="U121" s="863"/>
      <c r="V121" s="265" t="s">
        <v>156</v>
      </c>
      <c r="W121" s="854"/>
      <c r="X121" s="855"/>
      <c r="Y121" s="855"/>
      <c r="Z121" s="855"/>
      <c r="AA121" s="855"/>
      <c r="AB121" s="855"/>
      <c r="AC121" s="855"/>
      <c r="AD121" s="868"/>
      <c r="AE121" s="869"/>
      <c r="AF121" s="869"/>
      <c r="AG121" s="869"/>
      <c r="AH121" s="869"/>
      <c r="AI121" s="870"/>
    </row>
    <row r="122" spans="1:35" ht="15.75" thickBot="1" x14ac:dyDescent="0.3">
      <c r="A122" s="449" t="str">
        <f>+A109</f>
        <v>Password to enter data = "Enter Info"</v>
      </c>
      <c r="B122" s="450"/>
      <c r="C122" s="451"/>
      <c r="D122" s="451"/>
      <c r="E122" s="451"/>
      <c r="F122" s="451"/>
      <c r="G122" s="451"/>
      <c r="H122" s="451"/>
      <c r="I122" s="450"/>
      <c r="J122" s="451"/>
      <c r="K122" s="451"/>
      <c r="L122" s="451"/>
      <c r="M122" s="451"/>
      <c r="N122" s="451"/>
      <c r="O122" s="451"/>
      <c r="P122" s="451"/>
      <c r="Q122" s="450"/>
      <c r="R122" s="451"/>
      <c r="S122" s="451"/>
      <c r="T122" s="451"/>
      <c r="U122" s="451"/>
      <c r="V122" s="451"/>
      <c r="W122" s="451"/>
      <c r="X122" s="451"/>
      <c r="Y122" s="451"/>
      <c r="Z122" s="451"/>
      <c r="AA122" s="451"/>
      <c r="AB122" s="450"/>
      <c r="AC122" s="450"/>
      <c r="AD122" s="871"/>
      <c r="AE122" s="872"/>
      <c r="AF122" s="872"/>
      <c r="AG122" s="872"/>
      <c r="AH122" s="872"/>
      <c r="AI122" s="873"/>
    </row>
    <row r="123" spans="1:35" ht="35.25" customHeight="1" x14ac:dyDescent="0.4">
      <c r="A123" s="434" t="str">
        <f>+A110</f>
        <v>June</v>
      </c>
      <c r="B123" s="624">
        <f>+B110+1</f>
        <v>10</v>
      </c>
      <c r="C123" s="884" t="s">
        <v>128</v>
      </c>
      <c r="D123" s="884"/>
      <c r="E123" s="884"/>
      <c r="F123" s="884"/>
      <c r="G123" s="377"/>
      <c r="H123" s="377"/>
      <c r="I123" s="21"/>
      <c r="J123" s="874" t="s">
        <v>129</v>
      </c>
      <c r="K123" s="875"/>
      <c r="L123" s="875"/>
      <c r="M123" s="875"/>
      <c r="N123" s="876" t="s">
        <v>130</v>
      </c>
      <c r="O123" s="876"/>
      <c r="P123" s="876"/>
      <c r="Q123" s="876"/>
      <c r="R123" s="424" t="str">
        <f>+R110</f>
        <v xml:space="preserve"> Corrections Tracking - Check out rooms</v>
      </c>
      <c r="S123" s="424"/>
      <c r="T123" s="424"/>
      <c r="U123" s="424"/>
      <c r="V123" s="424"/>
      <c r="W123" s="424"/>
      <c r="X123" s="424"/>
      <c r="Y123" s="424"/>
      <c r="Z123" s="424"/>
      <c r="AA123" s="424"/>
      <c r="AB123" s="424"/>
      <c r="AC123" s="424"/>
      <c r="AD123" s="461" t="s">
        <v>132</v>
      </c>
      <c r="AE123" s="426"/>
      <c r="AF123" s="426"/>
      <c r="AG123" s="426"/>
      <c r="AH123" s="426"/>
      <c r="AI123" s="427"/>
    </row>
    <row r="124" spans="1:35" ht="59.25" customHeight="1" x14ac:dyDescent="0.25">
      <c r="A124" s="378" t="s">
        <v>133</v>
      </c>
      <c r="C124" s="435" t="s">
        <v>134</v>
      </c>
      <c r="D124" s="435" t="s">
        <v>135</v>
      </c>
      <c r="E124" s="435" t="s">
        <v>134</v>
      </c>
      <c r="F124" s="435" t="s">
        <v>135</v>
      </c>
      <c r="G124" s="1" t="s">
        <v>136</v>
      </c>
      <c r="H124" s="1" t="s">
        <v>108</v>
      </c>
      <c r="I124" s="436"/>
      <c r="J124" s="437" t="str">
        <f>+Setup_and_Criteria!$B$13</f>
        <v>Checkouts</v>
      </c>
      <c r="K124" s="437" t="str">
        <f>+Setup_and_Criteria!$B$14</f>
        <v>Pet Rooms</v>
      </c>
      <c r="L124" s="437" t="str">
        <f>+Setup_and_Criteria!$B$15</f>
        <v>2 Rm &amp; Jac Stes</v>
      </c>
      <c r="M124" s="438" t="str">
        <f>+Setup_and_Criteria!$B$16</f>
        <v>Stayovers</v>
      </c>
      <c r="N124" s="269" t="s">
        <v>137</v>
      </c>
      <c r="O124" s="269" t="s">
        <v>138</v>
      </c>
      <c r="P124" s="439" t="s">
        <v>139</v>
      </c>
      <c r="Q124" s="439" t="s">
        <v>140</v>
      </c>
      <c r="R124" s="440" t="str">
        <f>+Corrections!$C$8</f>
        <v>Vanity</v>
      </c>
      <c r="S124" s="440" t="str">
        <f>+Corrections!$I$8</f>
        <v>Toilet</v>
      </c>
      <c r="T124" s="440" t="str">
        <f>+Corrections!$O$8</f>
        <v>Bed/Pillows</v>
      </c>
      <c r="U124" s="440" t="str">
        <f>+Corrections!$U$8</f>
        <v>Floor</v>
      </c>
      <c r="V124" s="440" t="str">
        <f>+Corrections!$AA$8</f>
        <v>Dusting</v>
      </c>
      <c r="W124" s="440" t="str">
        <f>+Corrections!$AG$8</f>
        <v>Fridge/Micro</v>
      </c>
      <c r="X124" s="440" t="str">
        <f>+Corrections!$AM$8</f>
        <v>Tub</v>
      </c>
      <c r="Y124" s="441" t="str">
        <f>+Corrections!$AS$8</f>
        <v>Mirrors/Glass</v>
      </c>
      <c r="Z124" s="440" t="str">
        <f>+Corrections!$AY$8</f>
        <v>Stocking</v>
      </c>
      <c r="AA124" s="440" t="str">
        <f>+Corrections!$BE$8</f>
        <v>Other</v>
      </c>
      <c r="AB124" s="269" t="s">
        <v>141</v>
      </c>
      <c r="AC124" s="269" t="str">
        <f>+$AC$7</f>
        <v>Daily Corr / Inspected Checkout</v>
      </c>
      <c r="AD124" s="889" t="s">
        <v>143</v>
      </c>
      <c r="AE124" s="890"/>
      <c r="AF124" s="890"/>
      <c r="AG124" s="890"/>
      <c r="AH124" s="890"/>
      <c r="AI124" s="891"/>
    </row>
    <row r="125" spans="1:35" x14ac:dyDescent="0.25">
      <c r="A125" s="638"/>
      <c r="C125" s="369"/>
      <c r="D125" s="369"/>
      <c r="E125" s="369"/>
      <c r="F125" s="369"/>
      <c r="G125" s="264">
        <f t="shared" ref="G125:G130" si="72">+(D125-C125)+(F125-E125)</f>
        <v>0</v>
      </c>
      <c r="H125" s="442">
        <f t="shared" ref="H125:H130" si="73">+G125*1440</f>
        <v>0</v>
      </c>
      <c r="J125" s="630"/>
      <c r="K125" s="630"/>
      <c r="L125" s="630"/>
      <c r="M125" s="630"/>
      <c r="N125" s="1">
        <f>IF(C125&gt;0,((J125*Setup_and_Criteria!$F$13)+('M1_1-15th'!K125*Setup_and_Criteria!$F$14)+('M1_1-15th'!L125*Setup_and_Criteria!$F$15)+('M1_1-15th'!M125*Setup_and_Criteria!$F$16)+Setup_and_Criteria!$J$16),0)</f>
        <v>0</v>
      </c>
      <c r="O125" s="442">
        <f>+H125</f>
        <v>0</v>
      </c>
      <c r="P125" s="443">
        <f t="shared" ref="P125:P131" si="74">+N125-O125</f>
        <v>0</v>
      </c>
      <c r="Q125" s="357" t="e">
        <f t="shared" ref="Q125:Q131" si="75">O125/_xlfn.SINGLE(SUM(J125:M125))</f>
        <v>#DIV/0!</v>
      </c>
      <c r="R125" s="630"/>
      <c r="S125" s="630"/>
      <c r="T125" s="630"/>
      <c r="U125" s="630"/>
      <c r="V125" s="630"/>
      <c r="W125" s="630"/>
      <c r="X125" s="630"/>
      <c r="Y125" s="630"/>
      <c r="Z125" s="630"/>
      <c r="AA125" s="630"/>
      <c r="AB125" s="1">
        <f t="shared" ref="AB125:AB131" si="76">SUM(R125:AA125)</f>
        <v>0</v>
      </c>
      <c r="AC125" s="357" t="e">
        <f t="shared" ref="AC125:AC131" si="77">+AB125/(J125+K125+L125)</f>
        <v>#DIV/0!</v>
      </c>
      <c r="AD125" s="864" t="s">
        <v>144</v>
      </c>
      <c r="AE125" s="865"/>
      <c r="AF125" s="865"/>
      <c r="AG125" s="866"/>
      <c r="AH125" s="866"/>
      <c r="AI125" s="867"/>
    </row>
    <row r="126" spans="1:35" x14ac:dyDescent="0.25">
      <c r="A126" s="638"/>
      <c r="C126" s="630"/>
      <c r="D126" s="630"/>
      <c r="E126" s="630"/>
      <c r="F126" s="630"/>
      <c r="G126" s="264">
        <f t="shared" si="72"/>
        <v>0</v>
      </c>
      <c r="H126" s="442">
        <f t="shared" si="73"/>
        <v>0</v>
      </c>
      <c r="J126" s="630"/>
      <c r="K126" s="630"/>
      <c r="L126" s="630"/>
      <c r="M126" s="630"/>
      <c r="N126" s="1">
        <f>IF(C126&gt;0,((J126*Setup_and_Criteria!$F$13)+('M1_1-15th'!K126*Setup_and_Criteria!$F$14)+('M1_1-15th'!L126*Setup_and_Criteria!$F$15)+('M1_1-15th'!M126*Setup_and_Criteria!$F$16)+Setup_and_Criteria!$J$16),0)</f>
        <v>0</v>
      </c>
      <c r="O126" s="442">
        <f t="shared" ref="O126:O131" si="78">+H126</f>
        <v>0</v>
      </c>
      <c r="P126" s="443">
        <f t="shared" si="74"/>
        <v>0</v>
      </c>
      <c r="Q126" s="357" t="e">
        <f t="shared" si="75"/>
        <v>#DIV/0!</v>
      </c>
      <c r="R126" s="630"/>
      <c r="S126" s="630"/>
      <c r="T126" s="630"/>
      <c r="U126" s="630"/>
      <c r="V126" s="630"/>
      <c r="W126" s="630"/>
      <c r="X126" s="630"/>
      <c r="Y126" s="630"/>
      <c r="Z126" s="630"/>
      <c r="AA126" s="630"/>
      <c r="AB126" s="1">
        <f t="shared" si="76"/>
        <v>0</v>
      </c>
      <c r="AC126" s="357" t="e">
        <f t="shared" si="77"/>
        <v>#DIV/0!</v>
      </c>
      <c r="AD126" s="864"/>
      <c r="AE126" s="865"/>
      <c r="AF126" s="865"/>
      <c r="AG126" s="866"/>
      <c r="AH126" s="866"/>
      <c r="AI126" s="867"/>
    </row>
    <row r="127" spans="1:35" x14ac:dyDescent="0.25">
      <c r="A127" s="638"/>
      <c r="C127" s="630"/>
      <c r="D127" s="630"/>
      <c r="E127" s="630"/>
      <c r="F127" s="630"/>
      <c r="G127" s="264">
        <f t="shared" si="72"/>
        <v>0</v>
      </c>
      <c r="H127" s="442">
        <f t="shared" si="73"/>
        <v>0</v>
      </c>
      <c r="J127" s="630"/>
      <c r="K127" s="630"/>
      <c r="L127" s="630"/>
      <c r="M127" s="630"/>
      <c r="N127" s="1">
        <f>IF(C127&gt;0,((J127*Setup_and_Criteria!$F$13)+('M1_1-15th'!K127*Setup_and_Criteria!$F$14)+('M1_1-15th'!L127*Setup_and_Criteria!$F$15)+('M1_1-15th'!M127*Setup_and_Criteria!$F$16)+Setup_and_Criteria!$J$16),0)</f>
        <v>0</v>
      </c>
      <c r="O127" s="442">
        <f t="shared" si="78"/>
        <v>0</v>
      </c>
      <c r="P127" s="443">
        <f t="shared" si="74"/>
        <v>0</v>
      </c>
      <c r="Q127" s="357" t="e">
        <f t="shared" si="75"/>
        <v>#DIV/0!</v>
      </c>
      <c r="R127" s="630"/>
      <c r="S127" s="630"/>
      <c r="T127" s="630"/>
      <c r="U127" s="630"/>
      <c r="V127" s="630"/>
      <c r="W127" s="630"/>
      <c r="X127" s="630"/>
      <c r="Y127" s="630"/>
      <c r="Z127" s="630"/>
      <c r="AA127" s="630"/>
      <c r="AB127" s="1">
        <f t="shared" si="76"/>
        <v>0</v>
      </c>
      <c r="AC127" s="357" t="e">
        <f t="shared" si="77"/>
        <v>#DIV/0!</v>
      </c>
      <c r="AD127" s="864"/>
      <c r="AE127" s="865"/>
      <c r="AF127" s="865"/>
      <c r="AG127" s="866"/>
      <c r="AH127" s="866"/>
      <c r="AI127" s="867"/>
    </row>
    <row r="128" spans="1:35" x14ac:dyDescent="0.25">
      <c r="A128" s="638"/>
      <c r="C128" s="630"/>
      <c r="D128" s="630"/>
      <c r="E128" s="630"/>
      <c r="F128" s="630"/>
      <c r="G128" s="264">
        <f t="shared" si="72"/>
        <v>0</v>
      </c>
      <c r="H128" s="442">
        <f t="shared" si="73"/>
        <v>0</v>
      </c>
      <c r="J128" s="630"/>
      <c r="K128" s="630"/>
      <c r="L128" s="630"/>
      <c r="M128" s="630"/>
      <c r="N128" s="1">
        <f>IF(C128&gt;0,((J128*Setup_and_Criteria!$F$13)+('M1_1-15th'!K128*Setup_and_Criteria!$F$14)+('M1_1-15th'!L128*Setup_and_Criteria!$F$15)+('M1_1-15th'!M128*Setup_and_Criteria!$F$16)+Setup_and_Criteria!$J$16),0)</f>
        <v>0</v>
      </c>
      <c r="O128" s="442">
        <f t="shared" si="78"/>
        <v>0</v>
      </c>
      <c r="P128" s="443">
        <f t="shared" si="74"/>
        <v>0</v>
      </c>
      <c r="Q128" s="357" t="e">
        <f t="shared" si="75"/>
        <v>#DIV/0!</v>
      </c>
      <c r="R128" s="630"/>
      <c r="S128" s="630"/>
      <c r="T128" s="630"/>
      <c r="U128" s="630"/>
      <c r="V128" s="630"/>
      <c r="W128" s="630"/>
      <c r="X128" s="630"/>
      <c r="Y128" s="630"/>
      <c r="Z128" s="630"/>
      <c r="AA128" s="630"/>
      <c r="AB128" s="1">
        <f t="shared" si="76"/>
        <v>0</v>
      </c>
      <c r="AC128" s="357" t="e">
        <f t="shared" si="77"/>
        <v>#DIV/0!</v>
      </c>
      <c r="AD128" s="864"/>
      <c r="AE128" s="865"/>
      <c r="AF128" s="865"/>
      <c r="AG128" s="866"/>
      <c r="AH128" s="866"/>
      <c r="AI128" s="867"/>
    </row>
    <row r="129" spans="1:35" x14ac:dyDescent="0.25">
      <c r="A129" s="638"/>
      <c r="C129" s="630"/>
      <c r="D129" s="630"/>
      <c r="E129" s="630"/>
      <c r="F129" s="630"/>
      <c r="G129" s="264">
        <f t="shared" si="72"/>
        <v>0</v>
      </c>
      <c r="H129" s="442">
        <f t="shared" si="73"/>
        <v>0</v>
      </c>
      <c r="J129" s="630"/>
      <c r="K129" s="630"/>
      <c r="L129" s="630"/>
      <c r="M129" s="630"/>
      <c r="N129" s="1">
        <f>IF(C129&gt;0,((J129*Setup_and_Criteria!$F$13)+('M1_1-15th'!K129*Setup_and_Criteria!$F$14)+('M1_1-15th'!L129*Setup_and_Criteria!$F$15)+('M1_1-15th'!M129*Setup_and_Criteria!$F$16)+Setup_and_Criteria!$J$16),0)</f>
        <v>0</v>
      </c>
      <c r="O129" s="442">
        <f t="shared" si="78"/>
        <v>0</v>
      </c>
      <c r="P129" s="443">
        <f t="shared" si="74"/>
        <v>0</v>
      </c>
      <c r="Q129" s="357" t="e">
        <f t="shared" si="75"/>
        <v>#DIV/0!</v>
      </c>
      <c r="R129" s="630"/>
      <c r="S129" s="630"/>
      <c r="T129" s="630"/>
      <c r="U129" s="630"/>
      <c r="V129" s="630"/>
      <c r="W129" s="630"/>
      <c r="X129" s="630"/>
      <c r="Y129" s="630"/>
      <c r="Z129" s="630"/>
      <c r="AA129" s="630"/>
      <c r="AB129" s="1">
        <f t="shared" si="76"/>
        <v>0</v>
      </c>
      <c r="AC129" s="357" t="e">
        <f t="shared" si="77"/>
        <v>#DIV/0!</v>
      </c>
      <c r="AD129" s="864"/>
      <c r="AE129" s="865"/>
      <c r="AF129" s="865"/>
      <c r="AG129" s="866"/>
      <c r="AH129" s="866"/>
      <c r="AI129" s="867"/>
    </row>
    <row r="130" spans="1:35" ht="15.75" thickBot="1" x14ac:dyDescent="0.3">
      <c r="A130" s="638"/>
      <c r="C130" s="370"/>
      <c r="D130" s="370"/>
      <c r="E130" s="630"/>
      <c r="F130" s="630"/>
      <c r="G130" s="264">
        <f t="shared" si="72"/>
        <v>0</v>
      </c>
      <c r="H130" s="442">
        <f t="shared" si="73"/>
        <v>0</v>
      </c>
      <c r="J130" s="371"/>
      <c r="K130" s="371"/>
      <c r="L130" s="371"/>
      <c r="M130" s="371"/>
      <c r="N130" s="358">
        <f>IF(C130&gt;0,((J130*Setup_and_Criteria!$F$13)+('M1_1-15th'!K130*Setup_and_Criteria!$F$14)+('M1_1-15th'!L130*Setup_and_Criteria!$F$15)+('M1_1-15th'!M130*Setup_and_Criteria!$F$16)+Setup_and_Criteria!$J$16),0)</f>
        <v>0</v>
      </c>
      <c r="O130" s="359">
        <f t="shared" si="78"/>
        <v>0</v>
      </c>
      <c r="P130" s="383">
        <f t="shared" si="74"/>
        <v>0</v>
      </c>
      <c r="Q130" s="360" t="e">
        <f t="shared" si="75"/>
        <v>#DIV/0!</v>
      </c>
      <c r="R130" s="511"/>
      <c r="S130" s="511"/>
      <c r="T130" s="511"/>
      <c r="U130" s="511"/>
      <c r="V130" s="511"/>
      <c r="W130" s="511"/>
      <c r="X130" s="511"/>
      <c r="Y130" s="511"/>
      <c r="Z130" s="511"/>
      <c r="AA130" s="511"/>
      <c r="AB130" s="1">
        <f t="shared" si="76"/>
        <v>0</v>
      </c>
      <c r="AC130" s="357" t="e">
        <f t="shared" si="77"/>
        <v>#DIV/0!</v>
      </c>
      <c r="AD130" s="864"/>
      <c r="AE130" s="865"/>
      <c r="AF130" s="865"/>
      <c r="AG130" s="866"/>
      <c r="AH130" s="866"/>
      <c r="AI130" s="867"/>
    </row>
    <row r="131" spans="1:35" ht="15.75" thickTop="1" x14ac:dyDescent="0.25">
      <c r="A131" s="58"/>
      <c r="H131" s="442">
        <f>SUM(H125:H130)</f>
        <v>0</v>
      </c>
      <c r="J131" s="1">
        <f>SUM(J125:J130)</f>
        <v>0</v>
      </c>
      <c r="K131" s="1">
        <f>SUM(K125:K130)</f>
        <v>0</v>
      </c>
      <c r="L131" s="1">
        <f>SUM(L125:L130)</f>
        <v>0</v>
      </c>
      <c r="M131" s="1">
        <f>SUM(M125:M130)</f>
        <v>0</v>
      </c>
      <c r="N131" s="1">
        <f>SUM(N125:N130)</f>
        <v>0</v>
      </c>
      <c r="O131" s="1">
        <f t="shared" si="78"/>
        <v>0</v>
      </c>
      <c r="P131" s="443">
        <f t="shared" si="74"/>
        <v>0</v>
      </c>
      <c r="Q131" s="357" t="e">
        <f t="shared" si="75"/>
        <v>#DIV/0!</v>
      </c>
      <c r="R131" s="1">
        <f t="shared" ref="R131:AA131" si="79">SUM(R125:R130)</f>
        <v>0</v>
      </c>
      <c r="S131" s="1">
        <f t="shared" si="79"/>
        <v>0</v>
      </c>
      <c r="T131" s="1">
        <f t="shared" si="79"/>
        <v>0</v>
      </c>
      <c r="U131" s="1">
        <f t="shared" si="79"/>
        <v>0</v>
      </c>
      <c r="V131" s="1">
        <f t="shared" si="79"/>
        <v>0</v>
      </c>
      <c r="W131" s="1">
        <f t="shared" si="79"/>
        <v>0</v>
      </c>
      <c r="X131" s="1">
        <f t="shared" si="79"/>
        <v>0</v>
      </c>
      <c r="Y131" s="1">
        <f t="shared" si="79"/>
        <v>0</v>
      </c>
      <c r="Z131" s="1">
        <f t="shared" si="79"/>
        <v>0</v>
      </c>
      <c r="AA131" s="1">
        <f t="shared" si="79"/>
        <v>0</v>
      </c>
      <c r="AB131" s="1">
        <f t="shared" si="76"/>
        <v>0</v>
      </c>
      <c r="AC131" s="357" t="e">
        <f t="shared" si="77"/>
        <v>#DIV/0!</v>
      </c>
      <c r="AD131" s="877"/>
      <c r="AE131" s="878"/>
      <c r="AF131" s="878"/>
      <c r="AG131" s="749"/>
      <c r="AH131" s="749"/>
      <c r="AI131" s="879"/>
    </row>
    <row r="132" spans="1:35" ht="21" customHeight="1" x14ac:dyDescent="0.35">
      <c r="A132" s="58"/>
      <c r="H132" s="442"/>
      <c r="N132" s="888" t="s">
        <v>145</v>
      </c>
      <c r="O132" s="888"/>
      <c r="P132" s="888"/>
      <c r="Q132" s="888"/>
      <c r="R132" s="431" t="s">
        <v>146</v>
      </c>
      <c r="S132" s="431"/>
      <c r="T132" s="431"/>
      <c r="U132" s="431"/>
      <c r="V132" s="431"/>
      <c r="W132" s="431"/>
      <c r="X132" s="431"/>
      <c r="Y132" s="431"/>
      <c r="Z132" s="431"/>
      <c r="AA132" s="431"/>
      <c r="AB132" s="431"/>
      <c r="AC132" s="431"/>
      <c r="AD132" s="880" t="s">
        <v>132</v>
      </c>
      <c r="AE132" s="881"/>
      <c r="AF132" s="881"/>
      <c r="AG132" s="881"/>
      <c r="AH132" s="881"/>
      <c r="AI132" s="882"/>
    </row>
    <row r="133" spans="1:35" ht="31.5" customHeight="1" x14ac:dyDescent="0.35">
      <c r="A133" s="617" t="s">
        <v>147</v>
      </c>
      <c r="C133" s="885" t="s">
        <v>128</v>
      </c>
      <c r="D133" s="885"/>
      <c r="E133" s="885"/>
      <c r="F133" s="885"/>
      <c r="H133" s="442"/>
      <c r="J133" s="444"/>
      <c r="K133" s="445" t="s">
        <v>35</v>
      </c>
      <c r="L133" s="445" t="s">
        <v>148</v>
      </c>
      <c r="N133" s="446" t="s">
        <v>149</v>
      </c>
      <c r="O133" s="447" t="s">
        <v>150</v>
      </c>
      <c r="P133" s="447" t="s">
        <v>138</v>
      </c>
      <c r="Q133" s="447" t="s">
        <v>151</v>
      </c>
      <c r="R133" s="749" t="s">
        <v>152</v>
      </c>
      <c r="S133" s="749"/>
      <c r="T133" s="883" t="s">
        <v>153</v>
      </c>
      <c r="U133" s="883"/>
      <c r="W133" s="425" t="s">
        <v>154</v>
      </c>
      <c r="X133" s="425"/>
      <c r="Y133" s="425"/>
      <c r="Z133" s="425"/>
      <c r="AA133" s="425"/>
      <c r="AB133" s="425"/>
      <c r="AC133" s="425"/>
      <c r="AD133" s="868" t="s">
        <v>160</v>
      </c>
      <c r="AE133" s="869"/>
      <c r="AF133" s="869"/>
      <c r="AG133" s="869"/>
      <c r="AH133" s="869"/>
      <c r="AI133" s="870"/>
    </row>
    <row r="134" spans="1:35" ht="18" customHeight="1" thickBot="1" x14ac:dyDescent="0.3">
      <c r="A134" s="639"/>
      <c r="B134" s="375"/>
      <c r="C134" s="372"/>
      <c r="D134" s="372"/>
      <c r="E134" s="372"/>
      <c r="F134" s="372"/>
      <c r="G134" s="366">
        <f>+(D134-C134)+(F134-E134)</f>
        <v>0</v>
      </c>
      <c r="H134" s="367">
        <f>+G134*1440</f>
        <v>0</v>
      </c>
      <c r="I134" s="859" t="s">
        <v>155</v>
      </c>
      <c r="J134" s="860"/>
      <c r="K134" s="373"/>
      <c r="L134" s="374"/>
      <c r="M134" s="423"/>
      <c r="N134" s="629">
        <f>+J131+L131+K131+K134+L134</f>
        <v>0</v>
      </c>
      <c r="O134" s="368">
        <f>+(Setup_and_Criteria!$K$31+(J131*Setup_and_Criteria!$F$20)+('M1_1-15th'!K131*Setup_and_Criteria!$F$21)+('M1_1-15th'!L131*Setup_and_Criteria!$F$20))+T134+(K134*Setup_and_Criteria!$F$21)+(Setup_and_Criteria!$F$22*'M1_1-15th'!L134)</f>
        <v>75</v>
      </c>
      <c r="P134" s="367">
        <f>+H134</f>
        <v>0</v>
      </c>
      <c r="Q134" s="367">
        <f>+O134-P134</f>
        <v>75</v>
      </c>
      <c r="R134" s="861" t="s">
        <v>252</v>
      </c>
      <c r="S134" s="861"/>
      <c r="T134" s="862"/>
      <c r="U134" s="863"/>
      <c r="V134" s="265" t="s">
        <v>156</v>
      </c>
      <c r="W134" s="854"/>
      <c r="X134" s="855"/>
      <c r="Y134" s="855"/>
      <c r="Z134" s="855"/>
      <c r="AA134" s="855"/>
      <c r="AB134" s="855"/>
      <c r="AC134" s="855"/>
      <c r="AD134" s="868"/>
      <c r="AE134" s="869"/>
      <c r="AF134" s="869"/>
      <c r="AG134" s="869"/>
      <c r="AH134" s="869"/>
      <c r="AI134" s="870"/>
    </row>
    <row r="135" spans="1:35" ht="15.75" thickBot="1" x14ac:dyDescent="0.3">
      <c r="A135" s="449" t="str">
        <f>+A122</f>
        <v>Password to enter data = "Enter Info"</v>
      </c>
      <c r="B135" s="450"/>
      <c r="C135" s="451"/>
      <c r="D135" s="451"/>
      <c r="E135" s="451"/>
      <c r="F135" s="451"/>
      <c r="G135" s="451"/>
      <c r="H135" s="451"/>
      <c r="I135" s="450"/>
      <c r="J135" s="451"/>
      <c r="K135" s="451"/>
      <c r="L135" s="451"/>
      <c r="M135" s="451"/>
      <c r="N135" s="451"/>
      <c r="O135" s="451"/>
      <c r="P135" s="451"/>
      <c r="Q135" s="450"/>
      <c r="R135" s="451"/>
      <c r="S135" s="451"/>
      <c r="T135" s="451"/>
      <c r="U135" s="451"/>
      <c r="V135" s="451"/>
      <c r="W135" s="451"/>
      <c r="X135" s="451"/>
      <c r="Y135" s="451"/>
      <c r="Z135" s="451"/>
      <c r="AA135" s="451"/>
      <c r="AB135" s="450"/>
      <c r="AC135" s="450"/>
      <c r="AD135" s="871"/>
      <c r="AE135" s="872"/>
      <c r="AF135" s="872"/>
      <c r="AG135" s="872"/>
      <c r="AH135" s="872"/>
      <c r="AI135" s="873"/>
    </row>
    <row r="136" spans="1:35" ht="35.25" customHeight="1" x14ac:dyDescent="0.4">
      <c r="A136" s="434" t="str">
        <f>+A123</f>
        <v>June</v>
      </c>
      <c r="B136" s="624">
        <f>+B123+1</f>
        <v>11</v>
      </c>
      <c r="C136" s="884" t="s">
        <v>128</v>
      </c>
      <c r="D136" s="884"/>
      <c r="E136" s="884"/>
      <c r="F136" s="884"/>
      <c r="G136" s="377"/>
      <c r="H136" s="377"/>
      <c r="I136" s="21"/>
      <c r="J136" s="874" t="s">
        <v>129</v>
      </c>
      <c r="K136" s="875"/>
      <c r="L136" s="875"/>
      <c r="M136" s="875"/>
      <c r="N136" s="876" t="s">
        <v>130</v>
      </c>
      <c r="O136" s="876"/>
      <c r="P136" s="876"/>
      <c r="Q136" s="876"/>
      <c r="R136" s="424" t="str">
        <f>+R123</f>
        <v xml:space="preserve"> Corrections Tracking - Check out rooms</v>
      </c>
      <c r="S136" s="424"/>
      <c r="T136" s="424"/>
      <c r="U136" s="424"/>
      <c r="V136" s="424"/>
      <c r="W136" s="424"/>
      <c r="X136" s="424"/>
      <c r="Y136" s="424"/>
      <c r="Z136" s="424"/>
      <c r="AA136" s="424"/>
      <c r="AB136" s="424"/>
      <c r="AC136" s="424"/>
      <c r="AD136" s="461" t="s">
        <v>132</v>
      </c>
      <c r="AE136" s="426"/>
      <c r="AF136" s="426"/>
      <c r="AG136" s="426"/>
      <c r="AH136" s="426"/>
      <c r="AI136" s="427"/>
    </row>
    <row r="137" spans="1:35" ht="59.25" customHeight="1" x14ac:dyDescent="0.25">
      <c r="A137" s="378" t="s">
        <v>133</v>
      </c>
      <c r="C137" s="435" t="s">
        <v>134</v>
      </c>
      <c r="D137" s="435" t="s">
        <v>135</v>
      </c>
      <c r="E137" s="435" t="s">
        <v>134</v>
      </c>
      <c r="F137" s="435" t="s">
        <v>135</v>
      </c>
      <c r="G137" s="1" t="s">
        <v>136</v>
      </c>
      <c r="H137" s="1" t="s">
        <v>108</v>
      </c>
      <c r="I137" s="436"/>
      <c r="J137" s="437" t="str">
        <f>+Setup_and_Criteria!$B$13</f>
        <v>Checkouts</v>
      </c>
      <c r="K137" s="437" t="str">
        <f>+Setup_and_Criteria!$B$14</f>
        <v>Pet Rooms</v>
      </c>
      <c r="L137" s="437" t="str">
        <f>+Setup_and_Criteria!$B$15</f>
        <v>2 Rm &amp; Jac Stes</v>
      </c>
      <c r="M137" s="438" t="str">
        <f>+Setup_and_Criteria!$B$16</f>
        <v>Stayovers</v>
      </c>
      <c r="N137" s="269" t="s">
        <v>137</v>
      </c>
      <c r="O137" s="269" t="s">
        <v>138</v>
      </c>
      <c r="P137" s="439" t="s">
        <v>139</v>
      </c>
      <c r="Q137" s="439" t="s">
        <v>140</v>
      </c>
      <c r="R137" s="440" t="str">
        <f>+Corrections!$C$8</f>
        <v>Vanity</v>
      </c>
      <c r="S137" s="440" t="str">
        <f>+Corrections!$I$8</f>
        <v>Toilet</v>
      </c>
      <c r="T137" s="440" t="str">
        <f>+Corrections!$O$8</f>
        <v>Bed/Pillows</v>
      </c>
      <c r="U137" s="440" t="str">
        <f>+Corrections!$U$8</f>
        <v>Floor</v>
      </c>
      <c r="V137" s="440" t="str">
        <f>+Corrections!$AA$8</f>
        <v>Dusting</v>
      </c>
      <c r="W137" s="440" t="str">
        <f>+Corrections!$AG$8</f>
        <v>Fridge/Micro</v>
      </c>
      <c r="X137" s="440" t="str">
        <f>+Corrections!$AM$8</f>
        <v>Tub</v>
      </c>
      <c r="Y137" s="441" t="str">
        <f>+Corrections!$AS$8</f>
        <v>Mirrors/Glass</v>
      </c>
      <c r="Z137" s="440" t="str">
        <f>+Corrections!$AY$8</f>
        <v>Stocking</v>
      </c>
      <c r="AA137" s="440" t="str">
        <f>+Corrections!$BE$8</f>
        <v>Other</v>
      </c>
      <c r="AB137" s="269" t="s">
        <v>141</v>
      </c>
      <c r="AC137" s="269" t="str">
        <f>+$AC$7</f>
        <v>Daily Corr / Inspected Checkout</v>
      </c>
      <c r="AD137" s="889" t="s">
        <v>143</v>
      </c>
      <c r="AE137" s="890"/>
      <c r="AF137" s="890"/>
      <c r="AG137" s="890"/>
      <c r="AH137" s="890"/>
      <c r="AI137" s="891"/>
    </row>
    <row r="138" spans="1:35" x14ac:dyDescent="0.25">
      <c r="A138" s="638"/>
      <c r="C138" s="369"/>
      <c r="D138" s="369"/>
      <c r="E138" s="369"/>
      <c r="F138" s="369"/>
      <c r="G138" s="264">
        <f t="shared" ref="G138:G143" si="80">+(D138-C138)+(F138-E138)</f>
        <v>0</v>
      </c>
      <c r="H138" s="442">
        <f t="shared" ref="H138:H143" si="81">+G138*1440</f>
        <v>0</v>
      </c>
      <c r="J138" s="630"/>
      <c r="K138" s="630"/>
      <c r="L138" s="630"/>
      <c r="M138" s="630"/>
      <c r="N138" s="1">
        <f>IF(C138&gt;0,((J138*Setup_and_Criteria!$F$13)+('M1_1-15th'!K138*Setup_and_Criteria!$F$14)+('M1_1-15th'!L138*Setup_and_Criteria!$F$15)+('M1_1-15th'!M138*Setup_and_Criteria!$F$16)+Setup_and_Criteria!$J$16),0)</f>
        <v>0</v>
      </c>
      <c r="O138" s="442">
        <f>+H138</f>
        <v>0</v>
      </c>
      <c r="P138" s="443">
        <f t="shared" ref="P138:P144" si="82">+N138-O138</f>
        <v>0</v>
      </c>
      <c r="Q138" s="357" t="e">
        <f t="shared" ref="Q138:Q144" si="83">O138/_xlfn.SINGLE(SUM(J138:M138))</f>
        <v>#DIV/0!</v>
      </c>
      <c r="R138" s="630"/>
      <c r="S138" s="630"/>
      <c r="T138" s="630"/>
      <c r="U138" s="630"/>
      <c r="V138" s="630"/>
      <c r="W138" s="630"/>
      <c r="X138" s="630"/>
      <c r="Y138" s="630"/>
      <c r="Z138" s="630"/>
      <c r="AA138" s="630"/>
      <c r="AB138" s="1">
        <f t="shared" ref="AB138:AB144" si="84">SUM(R138:AA138)</f>
        <v>0</v>
      </c>
      <c r="AC138" s="357" t="e">
        <f t="shared" ref="AC138:AC144" si="85">+AB138/(J138+K138+L138)</f>
        <v>#DIV/0!</v>
      </c>
      <c r="AD138" s="864" t="s">
        <v>144</v>
      </c>
      <c r="AE138" s="865"/>
      <c r="AF138" s="865"/>
      <c r="AG138" s="866"/>
      <c r="AH138" s="866"/>
      <c r="AI138" s="867"/>
    </row>
    <row r="139" spans="1:35" x14ac:dyDescent="0.25">
      <c r="A139" s="638"/>
      <c r="C139" s="630"/>
      <c r="D139" s="630"/>
      <c r="E139" s="630"/>
      <c r="F139" s="630"/>
      <c r="G139" s="264">
        <f t="shared" si="80"/>
        <v>0</v>
      </c>
      <c r="H139" s="442">
        <f t="shared" si="81"/>
        <v>0</v>
      </c>
      <c r="J139" s="630"/>
      <c r="K139" s="630"/>
      <c r="L139" s="630"/>
      <c r="M139" s="630"/>
      <c r="N139" s="1">
        <f>IF(C139&gt;0,((J139*Setup_and_Criteria!$F$13)+('M1_1-15th'!K139*Setup_and_Criteria!$F$14)+('M1_1-15th'!L139*Setup_and_Criteria!$F$15)+('M1_1-15th'!M139*Setup_and_Criteria!$F$16)+Setup_and_Criteria!$J$16),0)</f>
        <v>0</v>
      </c>
      <c r="O139" s="442">
        <f t="shared" ref="O139:O144" si="86">+H139</f>
        <v>0</v>
      </c>
      <c r="P139" s="443">
        <f t="shared" si="82"/>
        <v>0</v>
      </c>
      <c r="Q139" s="357" t="e">
        <f t="shared" si="83"/>
        <v>#DIV/0!</v>
      </c>
      <c r="R139" s="630"/>
      <c r="S139" s="630"/>
      <c r="T139" s="630"/>
      <c r="U139" s="630"/>
      <c r="V139" s="630"/>
      <c r="W139" s="630"/>
      <c r="X139" s="630"/>
      <c r="Y139" s="630"/>
      <c r="Z139" s="630"/>
      <c r="AA139" s="630"/>
      <c r="AB139" s="1">
        <f t="shared" si="84"/>
        <v>0</v>
      </c>
      <c r="AC139" s="357" t="e">
        <f t="shared" si="85"/>
        <v>#DIV/0!</v>
      </c>
      <c r="AD139" s="864"/>
      <c r="AE139" s="865"/>
      <c r="AF139" s="865"/>
      <c r="AG139" s="866"/>
      <c r="AH139" s="866"/>
      <c r="AI139" s="867"/>
    </row>
    <row r="140" spans="1:35" x14ac:dyDescent="0.25">
      <c r="A140" s="638"/>
      <c r="C140" s="630"/>
      <c r="D140" s="630"/>
      <c r="E140" s="630"/>
      <c r="F140" s="630"/>
      <c r="G140" s="264">
        <f t="shared" si="80"/>
        <v>0</v>
      </c>
      <c r="H140" s="442">
        <f t="shared" si="81"/>
        <v>0</v>
      </c>
      <c r="J140" s="630"/>
      <c r="K140" s="630"/>
      <c r="L140" s="630"/>
      <c r="M140" s="630"/>
      <c r="N140" s="1">
        <f>IF(C140&gt;0,((J140*Setup_and_Criteria!$F$13)+('M1_1-15th'!K140*Setup_and_Criteria!$F$14)+('M1_1-15th'!L140*Setup_and_Criteria!$F$15)+('M1_1-15th'!M140*Setup_and_Criteria!$F$16)+Setup_and_Criteria!$J$16),0)</f>
        <v>0</v>
      </c>
      <c r="O140" s="442">
        <f t="shared" si="86"/>
        <v>0</v>
      </c>
      <c r="P140" s="443">
        <f t="shared" si="82"/>
        <v>0</v>
      </c>
      <c r="Q140" s="357" t="e">
        <f t="shared" si="83"/>
        <v>#DIV/0!</v>
      </c>
      <c r="R140" s="630"/>
      <c r="S140" s="630"/>
      <c r="T140" s="630"/>
      <c r="U140" s="630"/>
      <c r="V140" s="630"/>
      <c r="W140" s="630"/>
      <c r="X140" s="630"/>
      <c r="Y140" s="630"/>
      <c r="Z140" s="630"/>
      <c r="AA140" s="630"/>
      <c r="AB140" s="1">
        <f t="shared" si="84"/>
        <v>0</v>
      </c>
      <c r="AC140" s="357" t="e">
        <f t="shared" si="85"/>
        <v>#DIV/0!</v>
      </c>
      <c r="AD140" s="864"/>
      <c r="AE140" s="865"/>
      <c r="AF140" s="865"/>
      <c r="AG140" s="866"/>
      <c r="AH140" s="866"/>
      <c r="AI140" s="867"/>
    </row>
    <row r="141" spans="1:35" x14ac:dyDescent="0.25">
      <c r="A141" s="638"/>
      <c r="C141" s="630"/>
      <c r="D141" s="630"/>
      <c r="E141" s="630"/>
      <c r="F141" s="630"/>
      <c r="G141" s="264">
        <f t="shared" si="80"/>
        <v>0</v>
      </c>
      <c r="H141" s="442">
        <f t="shared" si="81"/>
        <v>0</v>
      </c>
      <c r="J141" s="630"/>
      <c r="K141" s="630"/>
      <c r="L141" s="630"/>
      <c r="M141" s="630"/>
      <c r="N141" s="1">
        <f>IF(C141&gt;0,((J141*Setup_and_Criteria!$F$13)+('M1_1-15th'!K141*Setup_and_Criteria!$F$14)+('M1_1-15th'!L141*Setup_and_Criteria!$F$15)+('M1_1-15th'!M141*Setup_and_Criteria!$F$16)+Setup_and_Criteria!$J$16),0)</f>
        <v>0</v>
      </c>
      <c r="O141" s="442">
        <f t="shared" si="86"/>
        <v>0</v>
      </c>
      <c r="P141" s="443">
        <f t="shared" si="82"/>
        <v>0</v>
      </c>
      <c r="Q141" s="357" t="e">
        <f t="shared" si="83"/>
        <v>#DIV/0!</v>
      </c>
      <c r="R141" s="630"/>
      <c r="S141" s="630"/>
      <c r="T141" s="630"/>
      <c r="U141" s="630"/>
      <c r="V141" s="630"/>
      <c r="W141" s="630"/>
      <c r="X141" s="630"/>
      <c r="Y141" s="630"/>
      <c r="Z141" s="630"/>
      <c r="AA141" s="630"/>
      <c r="AB141" s="1">
        <f t="shared" si="84"/>
        <v>0</v>
      </c>
      <c r="AC141" s="357" t="e">
        <f t="shared" si="85"/>
        <v>#DIV/0!</v>
      </c>
      <c r="AD141" s="864"/>
      <c r="AE141" s="865"/>
      <c r="AF141" s="865"/>
      <c r="AG141" s="866"/>
      <c r="AH141" s="866"/>
      <c r="AI141" s="867"/>
    </row>
    <row r="142" spans="1:35" x14ac:dyDescent="0.25">
      <c r="A142" s="638"/>
      <c r="C142" s="630"/>
      <c r="D142" s="630"/>
      <c r="E142" s="630"/>
      <c r="F142" s="630"/>
      <c r="G142" s="264">
        <f t="shared" si="80"/>
        <v>0</v>
      </c>
      <c r="H142" s="442">
        <f t="shared" si="81"/>
        <v>0</v>
      </c>
      <c r="J142" s="630"/>
      <c r="K142" s="630"/>
      <c r="L142" s="630"/>
      <c r="M142" s="630"/>
      <c r="N142" s="1">
        <f>IF(C142&gt;0,((J142*Setup_and_Criteria!$F$13)+('M1_1-15th'!K142*Setup_and_Criteria!$F$14)+('M1_1-15th'!L142*Setup_and_Criteria!$F$15)+('M1_1-15th'!M142*Setup_and_Criteria!$F$16)+Setup_and_Criteria!$J$16),0)</f>
        <v>0</v>
      </c>
      <c r="O142" s="442">
        <f t="shared" si="86"/>
        <v>0</v>
      </c>
      <c r="P142" s="443">
        <f t="shared" si="82"/>
        <v>0</v>
      </c>
      <c r="Q142" s="357" t="e">
        <f t="shared" si="83"/>
        <v>#DIV/0!</v>
      </c>
      <c r="R142" s="630"/>
      <c r="S142" s="630"/>
      <c r="T142" s="630"/>
      <c r="U142" s="630"/>
      <c r="V142" s="630"/>
      <c r="W142" s="630"/>
      <c r="X142" s="630"/>
      <c r="Y142" s="630"/>
      <c r="Z142" s="630"/>
      <c r="AA142" s="630"/>
      <c r="AB142" s="1">
        <f t="shared" si="84"/>
        <v>0</v>
      </c>
      <c r="AC142" s="357" t="e">
        <f t="shared" si="85"/>
        <v>#DIV/0!</v>
      </c>
      <c r="AD142" s="864"/>
      <c r="AE142" s="865"/>
      <c r="AF142" s="865"/>
      <c r="AG142" s="866"/>
      <c r="AH142" s="866"/>
      <c r="AI142" s="867"/>
    </row>
    <row r="143" spans="1:35" ht="15.75" thickBot="1" x14ac:dyDescent="0.3">
      <c r="A143" s="638"/>
      <c r="C143" s="370"/>
      <c r="D143" s="370"/>
      <c r="E143" s="630"/>
      <c r="F143" s="630"/>
      <c r="G143" s="264">
        <f t="shared" si="80"/>
        <v>0</v>
      </c>
      <c r="H143" s="442">
        <f t="shared" si="81"/>
        <v>0</v>
      </c>
      <c r="J143" s="371"/>
      <c r="K143" s="371"/>
      <c r="L143" s="371"/>
      <c r="M143" s="371"/>
      <c r="N143" s="358">
        <f>IF(C143&gt;0,((J143*Setup_and_Criteria!$F$13)+('M1_1-15th'!K143*Setup_and_Criteria!$F$14)+('M1_1-15th'!L143*Setup_and_Criteria!$F$15)+('M1_1-15th'!M143*Setup_and_Criteria!$F$16)+Setup_and_Criteria!$J$16),0)</f>
        <v>0</v>
      </c>
      <c r="O143" s="359">
        <f t="shared" si="86"/>
        <v>0</v>
      </c>
      <c r="P143" s="383">
        <f t="shared" si="82"/>
        <v>0</v>
      </c>
      <c r="Q143" s="360" t="e">
        <f t="shared" si="83"/>
        <v>#DIV/0!</v>
      </c>
      <c r="R143" s="511"/>
      <c r="S143" s="511"/>
      <c r="T143" s="511"/>
      <c r="U143" s="511"/>
      <c r="V143" s="511"/>
      <c r="W143" s="511"/>
      <c r="X143" s="511"/>
      <c r="Y143" s="511"/>
      <c r="Z143" s="511"/>
      <c r="AA143" s="511"/>
      <c r="AB143" s="1">
        <f t="shared" si="84"/>
        <v>0</v>
      </c>
      <c r="AC143" s="357" t="e">
        <f t="shared" si="85"/>
        <v>#DIV/0!</v>
      </c>
      <c r="AD143" s="864"/>
      <c r="AE143" s="865"/>
      <c r="AF143" s="865"/>
      <c r="AG143" s="866"/>
      <c r="AH143" s="866"/>
      <c r="AI143" s="867"/>
    </row>
    <row r="144" spans="1:35" ht="15.75" thickTop="1" x14ac:dyDescent="0.25">
      <c r="A144" s="58"/>
      <c r="H144" s="442">
        <f>SUM(H138:H143)</f>
        <v>0</v>
      </c>
      <c r="J144" s="1">
        <f>SUM(J138:J143)</f>
        <v>0</v>
      </c>
      <c r="K144" s="1">
        <f>SUM(K138:K143)</f>
        <v>0</v>
      </c>
      <c r="L144" s="1">
        <f>SUM(L138:L143)</f>
        <v>0</v>
      </c>
      <c r="M144" s="1">
        <f>SUM(M138:M143)</f>
        <v>0</v>
      </c>
      <c r="N144" s="1">
        <f>SUM(N138:N143)</f>
        <v>0</v>
      </c>
      <c r="O144" s="1">
        <f t="shared" si="86"/>
        <v>0</v>
      </c>
      <c r="P144" s="443">
        <f t="shared" si="82"/>
        <v>0</v>
      </c>
      <c r="Q144" s="357" t="e">
        <f t="shared" si="83"/>
        <v>#DIV/0!</v>
      </c>
      <c r="R144" s="1">
        <f t="shared" ref="R144:AA144" si="87">SUM(R138:R143)</f>
        <v>0</v>
      </c>
      <c r="S144" s="1">
        <f t="shared" si="87"/>
        <v>0</v>
      </c>
      <c r="T144" s="1">
        <f t="shared" si="87"/>
        <v>0</v>
      </c>
      <c r="U144" s="1">
        <f t="shared" si="87"/>
        <v>0</v>
      </c>
      <c r="V144" s="1">
        <f t="shared" si="87"/>
        <v>0</v>
      </c>
      <c r="W144" s="1">
        <f t="shared" si="87"/>
        <v>0</v>
      </c>
      <c r="X144" s="1">
        <f t="shared" si="87"/>
        <v>0</v>
      </c>
      <c r="Y144" s="1">
        <f t="shared" si="87"/>
        <v>0</v>
      </c>
      <c r="Z144" s="1">
        <f t="shared" si="87"/>
        <v>0</v>
      </c>
      <c r="AA144" s="1">
        <f t="shared" si="87"/>
        <v>0</v>
      </c>
      <c r="AB144" s="1">
        <f t="shared" si="84"/>
        <v>0</v>
      </c>
      <c r="AC144" s="357" t="e">
        <f t="shared" si="85"/>
        <v>#DIV/0!</v>
      </c>
      <c r="AD144" s="877"/>
      <c r="AE144" s="878"/>
      <c r="AF144" s="878"/>
      <c r="AG144" s="749"/>
      <c r="AH144" s="749"/>
      <c r="AI144" s="879"/>
    </row>
    <row r="145" spans="1:35" ht="21" customHeight="1" x14ac:dyDescent="0.35">
      <c r="A145" s="58"/>
      <c r="H145" s="442"/>
      <c r="N145" s="888" t="s">
        <v>145</v>
      </c>
      <c r="O145" s="888"/>
      <c r="P145" s="888"/>
      <c r="Q145" s="888"/>
      <c r="R145" s="431" t="s">
        <v>146</v>
      </c>
      <c r="S145" s="431"/>
      <c r="T145" s="431"/>
      <c r="U145" s="431"/>
      <c r="V145" s="431"/>
      <c r="W145" s="431"/>
      <c r="X145" s="431"/>
      <c r="Y145" s="431"/>
      <c r="Z145" s="431"/>
      <c r="AA145" s="431"/>
      <c r="AB145" s="431"/>
      <c r="AC145" s="431"/>
      <c r="AD145" s="880" t="s">
        <v>132</v>
      </c>
      <c r="AE145" s="881"/>
      <c r="AF145" s="881"/>
      <c r="AG145" s="881"/>
      <c r="AH145" s="881"/>
      <c r="AI145" s="882"/>
    </row>
    <row r="146" spans="1:35" ht="31.5" customHeight="1" x14ac:dyDescent="0.35">
      <c r="A146" s="617" t="s">
        <v>147</v>
      </c>
      <c r="C146" s="885" t="s">
        <v>128</v>
      </c>
      <c r="D146" s="885"/>
      <c r="E146" s="885"/>
      <c r="F146" s="885"/>
      <c r="H146" s="442"/>
      <c r="J146" s="444"/>
      <c r="K146" s="445" t="s">
        <v>35</v>
      </c>
      <c r="L146" s="445" t="s">
        <v>148</v>
      </c>
      <c r="N146" s="446" t="s">
        <v>149</v>
      </c>
      <c r="O146" s="447" t="s">
        <v>150</v>
      </c>
      <c r="P146" s="447" t="s">
        <v>138</v>
      </c>
      <c r="Q146" s="447" t="s">
        <v>151</v>
      </c>
      <c r="R146" s="749" t="s">
        <v>152</v>
      </c>
      <c r="S146" s="749"/>
      <c r="T146" s="883" t="s">
        <v>153</v>
      </c>
      <c r="U146" s="883"/>
      <c r="W146" s="425" t="s">
        <v>154</v>
      </c>
      <c r="X146" s="425"/>
      <c r="Y146" s="425"/>
      <c r="Z146" s="425"/>
      <c r="AA146" s="425"/>
      <c r="AB146" s="425"/>
      <c r="AC146" s="425"/>
      <c r="AD146" s="868" t="s">
        <v>160</v>
      </c>
      <c r="AE146" s="869"/>
      <c r="AF146" s="869"/>
      <c r="AG146" s="869"/>
      <c r="AH146" s="869"/>
      <c r="AI146" s="870"/>
    </row>
    <row r="147" spans="1:35" ht="18" customHeight="1" thickBot="1" x14ac:dyDescent="0.3">
      <c r="A147" s="639"/>
      <c r="B147" s="375"/>
      <c r="C147" s="372"/>
      <c r="D147" s="372"/>
      <c r="E147" s="372"/>
      <c r="F147" s="372"/>
      <c r="G147" s="366">
        <f>+(D147-C147)+(F147-E147)</f>
        <v>0</v>
      </c>
      <c r="H147" s="367">
        <f>+G147*1440</f>
        <v>0</v>
      </c>
      <c r="I147" s="859" t="s">
        <v>155</v>
      </c>
      <c r="J147" s="860"/>
      <c r="K147" s="373"/>
      <c r="L147" s="374"/>
      <c r="M147" s="423"/>
      <c r="N147" s="629">
        <f>+J144+L144+K144+K147+L147</f>
        <v>0</v>
      </c>
      <c r="O147" s="368">
        <f>+(Setup_and_Criteria!$K$31+(J144*Setup_and_Criteria!$F$20)+('M1_1-15th'!K144*Setup_and_Criteria!$F$21)+('M1_1-15th'!L144*Setup_and_Criteria!$F$20))+T147+(K147*Setup_and_Criteria!$F$21)+(Setup_and_Criteria!$F$22*'M1_1-15th'!L147)</f>
        <v>75</v>
      </c>
      <c r="P147" s="367">
        <f>+H147</f>
        <v>0</v>
      </c>
      <c r="Q147" s="367">
        <f>+O147-P147</f>
        <v>75</v>
      </c>
      <c r="R147" s="861" t="s">
        <v>252</v>
      </c>
      <c r="S147" s="861"/>
      <c r="T147" s="862"/>
      <c r="U147" s="863"/>
      <c r="V147" s="265" t="s">
        <v>156</v>
      </c>
      <c r="W147" s="854"/>
      <c r="X147" s="855"/>
      <c r="Y147" s="855"/>
      <c r="Z147" s="855"/>
      <c r="AA147" s="855"/>
      <c r="AB147" s="855"/>
      <c r="AC147" s="855"/>
      <c r="AD147" s="868"/>
      <c r="AE147" s="869"/>
      <c r="AF147" s="869"/>
      <c r="AG147" s="869"/>
      <c r="AH147" s="869"/>
      <c r="AI147" s="870"/>
    </row>
    <row r="148" spans="1:35" ht="15.75" thickBot="1" x14ac:dyDescent="0.3">
      <c r="A148" s="449" t="str">
        <f>+A135</f>
        <v>Password to enter data = "Enter Info"</v>
      </c>
      <c r="B148" s="450"/>
      <c r="C148" s="451"/>
      <c r="D148" s="451"/>
      <c r="E148" s="451"/>
      <c r="F148" s="451"/>
      <c r="G148" s="451"/>
      <c r="H148" s="451"/>
      <c r="I148" s="450"/>
      <c r="J148" s="451"/>
      <c r="K148" s="451"/>
      <c r="L148" s="451"/>
      <c r="M148" s="451"/>
      <c r="N148" s="451"/>
      <c r="O148" s="451"/>
      <c r="P148" s="451"/>
      <c r="Q148" s="450"/>
      <c r="R148" s="451"/>
      <c r="S148" s="451"/>
      <c r="T148" s="451"/>
      <c r="U148" s="451"/>
      <c r="V148" s="451"/>
      <c r="W148" s="451"/>
      <c r="X148" s="451"/>
      <c r="Y148" s="451"/>
      <c r="Z148" s="451"/>
      <c r="AA148" s="451"/>
      <c r="AB148" s="450"/>
      <c r="AC148" s="450"/>
      <c r="AD148" s="871"/>
      <c r="AE148" s="872"/>
      <c r="AF148" s="872"/>
      <c r="AG148" s="872"/>
      <c r="AH148" s="872"/>
      <c r="AI148" s="873"/>
    </row>
    <row r="149" spans="1:35" ht="35.25" customHeight="1" x14ac:dyDescent="0.4">
      <c r="A149" s="434" t="str">
        <f>+A136</f>
        <v>June</v>
      </c>
      <c r="B149" s="624">
        <f>+B136+1</f>
        <v>12</v>
      </c>
      <c r="C149" s="884" t="s">
        <v>128</v>
      </c>
      <c r="D149" s="884"/>
      <c r="E149" s="884"/>
      <c r="F149" s="884"/>
      <c r="G149" s="377"/>
      <c r="H149" s="377"/>
      <c r="I149" s="21"/>
      <c r="J149" s="874" t="s">
        <v>129</v>
      </c>
      <c r="K149" s="875"/>
      <c r="L149" s="875"/>
      <c r="M149" s="875"/>
      <c r="N149" s="876" t="s">
        <v>130</v>
      </c>
      <c r="O149" s="876"/>
      <c r="P149" s="876"/>
      <c r="Q149" s="876"/>
      <c r="R149" s="424" t="str">
        <f>+R136</f>
        <v xml:space="preserve"> Corrections Tracking - Check out rooms</v>
      </c>
      <c r="S149" s="424"/>
      <c r="T149" s="424"/>
      <c r="U149" s="424"/>
      <c r="V149" s="424"/>
      <c r="W149" s="424"/>
      <c r="X149" s="424"/>
      <c r="Y149" s="424"/>
      <c r="Z149" s="424"/>
      <c r="AA149" s="424"/>
      <c r="AB149" s="424"/>
      <c r="AC149" s="424"/>
      <c r="AD149" s="461" t="s">
        <v>132</v>
      </c>
      <c r="AE149" s="426"/>
      <c r="AF149" s="426"/>
      <c r="AG149" s="426"/>
      <c r="AH149" s="426"/>
      <c r="AI149" s="427"/>
    </row>
    <row r="150" spans="1:35" ht="59.25" customHeight="1" x14ac:dyDescent="0.25">
      <c r="A150" s="378" t="s">
        <v>133</v>
      </c>
      <c r="C150" s="435" t="s">
        <v>134</v>
      </c>
      <c r="D150" s="435" t="s">
        <v>135</v>
      </c>
      <c r="E150" s="435" t="s">
        <v>134</v>
      </c>
      <c r="F150" s="435" t="s">
        <v>135</v>
      </c>
      <c r="G150" s="1" t="s">
        <v>136</v>
      </c>
      <c r="H150" s="1" t="s">
        <v>108</v>
      </c>
      <c r="I150" s="436"/>
      <c r="J150" s="437" t="str">
        <f>+Setup_and_Criteria!$B$13</f>
        <v>Checkouts</v>
      </c>
      <c r="K150" s="437" t="str">
        <f>+Setup_and_Criteria!$B$14</f>
        <v>Pet Rooms</v>
      </c>
      <c r="L150" s="437" t="str">
        <f>+Setup_and_Criteria!$B$15</f>
        <v>2 Rm &amp; Jac Stes</v>
      </c>
      <c r="M150" s="438" t="str">
        <f>+Setup_and_Criteria!$B$16</f>
        <v>Stayovers</v>
      </c>
      <c r="N150" s="269" t="s">
        <v>137</v>
      </c>
      <c r="O150" s="269" t="s">
        <v>138</v>
      </c>
      <c r="P150" s="439" t="s">
        <v>139</v>
      </c>
      <c r="Q150" s="439" t="s">
        <v>140</v>
      </c>
      <c r="R150" s="440" t="str">
        <f>+Corrections!$C$8</f>
        <v>Vanity</v>
      </c>
      <c r="S150" s="440" t="str">
        <f>+Corrections!$I$8</f>
        <v>Toilet</v>
      </c>
      <c r="T150" s="440" t="str">
        <f>+Corrections!$O$8</f>
        <v>Bed/Pillows</v>
      </c>
      <c r="U150" s="440" t="str">
        <f>+Corrections!$U$8</f>
        <v>Floor</v>
      </c>
      <c r="V150" s="440" t="str">
        <f>+Corrections!$AA$8</f>
        <v>Dusting</v>
      </c>
      <c r="W150" s="440" t="str">
        <f>+Corrections!$AG$8</f>
        <v>Fridge/Micro</v>
      </c>
      <c r="X150" s="440" t="str">
        <f>+Corrections!$AM$8</f>
        <v>Tub</v>
      </c>
      <c r="Y150" s="441" t="str">
        <f>+Corrections!$AS$8</f>
        <v>Mirrors/Glass</v>
      </c>
      <c r="Z150" s="440" t="str">
        <f>+Corrections!$AY$8</f>
        <v>Stocking</v>
      </c>
      <c r="AA150" s="440" t="str">
        <f>+Corrections!$BE$8</f>
        <v>Other</v>
      </c>
      <c r="AB150" s="269" t="s">
        <v>141</v>
      </c>
      <c r="AC150" s="269" t="str">
        <f>+$AC$7</f>
        <v>Daily Corr / Inspected Checkout</v>
      </c>
      <c r="AD150" s="889" t="s">
        <v>143</v>
      </c>
      <c r="AE150" s="890"/>
      <c r="AF150" s="890"/>
      <c r="AG150" s="890"/>
      <c r="AH150" s="890"/>
      <c r="AI150" s="891"/>
    </row>
    <row r="151" spans="1:35" x14ac:dyDescent="0.25">
      <c r="A151" s="638"/>
      <c r="C151" s="369"/>
      <c r="D151" s="369"/>
      <c r="E151" s="369"/>
      <c r="F151" s="369"/>
      <c r="G151" s="264">
        <f t="shared" ref="G151:G156" si="88">+(D151-C151)+(F151-E151)</f>
        <v>0</v>
      </c>
      <c r="H151" s="442">
        <f t="shared" ref="H151:H156" si="89">+G151*1440</f>
        <v>0</v>
      </c>
      <c r="J151" s="630"/>
      <c r="K151" s="630"/>
      <c r="L151" s="630"/>
      <c r="M151" s="630"/>
      <c r="N151" s="1">
        <f>IF(C151&gt;0,((J151*Setup_and_Criteria!$F$13)+('M1_1-15th'!K151*Setup_and_Criteria!$F$14)+('M1_1-15th'!L151*Setup_and_Criteria!$F$15)+('M1_1-15th'!M151*Setup_and_Criteria!$F$16)+Setup_and_Criteria!$J$16),0)</f>
        <v>0</v>
      </c>
      <c r="O151" s="442">
        <f>+H151</f>
        <v>0</v>
      </c>
      <c r="P151" s="443">
        <f t="shared" ref="P151:P157" si="90">+N151-O151</f>
        <v>0</v>
      </c>
      <c r="Q151" s="357" t="e">
        <f t="shared" ref="Q151:Q157" si="91">O151/_xlfn.SINGLE(SUM(J151:M151))</f>
        <v>#DIV/0!</v>
      </c>
      <c r="R151" s="630"/>
      <c r="S151" s="630"/>
      <c r="T151" s="630"/>
      <c r="U151" s="630"/>
      <c r="V151" s="630"/>
      <c r="W151" s="630"/>
      <c r="X151" s="630"/>
      <c r="Y151" s="630"/>
      <c r="Z151" s="630"/>
      <c r="AA151" s="630"/>
      <c r="AB151" s="1">
        <f t="shared" ref="AB151:AB157" si="92">SUM(R151:AA151)</f>
        <v>0</v>
      </c>
      <c r="AC151" s="357" t="e">
        <f t="shared" ref="AC151:AC157" si="93">+AB151/(J151+K151+L151)</f>
        <v>#DIV/0!</v>
      </c>
      <c r="AD151" s="864" t="s">
        <v>144</v>
      </c>
      <c r="AE151" s="865"/>
      <c r="AF151" s="865"/>
      <c r="AG151" s="866"/>
      <c r="AH151" s="866"/>
      <c r="AI151" s="867"/>
    </row>
    <row r="152" spans="1:35" x14ac:dyDescent="0.25">
      <c r="A152" s="638"/>
      <c r="C152" s="630"/>
      <c r="D152" s="630"/>
      <c r="E152" s="630"/>
      <c r="F152" s="630"/>
      <c r="G152" s="264">
        <f t="shared" si="88"/>
        <v>0</v>
      </c>
      <c r="H152" s="442">
        <f t="shared" si="89"/>
        <v>0</v>
      </c>
      <c r="J152" s="630"/>
      <c r="K152" s="630"/>
      <c r="L152" s="630"/>
      <c r="M152" s="630"/>
      <c r="N152" s="1">
        <f>IF(C152&gt;0,((J152*Setup_and_Criteria!$F$13)+('M1_1-15th'!K152*Setup_and_Criteria!$F$14)+('M1_1-15th'!L152*Setup_and_Criteria!$F$15)+('M1_1-15th'!M152*Setup_and_Criteria!$F$16)+Setup_and_Criteria!$J$16),0)</f>
        <v>0</v>
      </c>
      <c r="O152" s="442">
        <f t="shared" ref="O152:O157" si="94">+H152</f>
        <v>0</v>
      </c>
      <c r="P152" s="443">
        <f t="shared" si="90"/>
        <v>0</v>
      </c>
      <c r="Q152" s="357" t="e">
        <f t="shared" si="91"/>
        <v>#DIV/0!</v>
      </c>
      <c r="R152" s="630"/>
      <c r="S152" s="630"/>
      <c r="T152" s="630"/>
      <c r="U152" s="630"/>
      <c r="V152" s="630"/>
      <c r="W152" s="630"/>
      <c r="X152" s="630"/>
      <c r="Y152" s="630"/>
      <c r="Z152" s="630"/>
      <c r="AA152" s="630"/>
      <c r="AB152" s="1">
        <f t="shared" si="92"/>
        <v>0</v>
      </c>
      <c r="AC152" s="357" t="e">
        <f t="shared" si="93"/>
        <v>#DIV/0!</v>
      </c>
      <c r="AD152" s="864"/>
      <c r="AE152" s="865"/>
      <c r="AF152" s="865"/>
      <c r="AG152" s="866"/>
      <c r="AH152" s="866"/>
      <c r="AI152" s="867"/>
    </row>
    <row r="153" spans="1:35" x14ac:dyDescent="0.25">
      <c r="A153" s="638"/>
      <c r="C153" s="630"/>
      <c r="D153" s="630"/>
      <c r="E153" s="630"/>
      <c r="F153" s="630"/>
      <c r="G153" s="264">
        <f t="shared" si="88"/>
        <v>0</v>
      </c>
      <c r="H153" s="442">
        <f t="shared" si="89"/>
        <v>0</v>
      </c>
      <c r="J153" s="630"/>
      <c r="K153" s="630"/>
      <c r="L153" s="630"/>
      <c r="M153" s="630"/>
      <c r="N153" s="1">
        <f>IF(C153&gt;0,((J153*Setup_and_Criteria!$F$13)+('M1_1-15th'!K153*Setup_and_Criteria!$F$14)+('M1_1-15th'!L153*Setup_and_Criteria!$F$15)+('M1_1-15th'!M153*Setup_and_Criteria!$F$16)+Setup_and_Criteria!$J$16),0)</f>
        <v>0</v>
      </c>
      <c r="O153" s="442">
        <f t="shared" si="94"/>
        <v>0</v>
      </c>
      <c r="P153" s="443">
        <f t="shared" si="90"/>
        <v>0</v>
      </c>
      <c r="Q153" s="357" t="e">
        <f t="shared" si="91"/>
        <v>#DIV/0!</v>
      </c>
      <c r="R153" s="630"/>
      <c r="S153" s="630"/>
      <c r="T153" s="630"/>
      <c r="U153" s="630"/>
      <c r="V153" s="630"/>
      <c r="W153" s="630"/>
      <c r="X153" s="630"/>
      <c r="Y153" s="630"/>
      <c r="Z153" s="630"/>
      <c r="AA153" s="630"/>
      <c r="AB153" s="1">
        <f t="shared" si="92"/>
        <v>0</v>
      </c>
      <c r="AC153" s="357" t="e">
        <f t="shared" si="93"/>
        <v>#DIV/0!</v>
      </c>
      <c r="AD153" s="864"/>
      <c r="AE153" s="865"/>
      <c r="AF153" s="865"/>
      <c r="AG153" s="866"/>
      <c r="AH153" s="866"/>
      <c r="AI153" s="867"/>
    </row>
    <row r="154" spans="1:35" x14ac:dyDescent="0.25">
      <c r="A154" s="638"/>
      <c r="C154" s="630"/>
      <c r="D154" s="630"/>
      <c r="E154" s="630"/>
      <c r="F154" s="630"/>
      <c r="G154" s="264">
        <f t="shared" si="88"/>
        <v>0</v>
      </c>
      <c r="H154" s="442">
        <f t="shared" si="89"/>
        <v>0</v>
      </c>
      <c r="J154" s="630"/>
      <c r="K154" s="630"/>
      <c r="L154" s="630"/>
      <c r="M154" s="630"/>
      <c r="N154" s="1">
        <f>IF(C154&gt;0,((J154*Setup_and_Criteria!$F$13)+('M1_1-15th'!K154*Setup_and_Criteria!$F$14)+('M1_1-15th'!L154*Setup_and_Criteria!$F$15)+('M1_1-15th'!M154*Setup_and_Criteria!$F$16)+Setup_and_Criteria!$J$16),0)</f>
        <v>0</v>
      </c>
      <c r="O154" s="442">
        <f t="shared" si="94"/>
        <v>0</v>
      </c>
      <c r="P154" s="443">
        <f t="shared" si="90"/>
        <v>0</v>
      </c>
      <c r="Q154" s="357" t="e">
        <f t="shared" si="91"/>
        <v>#DIV/0!</v>
      </c>
      <c r="R154" s="630"/>
      <c r="S154" s="630"/>
      <c r="T154" s="630"/>
      <c r="U154" s="630"/>
      <c r="V154" s="630"/>
      <c r="W154" s="630"/>
      <c r="X154" s="630"/>
      <c r="Y154" s="630"/>
      <c r="Z154" s="630"/>
      <c r="AA154" s="630"/>
      <c r="AB154" s="1">
        <f t="shared" si="92"/>
        <v>0</v>
      </c>
      <c r="AC154" s="357" t="e">
        <f t="shared" si="93"/>
        <v>#DIV/0!</v>
      </c>
      <c r="AD154" s="864"/>
      <c r="AE154" s="865"/>
      <c r="AF154" s="865"/>
      <c r="AG154" s="866"/>
      <c r="AH154" s="866"/>
      <c r="AI154" s="867"/>
    </row>
    <row r="155" spans="1:35" x14ac:dyDescent="0.25">
      <c r="A155" s="638"/>
      <c r="C155" s="630"/>
      <c r="D155" s="630"/>
      <c r="E155" s="630"/>
      <c r="F155" s="630"/>
      <c r="G155" s="264">
        <f t="shared" si="88"/>
        <v>0</v>
      </c>
      <c r="H155" s="442">
        <f t="shared" si="89"/>
        <v>0</v>
      </c>
      <c r="J155" s="630"/>
      <c r="K155" s="630"/>
      <c r="L155" s="630"/>
      <c r="M155" s="630"/>
      <c r="N155" s="1">
        <f>IF(C155&gt;0,((J155*Setup_and_Criteria!$F$13)+('M1_1-15th'!K155*Setup_and_Criteria!$F$14)+('M1_1-15th'!L155*Setup_and_Criteria!$F$15)+('M1_1-15th'!M155*Setup_and_Criteria!$F$16)+Setup_and_Criteria!$J$16),0)</f>
        <v>0</v>
      </c>
      <c r="O155" s="442">
        <f t="shared" si="94"/>
        <v>0</v>
      </c>
      <c r="P155" s="443">
        <f t="shared" si="90"/>
        <v>0</v>
      </c>
      <c r="Q155" s="357" t="e">
        <f t="shared" si="91"/>
        <v>#DIV/0!</v>
      </c>
      <c r="R155" s="630"/>
      <c r="S155" s="630"/>
      <c r="T155" s="630"/>
      <c r="U155" s="630"/>
      <c r="V155" s="630"/>
      <c r="W155" s="630"/>
      <c r="X155" s="630"/>
      <c r="Y155" s="630"/>
      <c r="Z155" s="630"/>
      <c r="AA155" s="630"/>
      <c r="AB155" s="1">
        <f t="shared" si="92"/>
        <v>0</v>
      </c>
      <c r="AC155" s="357" t="e">
        <f t="shared" si="93"/>
        <v>#DIV/0!</v>
      </c>
      <c r="AD155" s="864"/>
      <c r="AE155" s="865"/>
      <c r="AF155" s="865"/>
      <c r="AG155" s="866"/>
      <c r="AH155" s="866"/>
      <c r="AI155" s="867"/>
    </row>
    <row r="156" spans="1:35" ht="15.75" thickBot="1" x14ac:dyDescent="0.3">
      <c r="A156" s="638"/>
      <c r="C156" s="370"/>
      <c r="D156" s="370"/>
      <c r="E156" s="630"/>
      <c r="F156" s="630"/>
      <c r="G156" s="264">
        <f t="shared" si="88"/>
        <v>0</v>
      </c>
      <c r="H156" s="442">
        <f t="shared" si="89"/>
        <v>0</v>
      </c>
      <c r="J156" s="371"/>
      <c r="K156" s="371"/>
      <c r="L156" s="371"/>
      <c r="M156" s="371"/>
      <c r="N156" s="358">
        <f>IF(C156&gt;0,((J156*Setup_and_Criteria!$F$13)+('M1_1-15th'!K156*Setup_and_Criteria!$F$14)+('M1_1-15th'!L156*Setup_and_Criteria!$F$15)+('M1_1-15th'!M156*Setup_and_Criteria!$F$16)+Setup_and_Criteria!$J$16),0)</f>
        <v>0</v>
      </c>
      <c r="O156" s="359">
        <f t="shared" si="94"/>
        <v>0</v>
      </c>
      <c r="P156" s="383">
        <f t="shared" si="90"/>
        <v>0</v>
      </c>
      <c r="Q156" s="360" t="e">
        <f t="shared" si="91"/>
        <v>#DIV/0!</v>
      </c>
      <c r="R156" s="511"/>
      <c r="S156" s="511"/>
      <c r="T156" s="511"/>
      <c r="U156" s="511"/>
      <c r="V156" s="511"/>
      <c r="W156" s="511"/>
      <c r="X156" s="511"/>
      <c r="Y156" s="511"/>
      <c r="Z156" s="511"/>
      <c r="AA156" s="511"/>
      <c r="AB156" s="1">
        <f t="shared" si="92"/>
        <v>0</v>
      </c>
      <c r="AC156" s="357" t="e">
        <f t="shared" si="93"/>
        <v>#DIV/0!</v>
      </c>
      <c r="AD156" s="864"/>
      <c r="AE156" s="865"/>
      <c r="AF156" s="865"/>
      <c r="AG156" s="866"/>
      <c r="AH156" s="866"/>
      <c r="AI156" s="867"/>
    </row>
    <row r="157" spans="1:35" ht="15.75" thickTop="1" x14ac:dyDescent="0.25">
      <c r="A157" s="58"/>
      <c r="H157" s="442">
        <f>SUM(H151:H156)</f>
        <v>0</v>
      </c>
      <c r="J157" s="1">
        <f>SUM(J151:J156)</f>
        <v>0</v>
      </c>
      <c r="K157" s="1">
        <f>SUM(K151:K156)</f>
        <v>0</v>
      </c>
      <c r="L157" s="1">
        <f>SUM(L151:L156)</f>
        <v>0</v>
      </c>
      <c r="M157" s="1">
        <f>SUM(M151:M156)</f>
        <v>0</v>
      </c>
      <c r="N157" s="1">
        <f>SUM(N151:N156)</f>
        <v>0</v>
      </c>
      <c r="O157" s="1">
        <f t="shared" si="94"/>
        <v>0</v>
      </c>
      <c r="P157" s="443">
        <f t="shared" si="90"/>
        <v>0</v>
      </c>
      <c r="Q157" s="357" t="e">
        <f t="shared" si="91"/>
        <v>#DIV/0!</v>
      </c>
      <c r="R157" s="1">
        <f t="shared" ref="R157:AA157" si="95">SUM(R151:R156)</f>
        <v>0</v>
      </c>
      <c r="S157" s="1">
        <f t="shared" si="95"/>
        <v>0</v>
      </c>
      <c r="T157" s="1">
        <f t="shared" si="95"/>
        <v>0</v>
      </c>
      <c r="U157" s="1">
        <f t="shared" si="95"/>
        <v>0</v>
      </c>
      <c r="V157" s="1">
        <f t="shared" si="95"/>
        <v>0</v>
      </c>
      <c r="W157" s="1">
        <f t="shared" si="95"/>
        <v>0</v>
      </c>
      <c r="X157" s="1">
        <f t="shared" si="95"/>
        <v>0</v>
      </c>
      <c r="Y157" s="1">
        <f t="shared" si="95"/>
        <v>0</v>
      </c>
      <c r="Z157" s="1">
        <f t="shared" si="95"/>
        <v>0</v>
      </c>
      <c r="AA157" s="1">
        <f t="shared" si="95"/>
        <v>0</v>
      </c>
      <c r="AB157" s="1">
        <f t="shared" si="92"/>
        <v>0</v>
      </c>
      <c r="AC157" s="357" t="e">
        <f t="shared" si="93"/>
        <v>#DIV/0!</v>
      </c>
      <c r="AD157" s="877"/>
      <c r="AE157" s="878"/>
      <c r="AF157" s="878"/>
      <c r="AG157" s="749"/>
      <c r="AH157" s="749"/>
      <c r="AI157" s="879"/>
    </row>
    <row r="158" spans="1:35" ht="21" customHeight="1" x14ac:dyDescent="0.35">
      <c r="A158" s="58"/>
      <c r="H158" s="442"/>
      <c r="N158" s="888" t="s">
        <v>145</v>
      </c>
      <c r="O158" s="888"/>
      <c r="P158" s="888"/>
      <c r="Q158" s="888"/>
      <c r="R158" s="431" t="s">
        <v>146</v>
      </c>
      <c r="S158" s="431"/>
      <c r="T158" s="431"/>
      <c r="U158" s="431"/>
      <c r="V158" s="431"/>
      <c r="W158" s="431"/>
      <c r="X158" s="431"/>
      <c r="Y158" s="431"/>
      <c r="Z158" s="431"/>
      <c r="AA158" s="431"/>
      <c r="AB158" s="431"/>
      <c r="AC158" s="431"/>
      <c r="AD158" s="880" t="s">
        <v>132</v>
      </c>
      <c r="AE158" s="881"/>
      <c r="AF158" s="881"/>
      <c r="AG158" s="881"/>
      <c r="AH158" s="881"/>
      <c r="AI158" s="882"/>
    </row>
    <row r="159" spans="1:35" ht="31.5" customHeight="1" x14ac:dyDescent="0.35">
      <c r="A159" s="617" t="s">
        <v>147</v>
      </c>
      <c r="C159" s="885" t="s">
        <v>128</v>
      </c>
      <c r="D159" s="885"/>
      <c r="E159" s="885"/>
      <c r="F159" s="885"/>
      <c r="H159" s="442"/>
      <c r="J159" s="444"/>
      <c r="K159" s="445" t="s">
        <v>35</v>
      </c>
      <c r="L159" s="445" t="s">
        <v>148</v>
      </c>
      <c r="N159" s="446" t="s">
        <v>149</v>
      </c>
      <c r="O159" s="447" t="s">
        <v>150</v>
      </c>
      <c r="P159" s="447" t="s">
        <v>138</v>
      </c>
      <c r="Q159" s="447" t="s">
        <v>151</v>
      </c>
      <c r="R159" s="749" t="s">
        <v>152</v>
      </c>
      <c r="S159" s="749"/>
      <c r="T159" s="883" t="s">
        <v>153</v>
      </c>
      <c r="U159" s="883"/>
      <c r="W159" s="425" t="s">
        <v>154</v>
      </c>
      <c r="X159" s="425"/>
      <c r="Y159" s="425"/>
      <c r="Z159" s="425"/>
      <c r="AA159" s="425"/>
      <c r="AB159" s="425"/>
      <c r="AC159" s="425"/>
      <c r="AD159" s="868" t="s">
        <v>160</v>
      </c>
      <c r="AE159" s="869"/>
      <c r="AF159" s="869"/>
      <c r="AG159" s="869"/>
      <c r="AH159" s="869"/>
      <c r="AI159" s="870"/>
    </row>
    <row r="160" spans="1:35" ht="18" customHeight="1" thickBot="1" x14ac:dyDescent="0.3">
      <c r="A160" s="639"/>
      <c r="B160" s="375"/>
      <c r="C160" s="372"/>
      <c r="D160" s="372"/>
      <c r="E160" s="372"/>
      <c r="F160" s="372"/>
      <c r="G160" s="366">
        <f>+(D160-C160)+(F160-E160)</f>
        <v>0</v>
      </c>
      <c r="H160" s="367">
        <f>+G160*1440</f>
        <v>0</v>
      </c>
      <c r="I160" s="859" t="s">
        <v>155</v>
      </c>
      <c r="J160" s="860"/>
      <c r="K160" s="373"/>
      <c r="L160" s="374"/>
      <c r="M160" s="423"/>
      <c r="N160" s="629">
        <f>+J157+L157+K157+K160+L160</f>
        <v>0</v>
      </c>
      <c r="O160" s="368">
        <f>+(Setup_and_Criteria!$K$31+(J157*Setup_and_Criteria!$F$20)+('M1_1-15th'!K157*Setup_and_Criteria!$F$21)+('M1_1-15th'!L157*Setup_and_Criteria!$F$20))+T160+(K160*Setup_and_Criteria!$F$21)+(Setup_and_Criteria!$F$22*'M1_1-15th'!L160)</f>
        <v>75</v>
      </c>
      <c r="P160" s="367">
        <f>+H160</f>
        <v>0</v>
      </c>
      <c r="Q160" s="367">
        <f>+O160-P160</f>
        <v>75</v>
      </c>
      <c r="R160" s="861" t="s">
        <v>252</v>
      </c>
      <c r="S160" s="861"/>
      <c r="T160" s="862"/>
      <c r="U160" s="863"/>
      <c r="V160" s="265" t="s">
        <v>156</v>
      </c>
      <c r="W160" s="854"/>
      <c r="X160" s="855"/>
      <c r="Y160" s="855"/>
      <c r="Z160" s="855"/>
      <c r="AA160" s="855"/>
      <c r="AB160" s="855"/>
      <c r="AC160" s="855"/>
      <c r="AD160" s="868"/>
      <c r="AE160" s="869"/>
      <c r="AF160" s="869"/>
      <c r="AG160" s="869"/>
      <c r="AH160" s="869"/>
      <c r="AI160" s="870"/>
    </row>
    <row r="161" spans="1:35" ht="15.75" thickBot="1" x14ac:dyDescent="0.3">
      <c r="A161" s="449" t="str">
        <f>+A148</f>
        <v>Password to enter data = "Enter Info"</v>
      </c>
      <c r="B161" s="450"/>
      <c r="C161" s="451"/>
      <c r="D161" s="451"/>
      <c r="E161" s="451"/>
      <c r="F161" s="451"/>
      <c r="G161" s="451"/>
      <c r="H161" s="451"/>
      <c r="I161" s="450"/>
      <c r="J161" s="451"/>
      <c r="K161" s="451"/>
      <c r="L161" s="451"/>
      <c r="M161" s="451"/>
      <c r="N161" s="451"/>
      <c r="O161" s="451"/>
      <c r="P161" s="451"/>
      <c r="Q161" s="450"/>
      <c r="R161" s="451"/>
      <c r="S161" s="451"/>
      <c r="T161" s="451"/>
      <c r="U161" s="451"/>
      <c r="V161" s="451"/>
      <c r="W161" s="451"/>
      <c r="X161" s="451"/>
      <c r="Y161" s="451"/>
      <c r="Z161" s="451"/>
      <c r="AA161" s="451"/>
      <c r="AB161" s="450"/>
      <c r="AC161" s="450"/>
      <c r="AD161" s="871"/>
      <c r="AE161" s="872"/>
      <c r="AF161" s="872"/>
      <c r="AG161" s="872"/>
      <c r="AH161" s="872"/>
      <c r="AI161" s="873"/>
    </row>
    <row r="162" spans="1:35" ht="35.25" customHeight="1" x14ac:dyDescent="0.4">
      <c r="A162" s="434" t="str">
        <f>+A149</f>
        <v>June</v>
      </c>
      <c r="B162" s="624">
        <f>+B149+1</f>
        <v>13</v>
      </c>
      <c r="C162" s="884" t="s">
        <v>128</v>
      </c>
      <c r="D162" s="884"/>
      <c r="E162" s="884"/>
      <c r="F162" s="884"/>
      <c r="G162" s="377"/>
      <c r="H162" s="377"/>
      <c r="I162" s="21"/>
      <c r="J162" s="874" t="s">
        <v>129</v>
      </c>
      <c r="K162" s="875"/>
      <c r="L162" s="875"/>
      <c r="M162" s="875"/>
      <c r="N162" s="876" t="s">
        <v>130</v>
      </c>
      <c r="O162" s="876"/>
      <c r="P162" s="876"/>
      <c r="Q162" s="876"/>
      <c r="R162" s="424" t="str">
        <f>+R149</f>
        <v xml:space="preserve"> Corrections Tracking - Check out rooms</v>
      </c>
      <c r="S162" s="424"/>
      <c r="T162" s="424"/>
      <c r="U162" s="424"/>
      <c r="V162" s="424"/>
      <c r="W162" s="424"/>
      <c r="X162" s="424"/>
      <c r="Y162" s="424"/>
      <c r="Z162" s="424"/>
      <c r="AA162" s="424"/>
      <c r="AB162" s="424"/>
      <c r="AC162" s="424"/>
      <c r="AD162" s="461" t="s">
        <v>132</v>
      </c>
      <c r="AE162" s="426"/>
      <c r="AF162" s="426"/>
      <c r="AG162" s="426"/>
      <c r="AH162" s="426"/>
      <c r="AI162" s="427"/>
    </row>
    <row r="163" spans="1:35" ht="59.25" customHeight="1" x14ac:dyDescent="0.25">
      <c r="A163" s="378" t="s">
        <v>133</v>
      </c>
      <c r="C163" s="435" t="s">
        <v>134</v>
      </c>
      <c r="D163" s="435" t="s">
        <v>135</v>
      </c>
      <c r="E163" s="435" t="s">
        <v>134</v>
      </c>
      <c r="F163" s="435" t="s">
        <v>135</v>
      </c>
      <c r="G163" s="1" t="s">
        <v>136</v>
      </c>
      <c r="H163" s="1" t="s">
        <v>108</v>
      </c>
      <c r="I163" s="436"/>
      <c r="J163" s="437" t="str">
        <f>+Setup_and_Criteria!$B$13</f>
        <v>Checkouts</v>
      </c>
      <c r="K163" s="437" t="str">
        <f>+Setup_and_Criteria!$B$14</f>
        <v>Pet Rooms</v>
      </c>
      <c r="L163" s="437" t="str">
        <f>+Setup_and_Criteria!$B$15</f>
        <v>2 Rm &amp; Jac Stes</v>
      </c>
      <c r="M163" s="438" t="str">
        <f>+Setup_and_Criteria!$B$16</f>
        <v>Stayovers</v>
      </c>
      <c r="N163" s="269" t="s">
        <v>137</v>
      </c>
      <c r="O163" s="269" t="s">
        <v>138</v>
      </c>
      <c r="P163" s="439" t="s">
        <v>139</v>
      </c>
      <c r="Q163" s="439" t="s">
        <v>140</v>
      </c>
      <c r="R163" s="440" t="str">
        <f>+Corrections!$C$8</f>
        <v>Vanity</v>
      </c>
      <c r="S163" s="440" t="str">
        <f>+Corrections!$I$8</f>
        <v>Toilet</v>
      </c>
      <c r="T163" s="440" t="str">
        <f>+Corrections!$O$8</f>
        <v>Bed/Pillows</v>
      </c>
      <c r="U163" s="440" t="str">
        <f>+Corrections!$U$8</f>
        <v>Floor</v>
      </c>
      <c r="V163" s="440" t="str">
        <f>+Corrections!$AA$8</f>
        <v>Dusting</v>
      </c>
      <c r="W163" s="440" t="str">
        <f>+Corrections!$AG$8</f>
        <v>Fridge/Micro</v>
      </c>
      <c r="X163" s="440" t="str">
        <f>+Corrections!$AM$8</f>
        <v>Tub</v>
      </c>
      <c r="Y163" s="441" t="str">
        <f>+Corrections!$AS$8</f>
        <v>Mirrors/Glass</v>
      </c>
      <c r="Z163" s="440" t="str">
        <f>+Corrections!$AY$8</f>
        <v>Stocking</v>
      </c>
      <c r="AA163" s="440" t="str">
        <f>+Corrections!$BE$8</f>
        <v>Other</v>
      </c>
      <c r="AB163" s="269" t="s">
        <v>141</v>
      </c>
      <c r="AC163" s="269" t="str">
        <f>+$AC$7</f>
        <v>Daily Corr / Inspected Checkout</v>
      </c>
      <c r="AD163" s="889" t="s">
        <v>143</v>
      </c>
      <c r="AE163" s="890"/>
      <c r="AF163" s="890"/>
      <c r="AG163" s="890"/>
      <c r="AH163" s="890"/>
      <c r="AI163" s="891"/>
    </row>
    <row r="164" spans="1:35" x14ac:dyDescent="0.25">
      <c r="A164" s="638"/>
      <c r="C164" s="369"/>
      <c r="D164" s="369"/>
      <c r="E164" s="369"/>
      <c r="F164" s="369"/>
      <c r="G164" s="264">
        <f t="shared" ref="G164:G169" si="96">+(D164-C164)+(F164-E164)</f>
        <v>0</v>
      </c>
      <c r="H164" s="442">
        <f t="shared" ref="H164:H169" si="97">+G164*1440</f>
        <v>0</v>
      </c>
      <c r="J164" s="630"/>
      <c r="K164" s="630"/>
      <c r="L164" s="630"/>
      <c r="M164" s="630"/>
      <c r="N164" s="1">
        <f>IF(C164&gt;0,((J164*Setup_and_Criteria!$F$13)+('M1_1-15th'!K164*Setup_and_Criteria!$F$14)+('M1_1-15th'!L164*Setup_and_Criteria!$F$15)+('M1_1-15th'!M164*Setup_and_Criteria!$F$16)+Setup_and_Criteria!$J$16),0)</f>
        <v>0</v>
      </c>
      <c r="O164" s="442">
        <f>+H164</f>
        <v>0</v>
      </c>
      <c r="P164" s="443">
        <f t="shared" ref="P164:P170" si="98">+N164-O164</f>
        <v>0</v>
      </c>
      <c r="Q164" s="357" t="e">
        <f t="shared" ref="Q164:Q170" si="99">O164/_xlfn.SINGLE(SUM(J164:M164))</f>
        <v>#DIV/0!</v>
      </c>
      <c r="R164" s="630"/>
      <c r="S164" s="630"/>
      <c r="T164" s="630"/>
      <c r="U164" s="630"/>
      <c r="V164" s="630"/>
      <c r="W164" s="630"/>
      <c r="X164" s="630"/>
      <c r="Y164" s="630"/>
      <c r="Z164" s="630"/>
      <c r="AA164" s="630"/>
      <c r="AB164" s="1">
        <f t="shared" ref="AB164:AB170" si="100">SUM(R164:AA164)</f>
        <v>0</v>
      </c>
      <c r="AC164" s="357" t="e">
        <f t="shared" ref="AC164:AC170" si="101">+AB164/(J164+K164+L164)</f>
        <v>#DIV/0!</v>
      </c>
      <c r="AD164" s="864" t="s">
        <v>144</v>
      </c>
      <c r="AE164" s="865"/>
      <c r="AF164" s="865"/>
      <c r="AG164" s="866"/>
      <c r="AH164" s="866"/>
      <c r="AI164" s="867"/>
    </row>
    <row r="165" spans="1:35" x14ac:dyDescent="0.25">
      <c r="A165" s="638"/>
      <c r="C165" s="630"/>
      <c r="D165" s="630"/>
      <c r="E165" s="630"/>
      <c r="F165" s="630"/>
      <c r="G165" s="264">
        <f t="shared" si="96"/>
        <v>0</v>
      </c>
      <c r="H165" s="442">
        <f t="shared" si="97"/>
        <v>0</v>
      </c>
      <c r="J165" s="630"/>
      <c r="K165" s="630"/>
      <c r="L165" s="630"/>
      <c r="M165" s="630"/>
      <c r="N165" s="1">
        <f>IF(C165&gt;0,((J165*Setup_and_Criteria!$F$13)+('M1_1-15th'!K165*Setup_and_Criteria!$F$14)+('M1_1-15th'!L165*Setup_and_Criteria!$F$15)+('M1_1-15th'!M165*Setup_and_Criteria!$F$16)+Setup_and_Criteria!$J$16),0)</f>
        <v>0</v>
      </c>
      <c r="O165" s="442">
        <f t="shared" ref="O165:O170" si="102">+H165</f>
        <v>0</v>
      </c>
      <c r="P165" s="443">
        <f t="shared" si="98"/>
        <v>0</v>
      </c>
      <c r="Q165" s="357" t="e">
        <f t="shared" si="99"/>
        <v>#DIV/0!</v>
      </c>
      <c r="R165" s="630"/>
      <c r="S165" s="630"/>
      <c r="T165" s="630"/>
      <c r="U165" s="630"/>
      <c r="V165" s="630"/>
      <c r="W165" s="630"/>
      <c r="X165" s="630"/>
      <c r="Y165" s="630"/>
      <c r="Z165" s="630"/>
      <c r="AA165" s="630"/>
      <c r="AB165" s="1">
        <f t="shared" si="100"/>
        <v>0</v>
      </c>
      <c r="AC165" s="357" t="e">
        <f t="shared" si="101"/>
        <v>#DIV/0!</v>
      </c>
      <c r="AD165" s="864"/>
      <c r="AE165" s="865"/>
      <c r="AF165" s="865"/>
      <c r="AG165" s="866"/>
      <c r="AH165" s="866"/>
      <c r="AI165" s="867"/>
    </row>
    <row r="166" spans="1:35" x14ac:dyDescent="0.25">
      <c r="A166" s="638"/>
      <c r="C166" s="630"/>
      <c r="D166" s="630"/>
      <c r="E166" s="630"/>
      <c r="F166" s="630"/>
      <c r="G166" s="264">
        <f t="shared" si="96"/>
        <v>0</v>
      </c>
      <c r="H166" s="442">
        <f t="shared" si="97"/>
        <v>0</v>
      </c>
      <c r="J166" s="630"/>
      <c r="K166" s="630"/>
      <c r="L166" s="630"/>
      <c r="M166" s="630"/>
      <c r="N166" s="1">
        <f>IF(C166&gt;0,((J166*Setup_and_Criteria!$F$13)+('M1_1-15th'!K166*Setup_and_Criteria!$F$14)+('M1_1-15th'!L166*Setup_and_Criteria!$F$15)+('M1_1-15th'!M166*Setup_and_Criteria!$F$16)+Setup_and_Criteria!$J$16),0)</f>
        <v>0</v>
      </c>
      <c r="O166" s="442">
        <f t="shared" si="102"/>
        <v>0</v>
      </c>
      <c r="P166" s="443">
        <f t="shared" si="98"/>
        <v>0</v>
      </c>
      <c r="Q166" s="357" t="e">
        <f t="shared" si="99"/>
        <v>#DIV/0!</v>
      </c>
      <c r="R166" s="630"/>
      <c r="S166" s="630"/>
      <c r="T166" s="630"/>
      <c r="U166" s="630"/>
      <c r="V166" s="630"/>
      <c r="W166" s="630"/>
      <c r="X166" s="630"/>
      <c r="Y166" s="630"/>
      <c r="Z166" s="630"/>
      <c r="AA166" s="630"/>
      <c r="AB166" s="1">
        <f t="shared" si="100"/>
        <v>0</v>
      </c>
      <c r="AC166" s="357" t="e">
        <f t="shared" si="101"/>
        <v>#DIV/0!</v>
      </c>
      <c r="AD166" s="864"/>
      <c r="AE166" s="865"/>
      <c r="AF166" s="865"/>
      <c r="AG166" s="866"/>
      <c r="AH166" s="866"/>
      <c r="AI166" s="867"/>
    </row>
    <row r="167" spans="1:35" x14ac:dyDescent="0.25">
      <c r="A167" s="638"/>
      <c r="C167" s="630"/>
      <c r="D167" s="630"/>
      <c r="E167" s="630"/>
      <c r="F167" s="630"/>
      <c r="G167" s="264">
        <f t="shared" si="96"/>
        <v>0</v>
      </c>
      <c r="H167" s="442">
        <f t="shared" si="97"/>
        <v>0</v>
      </c>
      <c r="J167" s="630"/>
      <c r="K167" s="630"/>
      <c r="L167" s="630"/>
      <c r="M167" s="630"/>
      <c r="N167" s="1">
        <f>IF(C167&gt;0,((J167*Setup_and_Criteria!$F$13)+('M1_1-15th'!K167*Setup_and_Criteria!$F$14)+('M1_1-15th'!L167*Setup_and_Criteria!$F$15)+('M1_1-15th'!M167*Setup_and_Criteria!$F$16)+Setup_and_Criteria!$J$16),0)</f>
        <v>0</v>
      </c>
      <c r="O167" s="442">
        <f t="shared" si="102"/>
        <v>0</v>
      </c>
      <c r="P167" s="443">
        <f t="shared" si="98"/>
        <v>0</v>
      </c>
      <c r="Q167" s="357" t="e">
        <f t="shared" si="99"/>
        <v>#DIV/0!</v>
      </c>
      <c r="R167" s="630"/>
      <c r="S167" s="630"/>
      <c r="T167" s="630"/>
      <c r="U167" s="630"/>
      <c r="V167" s="630"/>
      <c r="W167" s="630"/>
      <c r="X167" s="630"/>
      <c r="Y167" s="630"/>
      <c r="Z167" s="630"/>
      <c r="AA167" s="630"/>
      <c r="AB167" s="1">
        <f t="shared" si="100"/>
        <v>0</v>
      </c>
      <c r="AC167" s="357" t="e">
        <f t="shared" si="101"/>
        <v>#DIV/0!</v>
      </c>
      <c r="AD167" s="864"/>
      <c r="AE167" s="865"/>
      <c r="AF167" s="865"/>
      <c r="AG167" s="866"/>
      <c r="AH167" s="866"/>
      <c r="AI167" s="867"/>
    </row>
    <row r="168" spans="1:35" x14ac:dyDescent="0.25">
      <c r="A168" s="638"/>
      <c r="C168" s="630"/>
      <c r="D168" s="630"/>
      <c r="E168" s="630"/>
      <c r="F168" s="630"/>
      <c r="G168" s="264">
        <f t="shared" si="96"/>
        <v>0</v>
      </c>
      <c r="H168" s="442">
        <f t="shared" si="97"/>
        <v>0</v>
      </c>
      <c r="J168" s="630"/>
      <c r="K168" s="630"/>
      <c r="L168" s="630"/>
      <c r="M168" s="630"/>
      <c r="N168" s="1">
        <f>IF(C168&gt;0,((J168*Setup_and_Criteria!$F$13)+('M1_1-15th'!K168*Setup_and_Criteria!$F$14)+('M1_1-15th'!L168*Setup_and_Criteria!$F$15)+('M1_1-15th'!M168*Setup_and_Criteria!$F$16)+Setup_and_Criteria!$J$16),0)</f>
        <v>0</v>
      </c>
      <c r="O168" s="442">
        <f t="shared" si="102"/>
        <v>0</v>
      </c>
      <c r="P168" s="443">
        <f t="shared" si="98"/>
        <v>0</v>
      </c>
      <c r="Q168" s="357" t="e">
        <f t="shared" si="99"/>
        <v>#DIV/0!</v>
      </c>
      <c r="R168" s="630"/>
      <c r="S168" s="630"/>
      <c r="T168" s="630"/>
      <c r="U168" s="630"/>
      <c r="V168" s="630"/>
      <c r="W168" s="630"/>
      <c r="X168" s="630"/>
      <c r="Y168" s="630"/>
      <c r="Z168" s="630"/>
      <c r="AA168" s="630"/>
      <c r="AB168" s="1">
        <f t="shared" si="100"/>
        <v>0</v>
      </c>
      <c r="AC168" s="357" t="e">
        <f t="shared" si="101"/>
        <v>#DIV/0!</v>
      </c>
      <c r="AD168" s="864"/>
      <c r="AE168" s="865"/>
      <c r="AF168" s="865"/>
      <c r="AG168" s="866"/>
      <c r="AH168" s="866"/>
      <c r="AI168" s="867"/>
    </row>
    <row r="169" spans="1:35" ht="15.75" thickBot="1" x14ac:dyDescent="0.3">
      <c r="A169" s="638"/>
      <c r="C169" s="370"/>
      <c r="D169" s="370"/>
      <c r="E169" s="630"/>
      <c r="F169" s="630"/>
      <c r="G169" s="264">
        <f t="shared" si="96"/>
        <v>0</v>
      </c>
      <c r="H169" s="442">
        <f t="shared" si="97"/>
        <v>0</v>
      </c>
      <c r="J169" s="371"/>
      <c r="K169" s="371"/>
      <c r="L169" s="371"/>
      <c r="M169" s="371"/>
      <c r="N169" s="358">
        <f>IF(C169&gt;0,((J169*Setup_and_Criteria!$F$13)+('M1_1-15th'!K169*Setup_and_Criteria!$F$14)+('M1_1-15th'!L169*Setup_and_Criteria!$F$15)+('M1_1-15th'!M169*Setup_and_Criteria!$F$16)+Setup_and_Criteria!$J$16),0)</f>
        <v>0</v>
      </c>
      <c r="O169" s="359">
        <f t="shared" si="102"/>
        <v>0</v>
      </c>
      <c r="P169" s="383">
        <f t="shared" si="98"/>
        <v>0</v>
      </c>
      <c r="Q169" s="360" t="e">
        <f t="shared" si="99"/>
        <v>#DIV/0!</v>
      </c>
      <c r="R169" s="511"/>
      <c r="S169" s="511"/>
      <c r="T169" s="511"/>
      <c r="U169" s="511"/>
      <c r="V169" s="511"/>
      <c r="W169" s="511"/>
      <c r="X169" s="511"/>
      <c r="Y169" s="511"/>
      <c r="Z169" s="511"/>
      <c r="AA169" s="511"/>
      <c r="AB169" s="1">
        <f t="shared" si="100"/>
        <v>0</v>
      </c>
      <c r="AC169" s="357" t="e">
        <f t="shared" si="101"/>
        <v>#DIV/0!</v>
      </c>
      <c r="AD169" s="864"/>
      <c r="AE169" s="865"/>
      <c r="AF169" s="865"/>
      <c r="AG169" s="866"/>
      <c r="AH169" s="866"/>
      <c r="AI169" s="867"/>
    </row>
    <row r="170" spans="1:35" ht="15.75" thickTop="1" x14ac:dyDescent="0.25">
      <c r="A170" s="58"/>
      <c r="H170" s="442">
        <f>SUM(H164:H169)</f>
        <v>0</v>
      </c>
      <c r="J170" s="1">
        <f>SUM(J164:J169)</f>
        <v>0</v>
      </c>
      <c r="K170" s="1">
        <f>SUM(K164:K169)</f>
        <v>0</v>
      </c>
      <c r="L170" s="1">
        <f>SUM(L164:L169)</f>
        <v>0</v>
      </c>
      <c r="M170" s="1">
        <f>SUM(M164:M169)</f>
        <v>0</v>
      </c>
      <c r="N170" s="1">
        <f>SUM(N164:N169)</f>
        <v>0</v>
      </c>
      <c r="O170" s="1">
        <f t="shared" si="102"/>
        <v>0</v>
      </c>
      <c r="P170" s="443">
        <f t="shared" si="98"/>
        <v>0</v>
      </c>
      <c r="Q170" s="357" t="e">
        <f t="shared" si="99"/>
        <v>#DIV/0!</v>
      </c>
      <c r="R170" s="1">
        <f t="shared" ref="R170:AA170" si="103">SUM(R164:R169)</f>
        <v>0</v>
      </c>
      <c r="S170" s="1">
        <f t="shared" si="103"/>
        <v>0</v>
      </c>
      <c r="T170" s="1">
        <f t="shared" si="103"/>
        <v>0</v>
      </c>
      <c r="U170" s="1">
        <f t="shared" si="103"/>
        <v>0</v>
      </c>
      <c r="V170" s="1">
        <f t="shared" si="103"/>
        <v>0</v>
      </c>
      <c r="W170" s="1">
        <f t="shared" si="103"/>
        <v>0</v>
      </c>
      <c r="X170" s="1">
        <f t="shared" si="103"/>
        <v>0</v>
      </c>
      <c r="Y170" s="1">
        <f t="shared" si="103"/>
        <v>0</v>
      </c>
      <c r="Z170" s="1">
        <f t="shared" si="103"/>
        <v>0</v>
      </c>
      <c r="AA170" s="1">
        <f t="shared" si="103"/>
        <v>0</v>
      </c>
      <c r="AB170" s="1">
        <f t="shared" si="100"/>
        <v>0</v>
      </c>
      <c r="AC170" s="357" t="e">
        <f t="shared" si="101"/>
        <v>#DIV/0!</v>
      </c>
      <c r="AD170" s="877"/>
      <c r="AE170" s="878"/>
      <c r="AF170" s="878"/>
      <c r="AG170" s="749"/>
      <c r="AH170" s="749"/>
      <c r="AI170" s="879"/>
    </row>
    <row r="171" spans="1:35" ht="21" customHeight="1" x14ac:dyDescent="0.35">
      <c r="A171" s="58"/>
      <c r="H171" s="442"/>
      <c r="N171" s="888" t="s">
        <v>145</v>
      </c>
      <c r="O171" s="888"/>
      <c r="P171" s="888"/>
      <c r="Q171" s="888"/>
      <c r="R171" s="431" t="s">
        <v>146</v>
      </c>
      <c r="S171" s="431"/>
      <c r="T171" s="431"/>
      <c r="U171" s="431"/>
      <c r="V171" s="431"/>
      <c r="W171" s="431"/>
      <c r="X171" s="431"/>
      <c r="Y171" s="431"/>
      <c r="Z171" s="431"/>
      <c r="AA171" s="431"/>
      <c r="AB171" s="431"/>
      <c r="AC171" s="431"/>
      <c r="AD171" s="880" t="s">
        <v>132</v>
      </c>
      <c r="AE171" s="881"/>
      <c r="AF171" s="881"/>
      <c r="AG171" s="881"/>
      <c r="AH171" s="881"/>
      <c r="AI171" s="882"/>
    </row>
    <row r="172" spans="1:35" ht="31.5" customHeight="1" x14ac:dyDescent="0.35">
      <c r="A172" s="617" t="s">
        <v>147</v>
      </c>
      <c r="C172" s="885" t="s">
        <v>128</v>
      </c>
      <c r="D172" s="885"/>
      <c r="E172" s="885"/>
      <c r="F172" s="885"/>
      <c r="H172" s="442"/>
      <c r="J172" s="444"/>
      <c r="K172" s="445" t="s">
        <v>35</v>
      </c>
      <c r="L172" s="445" t="s">
        <v>148</v>
      </c>
      <c r="N172" s="446" t="s">
        <v>149</v>
      </c>
      <c r="O172" s="447" t="s">
        <v>150</v>
      </c>
      <c r="P172" s="447" t="s">
        <v>138</v>
      </c>
      <c r="Q172" s="447" t="s">
        <v>151</v>
      </c>
      <c r="R172" s="749" t="s">
        <v>152</v>
      </c>
      <c r="S172" s="749"/>
      <c r="T172" s="883" t="s">
        <v>153</v>
      </c>
      <c r="U172" s="883"/>
      <c r="W172" s="425" t="s">
        <v>154</v>
      </c>
      <c r="X172" s="425"/>
      <c r="Y172" s="425"/>
      <c r="Z172" s="425"/>
      <c r="AA172" s="425"/>
      <c r="AB172" s="425"/>
      <c r="AC172" s="425"/>
      <c r="AD172" s="868" t="s">
        <v>160</v>
      </c>
      <c r="AE172" s="869"/>
      <c r="AF172" s="869"/>
      <c r="AG172" s="869"/>
      <c r="AH172" s="869"/>
      <c r="AI172" s="870"/>
    </row>
    <row r="173" spans="1:35" ht="18" customHeight="1" thickBot="1" x14ac:dyDescent="0.3">
      <c r="A173" s="639"/>
      <c r="B173" s="375"/>
      <c r="C173" s="372"/>
      <c r="D173" s="372"/>
      <c r="E173" s="372"/>
      <c r="F173" s="372"/>
      <c r="G173" s="366">
        <f>+(D173-C173)+(F173-E173)</f>
        <v>0</v>
      </c>
      <c r="H173" s="367">
        <f>+G173*1440</f>
        <v>0</v>
      </c>
      <c r="I173" s="859" t="s">
        <v>155</v>
      </c>
      <c r="J173" s="860"/>
      <c r="K173" s="373"/>
      <c r="L173" s="374"/>
      <c r="M173" s="423"/>
      <c r="N173" s="629">
        <f>+J170+L170+K170+K173+L173</f>
        <v>0</v>
      </c>
      <c r="O173" s="368">
        <f>+(Setup_and_Criteria!$K$31+(J170*Setup_and_Criteria!$F$20)+('M1_1-15th'!K170*Setup_and_Criteria!$F$21)+('M1_1-15th'!L170*Setup_and_Criteria!$F$20))+T173+(K173*Setup_and_Criteria!$F$21)+(Setup_and_Criteria!$F$22*'M1_1-15th'!L173)</f>
        <v>75</v>
      </c>
      <c r="P173" s="367">
        <f>+H173</f>
        <v>0</v>
      </c>
      <c r="Q173" s="367">
        <f>+O173-P173</f>
        <v>75</v>
      </c>
      <c r="R173" s="861" t="s">
        <v>252</v>
      </c>
      <c r="S173" s="861"/>
      <c r="T173" s="862"/>
      <c r="U173" s="863"/>
      <c r="V173" s="265" t="s">
        <v>156</v>
      </c>
      <c r="W173" s="854"/>
      <c r="X173" s="855"/>
      <c r="Y173" s="855"/>
      <c r="Z173" s="855"/>
      <c r="AA173" s="855"/>
      <c r="AB173" s="855"/>
      <c r="AC173" s="855"/>
      <c r="AD173" s="868"/>
      <c r="AE173" s="869"/>
      <c r="AF173" s="869"/>
      <c r="AG173" s="869"/>
      <c r="AH173" s="869"/>
      <c r="AI173" s="870"/>
    </row>
    <row r="174" spans="1:35" ht="15.75" thickBot="1" x14ac:dyDescent="0.3">
      <c r="A174" s="449" t="str">
        <f>+A161</f>
        <v>Password to enter data = "Enter Info"</v>
      </c>
      <c r="B174" s="450"/>
      <c r="C174" s="451"/>
      <c r="D174" s="451"/>
      <c r="E174" s="451"/>
      <c r="F174" s="451"/>
      <c r="G174" s="451"/>
      <c r="H174" s="451"/>
      <c r="I174" s="450"/>
      <c r="J174" s="451"/>
      <c r="K174" s="451"/>
      <c r="L174" s="451"/>
      <c r="M174" s="451"/>
      <c r="N174" s="451"/>
      <c r="O174" s="451"/>
      <c r="P174" s="451"/>
      <c r="Q174" s="450"/>
      <c r="R174" s="451"/>
      <c r="S174" s="451"/>
      <c r="T174" s="451"/>
      <c r="U174" s="451"/>
      <c r="V174" s="451"/>
      <c r="W174" s="451"/>
      <c r="X174" s="451"/>
      <c r="Y174" s="451"/>
      <c r="Z174" s="451"/>
      <c r="AA174" s="451"/>
      <c r="AB174" s="450"/>
      <c r="AC174" s="450"/>
      <c r="AD174" s="871"/>
      <c r="AE174" s="872"/>
      <c r="AF174" s="872"/>
      <c r="AG174" s="872"/>
      <c r="AH174" s="872"/>
      <c r="AI174" s="873"/>
    </row>
    <row r="175" spans="1:35" ht="35.25" customHeight="1" x14ac:dyDescent="0.4">
      <c r="A175" s="434" t="str">
        <f>+A162</f>
        <v>June</v>
      </c>
      <c r="B175" s="624">
        <f>+B162+1</f>
        <v>14</v>
      </c>
      <c r="C175" s="884" t="s">
        <v>128</v>
      </c>
      <c r="D175" s="884"/>
      <c r="E175" s="884"/>
      <c r="F175" s="884"/>
      <c r="G175" s="377"/>
      <c r="H175" s="377"/>
      <c r="I175" s="21"/>
      <c r="J175" s="874" t="s">
        <v>129</v>
      </c>
      <c r="K175" s="875"/>
      <c r="L175" s="875"/>
      <c r="M175" s="875"/>
      <c r="N175" s="876" t="s">
        <v>130</v>
      </c>
      <c r="O175" s="876"/>
      <c r="P175" s="876"/>
      <c r="Q175" s="876"/>
      <c r="R175" s="424" t="str">
        <f>+R162</f>
        <v xml:space="preserve"> Corrections Tracking - Check out rooms</v>
      </c>
      <c r="S175" s="424"/>
      <c r="T175" s="424"/>
      <c r="U175" s="424"/>
      <c r="V175" s="424"/>
      <c r="W175" s="424"/>
      <c r="X175" s="424"/>
      <c r="Y175" s="424"/>
      <c r="Z175" s="424"/>
      <c r="AA175" s="424"/>
      <c r="AB175" s="424"/>
      <c r="AC175" s="424"/>
      <c r="AD175" s="461" t="s">
        <v>132</v>
      </c>
      <c r="AE175" s="426"/>
      <c r="AF175" s="426"/>
      <c r="AG175" s="426"/>
      <c r="AH175" s="426"/>
      <c r="AI175" s="427"/>
    </row>
    <row r="176" spans="1:35" ht="59.25" customHeight="1" x14ac:dyDescent="0.25">
      <c r="A176" s="378" t="s">
        <v>133</v>
      </c>
      <c r="C176" s="435" t="s">
        <v>134</v>
      </c>
      <c r="D176" s="435" t="s">
        <v>135</v>
      </c>
      <c r="E176" s="435" t="s">
        <v>134</v>
      </c>
      <c r="F176" s="435" t="s">
        <v>135</v>
      </c>
      <c r="G176" s="1" t="s">
        <v>136</v>
      </c>
      <c r="H176" s="1" t="s">
        <v>108</v>
      </c>
      <c r="I176" s="436"/>
      <c r="J176" s="437" t="str">
        <f>+Setup_and_Criteria!$B$13</f>
        <v>Checkouts</v>
      </c>
      <c r="K176" s="437" t="str">
        <f>+Setup_and_Criteria!$B$14</f>
        <v>Pet Rooms</v>
      </c>
      <c r="L176" s="437" t="str">
        <f>+Setup_and_Criteria!$B$15</f>
        <v>2 Rm &amp; Jac Stes</v>
      </c>
      <c r="M176" s="438" t="str">
        <f>+Setup_and_Criteria!$B$16</f>
        <v>Stayovers</v>
      </c>
      <c r="N176" s="269" t="s">
        <v>137</v>
      </c>
      <c r="O176" s="269" t="s">
        <v>138</v>
      </c>
      <c r="P176" s="439" t="s">
        <v>139</v>
      </c>
      <c r="Q176" s="439" t="s">
        <v>140</v>
      </c>
      <c r="R176" s="440" t="str">
        <f>+Corrections!$C$8</f>
        <v>Vanity</v>
      </c>
      <c r="S176" s="440" t="str">
        <f>+Corrections!$I$8</f>
        <v>Toilet</v>
      </c>
      <c r="T176" s="440" t="str">
        <f>+Corrections!$O$8</f>
        <v>Bed/Pillows</v>
      </c>
      <c r="U176" s="440" t="str">
        <f>+Corrections!$U$8</f>
        <v>Floor</v>
      </c>
      <c r="V176" s="440" t="str">
        <f>+Corrections!$AA$8</f>
        <v>Dusting</v>
      </c>
      <c r="W176" s="440" t="str">
        <f>+Corrections!$AG$8</f>
        <v>Fridge/Micro</v>
      </c>
      <c r="X176" s="440" t="str">
        <f>+Corrections!$AM$8</f>
        <v>Tub</v>
      </c>
      <c r="Y176" s="441" t="str">
        <f>+Corrections!$AS$8</f>
        <v>Mirrors/Glass</v>
      </c>
      <c r="Z176" s="440" t="str">
        <f>+Corrections!$AY$8</f>
        <v>Stocking</v>
      </c>
      <c r="AA176" s="440" t="str">
        <f>+Corrections!$BE$8</f>
        <v>Other</v>
      </c>
      <c r="AB176" s="269" t="s">
        <v>141</v>
      </c>
      <c r="AC176" s="269" t="str">
        <f>+$AC$7</f>
        <v>Daily Corr / Inspected Checkout</v>
      </c>
      <c r="AD176" s="889" t="s">
        <v>143</v>
      </c>
      <c r="AE176" s="890"/>
      <c r="AF176" s="890"/>
      <c r="AG176" s="890"/>
      <c r="AH176" s="890"/>
      <c r="AI176" s="891"/>
    </row>
    <row r="177" spans="1:35" x14ac:dyDescent="0.25">
      <c r="A177" s="638"/>
      <c r="C177" s="369"/>
      <c r="D177" s="369"/>
      <c r="E177" s="369"/>
      <c r="F177" s="369"/>
      <c r="G177" s="264">
        <f t="shared" ref="G177:G182" si="104">+(D177-C177)+(F177-E177)</f>
        <v>0</v>
      </c>
      <c r="H177" s="442">
        <f t="shared" ref="H177:H182" si="105">+G177*1440</f>
        <v>0</v>
      </c>
      <c r="J177" s="630"/>
      <c r="K177" s="630"/>
      <c r="L177" s="630"/>
      <c r="M177" s="630"/>
      <c r="N177" s="1">
        <f>IF(C177&gt;0,((J177*Setup_and_Criteria!$F$13)+('M1_1-15th'!K177*Setup_and_Criteria!$F$14)+('M1_1-15th'!L177*Setup_and_Criteria!$F$15)+('M1_1-15th'!M177*Setup_and_Criteria!$F$16)+Setup_and_Criteria!$J$16),0)</f>
        <v>0</v>
      </c>
      <c r="O177" s="442">
        <f>+H177</f>
        <v>0</v>
      </c>
      <c r="P177" s="443">
        <f t="shared" ref="P177:P183" si="106">+N177-O177</f>
        <v>0</v>
      </c>
      <c r="Q177" s="357" t="e">
        <f t="shared" ref="Q177:Q183" si="107">O177/_xlfn.SINGLE(SUM(J177:M177))</f>
        <v>#DIV/0!</v>
      </c>
      <c r="R177" s="630"/>
      <c r="S177" s="630"/>
      <c r="T177" s="630"/>
      <c r="U177" s="630"/>
      <c r="V177" s="630"/>
      <c r="W177" s="630"/>
      <c r="X177" s="630"/>
      <c r="Y177" s="630"/>
      <c r="Z177" s="630"/>
      <c r="AA177" s="630"/>
      <c r="AB177" s="1">
        <f t="shared" ref="AB177:AB183" si="108">SUM(R177:AA177)</f>
        <v>0</v>
      </c>
      <c r="AC177" s="357" t="e">
        <f t="shared" ref="AC177:AC183" si="109">+AB177/(J177+K177+L177)</f>
        <v>#DIV/0!</v>
      </c>
      <c r="AD177" s="864" t="s">
        <v>144</v>
      </c>
      <c r="AE177" s="865"/>
      <c r="AF177" s="865"/>
      <c r="AG177" s="866"/>
      <c r="AH177" s="866"/>
      <c r="AI177" s="867"/>
    </row>
    <row r="178" spans="1:35" x14ac:dyDescent="0.25">
      <c r="A178" s="638"/>
      <c r="C178" s="630"/>
      <c r="D178" s="630"/>
      <c r="E178" s="630"/>
      <c r="F178" s="630"/>
      <c r="G178" s="264">
        <f t="shared" si="104"/>
        <v>0</v>
      </c>
      <c r="H178" s="442">
        <f t="shared" si="105"/>
        <v>0</v>
      </c>
      <c r="J178" s="630"/>
      <c r="K178" s="630"/>
      <c r="L178" s="630"/>
      <c r="M178" s="630"/>
      <c r="N178" s="1">
        <f>IF(C178&gt;0,((J178*Setup_and_Criteria!$F$13)+('M1_1-15th'!K178*Setup_and_Criteria!$F$14)+('M1_1-15th'!L178*Setup_and_Criteria!$F$15)+('M1_1-15th'!M178*Setup_and_Criteria!$F$16)+Setup_and_Criteria!$J$16),0)</f>
        <v>0</v>
      </c>
      <c r="O178" s="442">
        <f t="shared" ref="O178:O183" si="110">+H178</f>
        <v>0</v>
      </c>
      <c r="P178" s="443">
        <f t="shared" si="106"/>
        <v>0</v>
      </c>
      <c r="Q178" s="357" t="e">
        <f t="shared" si="107"/>
        <v>#DIV/0!</v>
      </c>
      <c r="R178" s="630"/>
      <c r="S178" s="630"/>
      <c r="T178" s="630"/>
      <c r="U178" s="630"/>
      <c r="V178" s="630"/>
      <c r="W178" s="630"/>
      <c r="X178" s="630"/>
      <c r="Y178" s="630"/>
      <c r="Z178" s="630"/>
      <c r="AA178" s="630"/>
      <c r="AB178" s="1">
        <f t="shared" si="108"/>
        <v>0</v>
      </c>
      <c r="AC178" s="357" t="e">
        <f t="shared" si="109"/>
        <v>#DIV/0!</v>
      </c>
      <c r="AD178" s="864"/>
      <c r="AE178" s="865"/>
      <c r="AF178" s="865"/>
      <c r="AG178" s="866"/>
      <c r="AH178" s="866"/>
      <c r="AI178" s="867"/>
    </row>
    <row r="179" spans="1:35" x14ac:dyDescent="0.25">
      <c r="A179" s="638"/>
      <c r="C179" s="630"/>
      <c r="D179" s="630"/>
      <c r="E179" s="630"/>
      <c r="F179" s="630"/>
      <c r="G179" s="264">
        <f t="shared" si="104"/>
        <v>0</v>
      </c>
      <c r="H179" s="442">
        <f t="shared" si="105"/>
        <v>0</v>
      </c>
      <c r="J179" s="630"/>
      <c r="K179" s="630"/>
      <c r="L179" s="630"/>
      <c r="M179" s="630"/>
      <c r="N179" s="1">
        <f>IF(C179&gt;0,((J179*Setup_and_Criteria!$F$13)+('M1_1-15th'!K179*Setup_and_Criteria!$F$14)+('M1_1-15th'!L179*Setup_and_Criteria!$F$15)+('M1_1-15th'!M179*Setup_and_Criteria!$F$16)+Setup_and_Criteria!$J$16),0)</f>
        <v>0</v>
      </c>
      <c r="O179" s="442">
        <f t="shared" si="110"/>
        <v>0</v>
      </c>
      <c r="P179" s="443">
        <f t="shared" si="106"/>
        <v>0</v>
      </c>
      <c r="Q179" s="357" t="e">
        <f t="shared" si="107"/>
        <v>#DIV/0!</v>
      </c>
      <c r="R179" s="630"/>
      <c r="S179" s="630"/>
      <c r="T179" s="630"/>
      <c r="U179" s="630"/>
      <c r="V179" s="630"/>
      <c r="W179" s="630"/>
      <c r="X179" s="630"/>
      <c r="Y179" s="630"/>
      <c r="Z179" s="630"/>
      <c r="AA179" s="630"/>
      <c r="AB179" s="1">
        <f t="shared" si="108"/>
        <v>0</v>
      </c>
      <c r="AC179" s="357" t="e">
        <f t="shared" si="109"/>
        <v>#DIV/0!</v>
      </c>
      <c r="AD179" s="864"/>
      <c r="AE179" s="865"/>
      <c r="AF179" s="865"/>
      <c r="AG179" s="866"/>
      <c r="AH179" s="866"/>
      <c r="AI179" s="867"/>
    </row>
    <row r="180" spans="1:35" x14ac:dyDescent="0.25">
      <c r="A180" s="638"/>
      <c r="C180" s="630"/>
      <c r="D180" s="630"/>
      <c r="E180" s="630"/>
      <c r="F180" s="630"/>
      <c r="G180" s="264">
        <f t="shared" si="104"/>
        <v>0</v>
      </c>
      <c r="H180" s="442">
        <f t="shared" si="105"/>
        <v>0</v>
      </c>
      <c r="J180" s="630"/>
      <c r="K180" s="630"/>
      <c r="L180" s="630"/>
      <c r="M180" s="630"/>
      <c r="N180" s="1">
        <f>IF(C180&gt;0,((J180*Setup_and_Criteria!$F$13)+('M1_1-15th'!K180*Setup_and_Criteria!$F$14)+('M1_1-15th'!L180*Setup_and_Criteria!$F$15)+('M1_1-15th'!M180*Setup_and_Criteria!$F$16)+Setup_and_Criteria!$J$16),0)</f>
        <v>0</v>
      </c>
      <c r="O180" s="442">
        <f t="shared" si="110"/>
        <v>0</v>
      </c>
      <c r="P180" s="443">
        <f t="shared" si="106"/>
        <v>0</v>
      </c>
      <c r="Q180" s="357" t="e">
        <f t="shared" si="107"/>
        <v>#DIV/0!</v>
      </c>
      <c r="R180" s="630"/>
      <c r="S180" s="630"/>
      <c r="T180" s="630"/>
      <c r="U180" s="630"/>
      <c r="V180" s="630"/>
      <c r="W180" s="630"/>
      <c r="X180" s="630"/>
      <c r="Y180" s="630"/>
      <c r="Z180" s="630"/>
      <c r="AA180" s="630"/>
      <c r="AB180" s="1">
        <f t="shared" si="108"/>
        <v>0</v>
      </c>
      <c r="AC180" s="357" t="e">
        <f t="shared" si="109"/>
        <v>#DIV/0!</v>
      </c>
      <c r="AD180" s="864"/>
      <c r="AE180" s="865"/>
      <c r="AF180" s="865"/>
      <c r="AG180" s="866"/>
      <c r="AH180" s="866"/>
      <c r="AI180" s="867"/>
    </row>
    <row r="181" spans="1:35" x14ac:dyDescent="0.25">
      <c r="A181" s="638"/>
      <c r="C181" s="630"/>
      <c r="D181" s="630"/>
      <c r="E181" s="630"/>
      <c r="F181" s="630"/>
      <c r="G181" s="264">
        <f t="shared" si="104"/>
        <v>0</v>
      </c>
      <c r="H181" s="442">
        <f t="shared" si="105"/>
        <v>0</v>
      </c>
      <c r="J181" s="630"/>
      <c r="K181" s="630"/>
      <c r="L181" s="630"/>
      <c r="M181" s="630"/>
      <c r="N181" s="1">
        <f>IF(C181&gt;0,((J181*Setup_and_Criteria!$F$13)+('M1_1-15th'!K181*Setup_and_Criteria!$F$14)+('M1_1-15th'!L181*Setup_and_Criteria!$F$15)+('M1_1-15th'!M181*Setup_and_Criteria!$F$16)+Setup_and_Criteria!$J$16),0)</f>
        <v>0</v>
      </c>
      <c r="O181" s="442">
        <f t="shared" si="110"/>
        <v>0</v>
      </c>
      <c r="P181" s="443">
        <f t="shared" si="106"/>
        <v>0</v>
      </c>
      <c r="Q181" s="357" t="e">
        <f t="shared" si="107"/>
        <v>#DIV/0!</v>
      </c>
      <c r="R181" s="630"/>
      <c r="S181" s="630"/>
      <c r="T181" s="630"/>
      <c r="U181" s="630"/>
      <c r="V181" s="630"/>
      <c r="W181" s="630"/>
      <c r="X181" s="630"/>
      <c r="Y181" s="630"/>
      <c r="Z181" s="630"/>
      <c r="AA181" s="630"/>
      <c r="AB181" s="1">
        <f t="shared" si="108"/>
        <v>0</v>
      </c>
      <c r="AC181" s="357" t="e">
        <f t="shared" si="109"/>
        <v>#DIV/0!</v>
      </c>
      <c r="AD181" s="864"/>
      <c r="AE181" s="865"/>
      <c r="AF181" s="865"/>
      <c r="AG181" s="866"/>
      <c r="AH181" s="866"/>
      <c r="AI181" s="867"/>
    </row>
    <row r="182" spans="1:35" ht="15.75" thickBot="1" x14ac:dyDescent="0.3">
      <c r="A182" s="638"/>
      <c r="C182" s="370"/>
      <c r="D182" s="370"/>
      <c r="E182" s="630"/>
      <c r="F182" s="630"/>
      <c r="G182" s="264">
        <f t="shared" si="104"/>
        <v>0</v>
      </c>
      <c r="H182" s="442">
        <f t="shared" si="105"/>
        <v>0</v>
      </c>
      <c r="J182" s="371"/>
      <c r="K182" s="371"/>
      <c r="L182" s="371"/>
      <c r="M182" s="371"/>
      <c r="N182" s="358">
        <f>IF(C182&gt;0,((J182*Setup_and_Criteria!$F$13)+('M1_1-15th'!K182*Setup_and_Criteria!$F$14)+('M1_1-15th'!L182*Setup_and_Criteria!$F$15)+('M1_1-15th'!M182*Setup_and_Criteria!$F$16)+Setup_and_Criteria!$J$16),0)</f>
        <v>0</v>
      </c>
      <c r="O182" s="359">
        <f t="shared" si="110"/>
        <v>0</v>
      </c>
      <c r="P182" s="383">
        <f t="shared" si="106"/>
        <v>0</v>
      </c>
      <c r="Q182" s="360" t="e">
        <f t="shared" si="107"/>
        <v>#DIV/0!</v>
      </c>
      <c r="R182" s="511"/>
      <c r="S182" s="511"/>
      <c r="T182" s="511"/>
      <c r="U182" s="511"/>
      <c r="V182" s="511"/>
      <c r="W182" s="511"/>
      <c r="X182" s="511"/>
      <c r="Y182" s="511"/>
      <c r="Z182" s="511"/>
      <c r="AA182" s="511"/>
      <c r="AB182" s="1">
        <f t="shared" si="108"/>
        <v>0</v>
      </c>
      <c r="AC182" s="357" t="e">
        <f t="shared" si="109"/>
        <v>#DIV/0!</v>
      </c>
      <c r="AD182" s="864"/>
      <c r="AE182" s="865"/>
      <c r="AF182" s="865"/>
      <c r="AG182" s="866"/>
      <c r="AH182" s="866"/>
      <c r="AI182" s="867"/>
    </row>
    <row r="183" spans="1:35" ht="15.75" thickTop="1" x14ac:dyDescent="0.25">
      <c r="A183" s="58"/>
      <c r="H183" s="442">
        <f>SUM(H177:H182)</f>
        <v>0</v>
      </c>
      <c r="J183" s="1">
        <f>SUM(J177:J182)</f>
        <v>0</v>
      </c>
      <c r="K183" s="1">
        <f>SUM(K177:K182)</f>
        <v>0</v>
      </c>
      <c r="L183" s="1">
        <f>SUM(L177:L182)</f>
        <v>0</v>
      </c>
      <c r="M183" s="1">
        <f>SUM(M177:M182)</f>
        <v>0</v>
      </c>
      <c r="N183" s="1">
        <f>SUM(N177:N182)</f>
        <v>0</v>
      </c>
      <c r="O183" s="1">
        <f t="shared" si="110"/>
        <v>0</v>
      </c>
      <c r="P183" s="443">
        <f t="shared" si="106"/>
        <v>0</v>
      </c>
      <c r="Q183" s="357" t="e">
        <f t="shared" si="107"/>
        <v>#DIV/0!</v>
      </c>
      <c r="R183" s="1">
        <f t="shared" ref="R183:AA183" si="111">SUM(R177:R182)</f>
        <v>0</v>
      </c>
      <c r="S183" s="1">
        <f t="shared" si="111"/>
        <v>0</v>
      </c>
      <c r="T183" s="1">
        <f t="shared" si="111"/>
        <v>0</v>
      </c>
      <c r="U183" s="1">
        <f t="shared" si="111"/>
        <v>0</v>
      </c>
      <c r="V183" s="1">
        <f t="shared" si="111"/>
        <v>0</v>
      </c>
      <c r="W183" s="1">
        <f t="shared" si="111"/>
        <v>0</v>
      </c>
      <c r="X183" s="1">
        <f t="shared" si="111"/>
        <v>0</v>
      </c>
      <c r="Y183" s="1">
        <f t="shared" si="111"/>
        <v>0</v>
      </c>
      <c r="Z183" s="1">
        <f t="shared" si="111"/>
        <v>0</v>
      </c>
      <c r="AA183" s="1">
        <f t="shared" si="111"/>
        <v>0</v>
      </c>
      <c r="AB183" s="1">
        <f t="shared" si="108"/>
        <v>0</v>
      </c>
      <c r="AC183" s="357" t="e">
        <f t="shared" si="109"/>
        <v>#DIV/0!</v>
      </c>
      <c r="AD183" s="877"/>
      <c r="AE183" s="878"/>
      <c r="AF183" s="878"/>
      <c r="AG183" s="749"/>
      <c r="AH183" s="749"/>
      <c r="AI183" s="879"/>
    </row>
    <row r="184" spans="1:35" ht="21" customHeight="1" x14ac:dyDescent="0.35">
      <c r="A184" s="58"/>
      <c r="H184" s="442"/>
      <c r="N184" s="888" t="s">
        <v>145</v>
      </c>
      <c r="O184" s="888"/>
      <c r="P184" s="888"/>
      <c r="Q184" s="888"/>
      <c r="R184" s="431" t="s">
        <v>146</v>
      </c>
      <c r="S184" s="431"/>
      <c r="T184" s="431"/>
      <c r="U184" s="431"/>
      <c r="V184" s="431"/>
      <c r="W184" s="431"/>
      <c r="X184" s="431"/>
      <c r="Y184" s="431"/>
      <c r="Z184" s="431"/>
      <c r="AA184" s="431"/>
      <c r="AB184" s="431"/>
      <c r="AC184" s="431"/>
      <c r="AD184" s="880" t="s">
        <v>132</v>
      </c>
      <c r="AE184" s="881"/>
      <c r="AF184" s="881"/>
      <c r="AG184" s="881"/>
      <c r="AH184" s="881"/>
      <c r="AI184" s="882"/>
    </row>
    <row r="185" spans="1:35" ht="31.5" customHeight="1" x14ac:dyDescent="0.35">
      <c r="A185" s="617" t="s">
        <v>147</v>
      </c>
      <c r="C185" s="885" t="s">
        <v>128</v>
      </c>
      <c r="D185" s="885"/>
      <c r="E185" s="885"/>
      <c r="F185" s="885"/>
      <c r="H185" s="442"/>
      <c r="J185" s="444"/>
      <c r="K185" s="445" t="s">
        <v>35</v>
      </c>
      <c r="L185" s="445" t="s">
        <v>148</v>
      </c>
      <c r="N185" s="446" t="s">
        <v>149</v>
      </c>
      <c r="O185" s="447" t="s">
        <v>150</v>
      </c>
      <c r="P185" s="447" t="s">
        <v>138</v>
      </c>
      <c r="Q185" s="447" t="s">
        <v>151</v>
      </c>
      <c r="R185" s="749" t="s">
        <v>152</v>
      </c>
      <c r="S185" s="749"/>
      <c r="T185" s="883" t="s">
        <v>153</v>
      </c>
      <c r="U185" s="883"/>
      <c r="W185" s="425" t="s">
        <v>154</v>
      </c>
      <c r="X185" s="425"/>
      <c r="Y185" s="425"/>
      <c r="Z185" s="425"/>
      <c r="AA185" s="425"/>
      <c r="AB185" s="425"/>
      <c r="AC185" s="425"/>
      <c r="AD185" s="868" t="s">
        <v>160</v>
      </c>
      <c r="AE185" s="869"/>
      <c r="AF185" s="869"/>
      <c r="AG185" s="869"/>
      <c r="AH185" s="869"/>
      <c r="AI185" s="870"/>
    </row>
    <row r="186" spans="1:35" ht="18" customHeight="1" thickBot="1" x14ac:dyDescent="0.3">
      <c r="A186" s="639"/>
      <c r="B186" s="375"/>
      <c r="C186" s="372"/>
      <c r="D186" s="372"/>
      <c r="E186" s="372"/>
      <c r="F186" s="372"/>
      <c r="G186" s="366">
        <f>+(D186-C186)+(F186-E186)</f>
        <v>0</v>
      </c>
      <c r="H186" s="367">
        <f>+G186*1440</f>
        <v>0</v>
      </c>
      <c r="I186" s="859" t="s">
        <v>155</v>
      </c>
      <c r="J186" s="860"/>
      <c r="K186" s="373"/>
      <c r="L186" s="374"/>
      <c r="M186" s="423"/>
      <c r="N186" s="629">
        <f>+J183+L183+K183+K186+L186</f>
        <v>0</v>
      </c>
      <c r="O186" s="368">
        <f>+(Setup_and_Criteria!$K$31+(J183*Setup_and_Criteria!$F$20)+('M1_1-15th'!K183*Setup_and_Criteria!$F$21)+('M1_1-15th'!L183*Setup_and_Criteria!$F$20))+T186+(K186*Setup_and_Criteria!$F$21)+(Setup_and_Criteria!$F$22*'M1_1-15th'!L186)</f>
        <v>75</v>
      </c>
      <c r="P186" s="367">
        <f>+H186</f>
        <v>0</v>
      </c>
      <c r="Q186" s="367">
        <f>+O186-P186</f>
        <v>75</v>
      </c>
      <c r="R186" s="861" t="s">
        <v>252</v>
      </c>
      <c r="S186" s="861"/>
      <c r="T186" s="862"/>
      <c r="U186" s="863"/>
      <c r="V186" s="265" t="s">
        <v>156</v>
      </c>
      <c r="W186" s="854"/>
      <c r="X186" s="855"/>
      <c r="Y186" s="855"/>
      <c r="Z186" s="855"/>
      <c r="AA186" s="855"/>
      <c r="AB186" s="855"/>
      <c r="AC186" s="855"/>
      <c r="AD186" s="868"/>
      <c r="AE186" s="869"/>
      <c r="AF186" s="869"/>
      <c r="AG186" s="869"/>
      <c r="AH186" s="869"/>
      <c r="AI186" s="870"/>
    </row>
    <row r="187" spans="1:35" ht="15.75" thickBot="1" x14ac:dyDescent="0.3">
      <c r="A187" s="449" t="str">
        <f>+A174</f>
        <v>Password to enter data = "Enter Info"</v>
      </c>
      <c r="B187" s="450"/>
      <c r="C187" s="451"/>
      <c r="D187" s="451"/>
      <c r="E187" s="451"/>
      <c r="F187" s="451"/>
      <c r="G187" s="451"/>
      <c r="H187" s="451"/>
      <c r="I187" s="450"/>
      <c r="J187" s="451"/>
      <c r="K187" s="451"/>
      <c r="L187" s="451"/>
      <c r="M187" s="451"/>
      <c r="N187" s="451"/>
      <c r="O187" s="451"/>
      <c r="P187" s="451"/>
      <c r="Q187" s="450"/>
      <c r="R187" s="451"/>
      <c r="S187" s="451"/>
      <c r="T187" s="451"/>
      <c r="U187" s="451"/>
      <c r="V187" s="451"/>
      <c r="W187" s="451"/>
      <c r="X187" s="451"/>
      <c r="Y187" s="451"/>
      <c r="Z187" s="451"/>
      <c r="AA187" s="451"/>
      <c r="AB187" s="450"/>
      <c r="AC187" s="450"/>
      <c r="AD187" s="871"/>
      <c r="AE187" s="872"/>
      <c r="AF187" s="872"/>
      <c r="AG187" s="872"/>
      <c r="AH187" s="872"/>
      <c r="AI187" s="873"/>
    </row>
    <row r="188" spans="1:35" ht="35.25" customHeight="1" x14ac:dyDescent="0.4">
      <c r="A188" s="434" t="str">
        <f>+A175</f>
        <v>June</v>
      </c>
      <c r="B188" s="624">
        <f>+B175+1</f>
        <v>15</v>
      </c>
      <c r="C188" s="884" t="s">
        <v>128</v>
      </c>
      <c r="D188" s="884"/>
      <c r="E188" s="884"/>
      <c r="F188" s="884"/>
      <c r="G188" s="377"/>
      <c r="H188" s="377"/>
      <c r="I188" s="21"/>
      <c r="J188" s="874" t="s">
        <v>129</v>
      </c>
      <c r="K188" s="875"/>
      <c r="L188" s="875"/>
      <c r="M188" s="875"/>
      <c r="N188" s="876" t="s">
        <v>130</v>
      </c>
      <c r="O188" s="876"/>
      <c r="P188" s="876"/>
      <c r="Q188" s="876"/>
      <c r="R188" s="424" t="str">
        <f>+R175</f>
        <v xml:space="preserve"> Corrections Tracking - Check out rooms</v>
      </c>
      <c r="S188" s="424"/>
      <c r="T188" s="424"/>
      <c r="U188" s="424"/>
      <c r="V188" s="424"/>
      <c r="W188" s="424"/>
      <c r="X188" s="424"/>
      <c r="Y188" s="424"/>
      <c r="Z188" s="424"/>
      <c r="AA188" s="424"/>
      <c r="AB188" s="424"/>
      <c r="AC188" s="424"/>
      <c r="AD188" s="461" t="s">
        <v>132</v>
      </c>
      <c r="AE188" s="426"/>
      <c r="AF188" s="426"/>
      <c r="AG188" s="426"/>
      <c r="AH188" s="426"/>
      <c r="AI188" s="427"/>
    </row>
    <row r="189" spans="1:35" ht="59.25" customHeight="1" x14ac:dyDescent="0.25">
      <c r="A189" s="378" t="s">
        <v>133</v>
      </c>
      <c r="C189" s="435" t="s">
        <v>134</v>
      </c>
      <c r="D189" s="435" t="s">
        <v>135</v>
      </c>
      <c r="E189" s="435" t="s">
        <v>134</v>
      </c>
      <c r="F189" s="435" t="s">
        <v>135</v>
      </c>
      <c r="G189" s="1" t="s">
        <v>136</v>
      </c>
      <c r="H189" s="1" t="s">
        <v>108</v>
      </c>
      <c r="I189" s="436"/>
      <c r="J189" s="437" t="str">
        <f>+Setup_and_Criteria!$B$13</f>
        <v>Checkouts</v>
      </c>
      <c r="K189" s="437" t="str">
        <f>+Setup_and_Criteria!$B$14</f>
        <v>Pet Rooms</v>
      </c>
      <c r="L189" s="437" t="str">
        <f>+Setup_and_Criteria!$B$15</f>
        <v>2 Rm &amp; Jac Stes</v>
      </c>
      <c r="M189" s="438" t="str">
        <f>+Setup_and_Criteria!$B$16</f>
        <v>Stayovers</v>
      </c>
      <c r="N189" s="269" t="s">
        <v>137</v>
      </c>
      <c r="O189" s="269" t="s">
        <v>138</v>
      </c>
      <c r="P189" s="439" t="s">
        <v>139</v>
      </c>
      <c r="Q189" s="439" t="s">
        <v>140</v>
      </c>
      <c r="R189" s="440" t="str">
        <f>+Corrections!$C$8</f>
        <v>Vanity</v>
      </c>
      <c r="S189" s="440" t="str">
        <f>+Corrections!$I$8</f>
        <v>Toilet</v>
      </c>
      <c r="T189" s="440" t="str">
        <f>+Corrections!$O$8</f>
        <v>Bed/Pillows</v>
      </c>
      <c r="U189" s="440" t="str">
        <f>+Corrections!$U$8</f>
        <v>Floor</v>
      </c>
      <c r="V189" s="440" t="str">
        <f>+Corrections!$AA$8</f>
        <v>Dusting</v>
      </c>
      <c r="W189" s="440" t="str">
        <f>+Corrections!$AG$8</f>
        <v>Fridge/Micro</v>
      </c>
      <c r="X189" s="440" t="str">
        <f>+Corrections!$AM$8</f>
        <v>Tub</v>
      </c>
      <c r="Y189" s="441" t="str">
        <f>+Corrections!$AS$8</f>
        <v>Mirrors/Glass</v>
      </c>
      <c r="Z189" s="440" t="str">
        <f>+Corrections!$AY$8</f>
        <v>Stocking</v>
      </c>
      <c r="AA189" s="440" t="str">
        <f>+Corrections!$BE$8</f>
        <v>Other</v>
      </c>
      <c r="AB189" s="269" t="s">
        <v>141</v>
      </c>
      <c r="AC189" s="269" t="str">
        <f>+$AC$7</f>
        <v>Daily Corr / Inspected Checkout</v>
      </c>
      <c r="AD189" s="889" t="s">
        <v>143</v>
      </c>
      <c r="AE189" s="890"/>
      <c r="AF189" s="890"/>
      <c r="AG189" s="890"/>
      <c r="AH189" s="890"/>
      <c r="AI189" s="891"/>
    </row>
    <row r="190" spans="1:35" x14ac:dyDescent="0.25">
      <c r="A190" s="638"/>
      <c r="C190" s="369"/>
      <c r="D190" s="369"/>
      <c r="E190" s="369"/>
      <c r="F190" s="369"/>
      <c r="G190" s="264">
        <f t="shared" ref="G190:G195" si="112">+(D190-C190)+(F190-E190)</f>
        <v>0</v>
      </c>
      <c r="H190" s="442">
        <f t="shared" ref="H190:H195" si="113">+G190*1440</f>
        <v>0</v>
      </c>
      <c r="J190" s="630"/>
      <c r="K190" s="630"/>
      <c r="L190" s="630"/>
      <c r="M190" s="630"/>
      <c r="N190" s="1">
        <f>IF(C190&gt;0,((J190*Setup_and_Criteria!$F$13)+('M1_1-15th'!K190*Setup_and_Criteria!$F$14)+('M1_1-15th'!L190*Setup_and_Criteria!$F$15)+('M1_1-15th'!M190*Setup_and_Criteria!$F$16)+Setup_and_Criteria!$J$16),0)</f>
        <v>0</v>
      </c>
      <c r="O190" s="442">
        <f>+H190</f>
        <v>0</v>
      </c>
      <c r="P190" s="443">
        <f t="shared" ref="P190:P196" si="114">+N190-O190</f>
        <v>0</v>
      </c>
      <c r="Q190" s="357" t="e">
        <f t="shared" ref="Q190:Q196" si="115">O190/_xlfn.SINGLE(SUM(J190:M190))</f>
        <v>#DIV/0!</v>
      </c>
      <c r="R190" s="630"/>
      <c r="S190" s="630"/>
      <c r="T190" s="630"/>
      <c r="U190" s="630"/>
      <c r="V190" s="630"/>
      <c r="W190" s="630"/>
      <c r="X190" s="630"/>
      <c r="Y190" s="630"/>
      <c r="Z190" s="630"/>
      <c r="AA190" s="630"/>
      <c r="AB190" s="1">
        <f t="shared" ref="AB190:AB196" si="116">SUM(R190:AA190)</f>
        <v>0</v>
      </c>
      <c r="AC190" s="357" t="e">
        <f t="shared" ref="AC190:AC196" si="117">+AB190/(J190+K190+L190)</f>
        <v>#DIV/0!</v>
      </c>
      <c r="AD190" s="864" t="s">
        <v>144</v>
      </c>
      <c r="AE190" s="865"/>
      <c r="AF190" s="865"/>
      <c r="AG190" s="866"/>
      <c r="AH190" s="866"/>
      <c r="AI190" s="867"/>
    </row>
    <row r="191" spans="1:35" x14ac:dyDescent="0.25">
      <c r="A191" s="638"/>
      <c r="C191" s="630"/>
      <c r="D191" s="630"/>
      <c r="E191" s="630"/>
      <c r="F191" s="630"/>
      <c r="G191" s="264">
        <f t="shared" si="112"/>
        <v>0</v>
      </c>
      <c r="H191" s="442">
        <f t="shared" si="113"/>
        <v>0</v>
      </c>
      <c r="J191" s="630"/>
      <c r="K191" s="630"/>
      <c r="L191" s="630"/>
      <c r="M191" s="630"/>
      <c r="N191" s="1">
        <f>IF(C191&gt;0,((J191*Setup_and_Criteria!$F$13)+('M1_1-15th'!K191*Setup_and_Criteria!$F$14)+('M1_1-15th'!L191*Setup_and_Criteria!$F$15)+('M1_1-15th'!M191*Setup_and_Criteria!$F$16)+Setup_and_Criteria!$J$16),0)</f>
        <v>0</v>
      </c>
      <c r="O191" s="442">
        <f t="shared" ref="O191:O196" si="118">+H191</f>
        <v>0</v>
      </c>
      <c r="P191" s="443">
        <f t="shared" si="114"/>
        <v>0</v>
      </c>
      <c r="Q191" s="357" t="e">
        <f t="shared" si="115"/>
        <v>#DIV/0!</v>
      </c>
      <c r="R191" s="630"/>
      <c r="S191" s="630"/>
      <c r="T191" s="630"/>
      <c r="U191" s="630"/>
      <c r="V191" s="630"/>
      <c r="W191" s="630"/>
      <c r="X191" s="630"/>
      <c r="Y191" s="630"/>
      <c r="Z191" s="630"/>
      <c r="AA191" s="630"/>
      <c r="AB191" s="1">
        <f t="shared" si="116"/>
        <v>0</v>
      </c>
      <c r="AC191" s="357" t="e">
        <f t="shared" si="117"/>
        <v>#DIV/0!</v>
      </c>
      <c r="AD191" s="864"/>
      <c r="AE191" s="865"/>
      <c r="AF191" s="865"/>
      <c r="AG191" s="866"/>
      <c r="AH191" s="866"/>
      <c r="AI191" s="867"/>
    </row>
    <row r="192" spans="1:35" x14ac:dyDescent="0.25">
      <c r="A192" s="638"/>
      <c r="C192" s="630"/>
      <c r="D192" s="630"/>
      <c r="E192" s="630"/>
      <c r="F192" s="630"/>
      <c r="G192" s="264">
        <f t="shared" si="112"/>
        <v>0</v>
      </c>
      <c r="H192" s="442">
        <f t="shared" si="113"/>
        <v>0</v>
      </c>
      <c r="J192" s="630"/>
      <c r="K192" s="630"/>
      <c r="L192" s="630"/>
      <c r="M192" s="630"/>
      <c r="N192" s="1">
        <f>IF(C192&gt;0,((J192*Setup_and_Criteria!$F$13)+('M1_1-15th'!K192*Setup_and_Criteria!$F$14)+('M1_1-15th'!L192*Setup_and_Criteria!$F$15)+('M1_1-15th'!M192*Setup_and_Criteria!$F$16)+Setup_and_Criteria!$J$16),0)</f>
        <v>0</v>
      </c>
      <c r="O192" s="442">
        <f t="shared" si="118"/>
        <v>0</v>
      </c>
      <c r="P192" s="443">
        <f t="shared" si="114"/>
        <v>0</v>
      </c>
      <c r="Q192" s="357" t="e">
        <f t="shared" si="115"/>
        <v>#DIV/0!</v>
      </c>
      <c r="R192" s="630"/>
      <c r="S192" s="630"/>
      <c r="T192" s="630"/>
      <c r="U192" s="630"/>
      <c r="V192" s="630"/>
      <c r="W192" s="630"/>
      <c r="X192" s="630"/>
      <c r="Y192" s="630"/>
      <c r="Z192" s="630"/>
      <c r="AA192" s="630"/>
      <c r="AB192" s="1">
        <f t="shared" si="116"/>
        <v>0</v>
      </c>
      <c r="AC192" s="357" t="e">
        <f t="shared" si="117"/>
        <v>#DIV/0!</v>
      </c>
      <c r="AD192" s="864"/>
      <c r="AE192" s="865"/>
      <c r="AF192" s="865"/>
      <c r="AG192" s="866"/>
      <c r="AH192" s="866"/>
      <c r="AI192" s="867"/>
    </row>
    <row r="193" spans="1:35" x14ac:dyDescent="0.25">
      <c r="A193" s="638"/>
      <c r="C193" s="630"/>
      <c r="D193" s="630"/>
      <c r="E193" s="630"/>
      <c r="F193" s="630"/>
      <c r="G193" s="264">
        <f t="shared" si="112"/>
        <v>0</v>
      </c>
      <c r="H193" s="442">
        <f t="shared" si="113"/>
        <v>0</v>
      </c>
      <c r="J193" s="630"/>
      <c r="K193" s="630"/>
      <c r="L193" s="630"/>
      <c r="M193" s="630"/>
      <c r="N193" s="1">
        <f>IF(C193&gt;0,((J193*Setup_and_Criteria!$F$13)+('M1_1-15th'!K193*Setup_and_Criteria!$F$14)+('M1_1-15th'!L193*Setup_and_Criteria!$F$15)+('M1_1-15th'!M193*Setup_and_Criteria!$F$16)+Setup_and_Criteria!$J$16),0)</f>
        <v>0</v>
      </c>
      <c r="O193" s="442">
        <f t="shared" si="118"/>
        <v>0</v>
      </c>
      <c r="P193" s="443">
        <f t="shared" si="114"/>
        <v>0</v>
      </c>
      <c r="Q193" s="357" t="e">
        <f t="shared" si="115"/>
        <v>#DIV/0!</v>
      </c>
      <c r="R193" s="630"/>
      <c r="S193" s="630"/>
      <c r="T193" s="630"/>
      <c r="U193" s="630"/>
      <c r="V193" s="630"/>
      <c r="W193" s="630"/>
      <c r="X193" s="630"/>
      <c r="Y193" s="630"/>
      <c r="Z193" s="630"/>
      <c r="AA193" s="630"/>
      <c r="AB193" s="1">
        <f t="shared" si="116"/>
        <v>0</v>
      </c>
      <c r="AC193" s="357" t="e">
        <f t="shared" si="117"/>
        <v>#DIV/0!</v>
      </c>
      <c r="AD193" s="864"/>
      <c r="AE193" s="865"/>
      <c r="AF193" s="865"/>
      <c r="AG193" s="866"/>
      <c r="AH193" s="866"/>
      <c r="AI193" s="867"/>
    </row>
    <row r="194" spans="1:35" x14ac:dyDescent="0.25">
      <c r="A194" s="638"/>
      <c r="C194" s="630"/>
      <c r="D194" s="630"/>
      <c r="E194" s="630"/>
      <c r="F194" s="630"/>
      <c r="G194" s="264">
        <f t="shared" si="112"/>
        <v>0</v>
      </c>
      <c r="H194" s="442">
        <f t="shared" si="113"/>
        <v>0</v>
      </c>
      <c r="J194" s="630"/>
      <c r="K194" s="630"/>
      <c r="L194" s="630"/>
      <c r="M194" s="630"/>
      <c r="N194" s="1">
        <f>IF(C194&gt;0,((J194*Setup_and_Criteria!$F$13)+('M1_1-15th'!K194*Setup_and_Criteria!$F$14)+('M1_1-15th'!L194*Setup_and_Criteria!$F$15)+('M1_1-15th'!M194*Setup_and_Criteria!$F$16)+Setup_and_Criteria!$J$16),0)</f>
        <v>0</v>
      </c>
      <c r="O194" s="442">
        <f t="shared" si="118"/>
        <v>0</v>
      </c>
      <c r="P194" s="443">
        <f t="shared" si="114"/>
        <v>0</v>
      </c>
      <c r="Q194" s="357" t="e">
        <f t="shared" si="115"/>
        <v>#DIV/0!</v>
      </c>
      <c r="R194" s="630"/>
      <c r="S194" s="630"/>
      <c r="T194" s="630"/>
      <c r="U194" s="630"/>
      <c r="V194" s="630"/>
      <c r="W194" s="630"/>
      <c r="X194" s="630"/>
      <c r="Y194" s="630"/>
      <c r="Z194" s="630"/>
      <c r="AA194" s="630"/>
      <c r="AB194" s="1">
        <f t="shared" si="116"/>
        <v>0</v>
      </c>
      <c r="AC194" s="357" t="e">
        <f t="shared" si="117"/>
        <v>#DIV/0!</v>
      </c>
      <c r="AD194" s="864"/>
      <c r="AE194" s="865"/>
      <c r="AF194" s="865"/>
      <c r="AG194" s="866"/>
      <c r="AH194" s="866"/>
      <c r="AI194" s="867"/>
    </row>
    <row r="195" spans="1:35" ht="15.75" thickBot="1" x14ac:dyDescent="0.3">
      <c r="A195" s="638"/>
      <c r="C195" s="370"/>
      <c r="D195" s="370"/>
      <c r="E195" s="630"/>
      <c r="F195" s="630"/>
      <c r="G195" s="264">
        <f t="shared" si="112"/>
        <v>0</v>
      </c>
      <c r="H195" s="442">
        <f t="shared" si="113"/>
        <v>0</v>
      </c>
      <c r="J195" s="371"/>
      <c r="K195" s="371"/>
      <c r="L195" s="371"/>
      <c r="M195" s="371"/>
      <c r="N195" s="358">
        <f>IF(C195&gt;0,((J195*Setup_and_Criteria!$F$13)+('M1_1-15th'!K195*Setup_and_Criteria!$F$14)+('M1_1-15th'!L195*Setup_and_Criteria!$F$15)+('M1_1-15th'!M195*Setup_and_Criteria!$F$16)+Setup_and_Criteria!$J$16),0)</f>
        <v>0</v>
      </c>
      <c r="O195" s="359">
        <f t="shared" si="118"/>
        <v>0</v>
      </c>
      <c r="P195" s="383">
        <f t="shared" si="114"/>
        <v>0</v>
      </c>
      <c r="Q195" s="360" t="e">
        <f t="shared" si="115"/>
        <v>#DIV/0!</v>
      </c>
      <c r="R195" s="511"/>
      <c r="S195" s="511"/>
      <c r="T195" s="511"/>
      <c r="U195" s="511"/>
      <c r="V195" s="511"/>
      <c r="W195" s="511"/>
      <c r="X195" s="511"/>
      <c r="Y195" s="511"/>
      <c r="Z195" s="511"/>
      <c r="AA195" s="511"/>
      <c r="AB195" s="358">
        <f t="shared" si="116"/>
        <v>0</v>
      </c>
      <c r="AC195" s="357" t="e">
        <f t="shared" si="117"/>
        <v>#DIV/0!</v>
      </c>
      <c r="AD195" s="864"/>
      <c r="AE195" s="865"/>
      <c r="AF195" s="865"/>
      <c r="AG195" s="866"/>
      <c r="AH195" s="866"/>
      <c r="AI195" s="867"/>
    </row>
    <row r="196" spans="1:35" ht="15.75" thickTop="1" x14ac:dyDescent="0.25">
      <c r="A196" s="58"/>
      <c r="H196" s="442">
        <f>SUM(H190:H195)</f>
        <v>0</v>
      </c>
      <c r="J196" s="1">
        <f>SUM(J190:J195)</f>
        <v>0</v>
      </c>
      <c r="K196" s="1">
        <f>SUM(K190:K195)</f>
        <v>0</v>
      </c>
      <c r="L196" s="1">
        <f>SUM(L190:L195)</f>
        <v>0</v>
      </c>
      <c r="M196" s="1">
        <f>SUM(M190:M195)</f>
        <v>0</v>
      </c>
      <c r="N196" s="1">
        <f>SUM(N190:N195)</f>
        <v>0</v>
      </c>
      <c r="O196" s="1">
        <f t="shared" si="118"/>
        <v>0</v>
      </c>
      <c r="P196" s="443">
        <f t="shared" si="114"/>
        <v>0</v>
      </c>
      <c r="Q196" s="357" t="e">
        <f t="shared" si="115"/>
        <v>#DIV/0!</v>
      </c>
      <c r="R196" s="1">
        <f t="shared" ref="R196:AA196" si="119">SUM(R190:R195)</f>
        <v>0</v>
      </c>
      <c r="S196" s="1">
        <f t="shared" si="119"/>
        <v>0</v>
      </c>
      <c r="T196" s="1">
        <f t="shared" si="119"/>
        <v>0</v>
      </c>
      <c r="U196" s="1">
        <f t="shared" si="119"/>
        <v>0</v>
      </c>
      <c r="V196" s="1">
        <f t="shared" si="119"/>
        <v>0</v>
      </c>
      <c r="W196" s="1">
        <f t="shared" si="119"/>
        <v>0</v>
      </c>
      <c r="X196" s="1">
        <f t="shared" si="119"/>
        <v>0</v>
      </c>
      <c r="Y196" s="1">
        <f t="shared" si="119"/>
        <v>0</v>
      </c>
      <c r="Z196" s="1">
        <f t="shared" si="119"/>
        <v>0</v>
      </c>
      <c r="AA196" s="1">
        <f t="shared" si="119"/>
        <v>0</v>
      </c>
      <c r="AB196" s="1">
        <f t="shared" si="116"/>
        <v>0</v>
      </c>
      <c r="AC196" s="357" t="e">
        <f t="shared" si="117"/>
        <v>#DIV/0!</v>
      </c>
      <c r="AD196" s="877"/>
      <c r="AE196" s="878"/>
      <c r="AF196" s="878"/>
      <c r="AG196" s="749"/>
      <c r="AH196" s="749"/>
      <c r="AI196" s="879"/>
    </row>
    <row r="197" spans="1:35" ht="21" customHeight="1" x14ac:dyDescent="0.35">
      <c r="A197" s="58"/>
      <c r="H197" s="442"/>
      <c r="N197" s="888" t="s">
        <v>145</v>
      </c>
      <c r="O197" s="888"/>
      <c r="P197" s="888"/>
      <c r="Q197" s="888"/>
      <c r="R197" s="431" t="s">
        <v>146</v>
      </c>
      <c r="S197" s="431"/>
      <c r="T197" s="431"/>
      <c r="U197" s="431"/>
      <c r="V197" s="431"/>
      <c r="W197" s="431"/>
      <c r="X197" s="431"/>
      <c r="Y197" s="431"/>
      <c r="Z197" s="431"/>
      <c r="AA197" s="431"/>
      <c r="AB197" s="431"/>
      <c r="AC197" s="431"/>
      <c r="AD197" s="880" t="s">
        <v>132</v>
      </c>
      <c r="AE197" s="881"/>
      <c r="AF197" s="881"/>
      <c r="AG197" s="881"/>
      <c r="AH197" s="881"/>
      <c r="AI197" s="882"/>
    </row>
    <row r="198" spans="1:35" ht="31.5" customHeight="1" x14ac:dyDescent="0.35">
      <c r="A198" s="617" t="s">
        <v>147</v>
      </c>
      <c r="C198" s="885" t="s">
        <v>128</v>
      </c>
      <c r="D198" s="885"/>
      <c r="E198" s="885"/>
      <c r="F198" s="885"/>
      <c r="H198" s="442"/>
      <c r="J198" s="444"/>
      <c r="K198" s="445" t="s">
        <v>35</v>
      </c>
      <c r="L198" s="445" t="s">
        <v>148</v>
      </c>
      <c r="N198" s="446" t="s">
        <v>149</v>
      </c>
      <c r="O198" s="447" t="s">
        <v>150</v>
      </c>
      <c r="P198" s="447" t="s">
        <v>138</v>
      </c>
      <c r="Q198" s="447" t="s">
        <v>151</v>
      </c>
      <c r="R198" s="749" t="s">
        <v>152</v>
      </c>
      <c r="S198" s="749"/>
      <c r="T198" s="883" t="s">
        <v>153</v>
      </c>
      <c r="U198" s="883"/>
      <c r="W198" s="425" t="s">
        <v>154</v>
      </c>
      <c r="X198" s="425"/>
      <c r="Y198" s="425"/>
      <c r="Z198" s="425"/>
      <c r="AA198" s="425"/>
      <c r="AB198" s="425"/>
      <c r="AC198" s="425"/>
      <c r="AD198" s="868" t="s">
        <v>160</v>
      </c>
      <c r="AE198" s="869"/>
      <c r="AF198" s="869"/>
      <c r="AG198" s="869"/>
      <c r="AH198" s="869"/>
      <c r="AI198" s="870"/>
    </row>
    <row r="199" spans="1:35" ht="18" customHeight="1" thickBot="1" x14ac:dyDescent="0.3">
      <c r="A199" s="639"/>
      <c r="B199" s="375"/>
      <c r="C199" s="372"/>
      <c r="D199" s="372"/>
      <c r="E199" s="372"/>
      <c r="F199" s="372"/>
      <c r="G199" s="366">
        <f>+(D199-C199)+(F199-E199)</f>
        <v>0</v>
      </c>
      <c r="H199" s="367">
        <f>+G199*1440</f>
        <v>0</v>
      </c>
      <c r="I199" s="859" t="s">
        <v>155</v>
      </c>
      <c r="J199" s="860"/>
      <c r="K199" s="373"/>
      <c r="L199" s="374"/>
      <c r="M199" s="423"/>
      <c r="N199" s="629">
        <f>+J196+L196+K196+K199+L199</f>
        <v>0</v>
      </c>
      <c r="O199" s="368">
        <f>+(Setup_and_Criteria!$K$31+(J196*Setup_and_Criteria!$F$20)+('M1_1-15th'!K196*Setup_and_Criteria!$F$21)+('M1_1-15th'!L196*Setup_and_Criteria!$F$20))+T199+(K199*Setup_and_Criteria!$F$21)+(Setup_and_Criteria!$F$22*'M1_1-15th'!L199)</f>
        <v>75</v>
      </c>
      <c r="P199" s="367">
        <f>+H199</f>
        <v>0</v>
      </c>
      <c r="Q199" s="367">
        <f>+O199-P199</f>
        <v>75</v>
      </c>
      <c r="R199" s="861" t="s">
        <v>252</v>
      </c>
      <c r="S199" s="861"/>
      <c r="T199" s="862"/>
      <c r="U199" s="863"/>
      <c r="V199" s="265" t="s">
        <v>156</v>
      </c>
      <c r="W199" s="854"/>
      <c r="X199" s="855"/>
      <c r="Y199" s="855"/>
      <c r="Z199" s="855"/>
      <c r="AA199" s="855"/>
      <c r="AB199" s="855"/>
      <c r="AC199" s="855"/>
      <c r="AD199" s="868"/>
      <c r="AE199" s="869"/>
      <c r="AF199" s="869"/>
      <c r="AG199" s="869"/>
      <c r="AH199" s="869"/>
      <c r="AI199" s="870"/>
    </row>
    <row r="200" spans="1:35" ht="15.75" thickBot="1" x14ac:dyDescent="0.3">
      <c r="A200" s="449" t="str">
        <f>+A187</f>
        <v>Password to enter data = "Enter Info"</v>
      </c>
      <c r="B200" s="450"/>
      <c r="C200" s="451"/>
      <c r="D200" s="451"/>
      <c r="E200" s="451"/>
      <c r="F200" s="451"/>
      <c r="G200" s="451"/>
      <c r="H200" s="451"/>
      <c r="I200" s="450"/>
      <c r="J200" s="451"/>
      <c r="K200" s="451"/>
      <c r="L200" s="451"/>
      <c r="M200" s="451"/>
      <c r="N200" s="451"/>
      <c r="O200" s="451"/>
      <c r="P200" s="451"/>
      <c r="Q200" s="450"/>
      <c r="R200" s="451"/>
      <c r="S200" s="451"/>
      <c r="T200" s="451"/>
      <c r="U200" s="451"/>
      <c r="V200" s="451"/>
      <c r="W200" s="451"/>
      <c r="X200" s="451"/>
      <c r="Y200" s="451"/>
      <c r="Z200" s="451"/>
      <c r="AA200" s="451"/>
      <c r="AB200" s="450"/>
      <c r="AC200" s="450"/>
      <c r="AD200" s="871"/>
      <c r="AE200" s="872"/>
      <c r="AF200" s="872"/>
      <c r="AG200" s="872"/>
      <c r="AH200" s="872"/>
      <c r="AI200" s="873"/>
    </row>
  </sheetData>
  <protectedRanges>
    <protectedRange algorithmName="SHA-512" hashValue="9o5rmy+N3oLZkzVQ5nTS9aoa4tFWlXOirkshpCJSkqqBB2SCaDWSlY6k7YumLGAjuktGKWGtGOAoCXARLdbeUA==" saltValue="e7vCUb3fFCUrMQqNUPCqDQ==" spinCount="100000" sqref="AD6:AI200" name="Daily Notes"/>
    <protectedRange algorithmName="SHA-512" hashValue="HtLnHPcTxLat91gpx1RElzjAjyD8EelDKfcdJIzPzixUDC1bPqmHjcxA+Jf6905m/Q9mMHh30+0wh5BstdaTSg==" saltValue="TXG3+wylnBVSaSzjn+S+ow==" spinCount="100000" sqref="C8:F199" name="TimeClock"/>
    <protectedRange algorithmName="SHA-512" hashValue="YWBRJAZI5q2Xrq+KyT3zVr15OX7uuRhfqBuj3B4Ey25Nx6lDVXf1yN1vQRpqL2Zb4U+ikOAI3N1kgYfpP/ETew==" saltValue="L+uE65ZdTMv6z8KX8mra4g==" spinCount="100000" sqref="I7:M199" name="Rooms Cleaned and Inspected"/>
    <protectedRange algorithmName="SHA-512" hashValue="oRYh3bqazZl0ifIbEGeusFeaJ1jVvzub5wbEXUX8n7JGjjGyPR7sQAIVip279H9FGLsm5+EqC58eWrgzwkrBMA==" saltValue="BURQC5XW9ayCKHbGGG5JAw==" spinCount="100000" sqref="R8:AA16 R18:AA29 T17:AA17 R31:AA42 T30:AA30 R44:AA55 T43:AA43 R57:AA68 T56:AA56 R70:AA81 T69:AA69 R83:AA94 T82:AA82 R96:AA107 T95:AA95 R109:AA120 T108:AA108 R122:AA133 T121:AA121 R135:AA146 T134:AA134 R148:AA159 T147:AA147 R161:AA172 T160:AA160 R174:AA185 T173:AA173 R187:AA198 T186:AA186 T199:AA199" name="Corrections Tracking"/>
    <protectedRange algorithmName="SHA-512" hashValue="oRYh3bqazZl0ifIbEGeusFeaJ1jVvzub5wbEXUX8n7JGjjGyPR7sQAIVip279H9FGLsm5+EqC58eWrgzwkrBMA==" saltValue="BURQC5XW9ayCKHbGGG5JAw==" spinCount="100000" sqref="R17:S17" name="Corrections Tracking_6"/>
    <protectedRange algorithmName="SHA-512" hashValue="oRYh3bqazZl0ifIbEGeusFeaJ1jVvzub5wbEXUX8n7JGjjGyPR7sQAIVip279H9FGLsm5+EqC58eWrgzwkrBMA==" saltValue="BURQC5XW9ayCKHbGGG5JAw==" spinCount="100000" sqref="R30:S30" name="Corrections Tracking_6_1"/>
    <protectedRange algorithmName="SHA-512" hashValue="oRYh3bqazZl0ifIbEGeusFeaJ1jVvzub5wbEXUX8n7JGjjGyPR7sQAIVip279H9FGLsm5+EqC58eWrgzwkrBMA==" saltValue="BURQC5XW9ayCKHbGGG5JAw==" spinCount="100000" sqref="R43:S43" name="Corrections Tracking_6_2"/>
    <protectedRange algorithmName="SHA-512" hashValue="oRYh3bqazZl0ifIbEGeusFeaJ1jVvzub5wbEXUX8n7JGjjGyPR7sQAIVip279H9FGLsm5+EqC58eWrgzwkrBMA==" saltValue="BURQC5XW9ayCKHbGGG5JAw==" spinCount="100000" sqref="R56:S56" name="Corrections Tracking_6_3"/>
    <protectedRange algorithmName="SHA-512" hashValue="oRYh3bqazZl0ifIbEGeusFeaJ1jVvzub5wbEXUX8n7JGjjGyPR7sQAIVip279H9FGLsm5+EqC58eWrgzwkrBMA==" saltValue="BURQC5XW9ayCKHbGGG5JAw==" spinCount="100000" sqref="R69:S69" name="Corrections Tracking_6_4"/>
    <protectedRange algorithmName="SHA-512" hashValue="oRYh3bqazZl0ifIbEGeusFeaJ1jVvzub5wbEXUX8n7JGjjGyPR7sQAIVip279H9FGLsm5+EqC58eWrgzwkrBMA==" saltValue="BURQC5XW9ayCKHbGGG5JAw==" spinCount="100000" sqref="R82:S82" name="Corrections Tracking_6_5"/>
    <protectedRange algorithmName="SHA-512" hashValue="oRYh3bqazZl0ifIbEGeusFeaJ1jVvzub5wbEXUX8n7JGjjGyPR7sQAIVip279H9FGLsm5+EqC58eWrgzwkrBMA==" saltValue="BURQC5XW9ayCKHbGGG5JAw==" spinCount="100000" sqref="R95:S95" name="Corrections Tracking_6_6"/>
    <protectedRange algorithmName="SHA-512" hashValue="oRYh3bqazZl0ifIbEGeusFeaJ1jVvzub5wbEXUX8n7JGjjGyPR7sQAIVip279H9FGLsm5+EqC58eWrgzwkrBMA==" saltValue="BURQC5XW9ayCKHbGGG5JAw==" spinCount="100000" sqref="R108:S108" name="Corrections Tracking_6_7"/>
    <protectedRange algorithmName="SHA-512" hashValue="oRYh3bqazZl0ifIbEGeusFeaJ1jVvzub5wbEXUX8n7JGjjGyPR7sQAIVip279H9FGLsm5+EqC58eWrgzwkrBMA==" saltValue="BURQC5XW9ayCKHbGGG5JAw==" spinCount="100000" sqref="R121:S121" name="Corrections Tracking_6_8"/>
    <protectedRange algorithmName="SHA-512" hashValue="oRYh3bqazZl0ifIbEGeusFeaJ1jVvzub5wbEXUX8n7JGjjGyPR7sQAIVip279H9FGLsm5+EqC58eWrgzwkrBMA==" saltValue="BURQC5XW9ayCKHbGGG5JAw==" spinCount="100000" sqref="R134:S134" name="Corrections Tracking_6_9"/>
    <protectedRange algorithmName="SHA-512" hashValue="oRYh3bqazZl0ifIbEGeusFeaJ1jVvzub5wbEXUX8n7JGjjGyPR7sQAIVip279H9FGLsm5+EqC58eWrgzwkrBMA==" saltValue="BURQC5XW9ayCKHbGGG5JAw==" spinCount="100000" sqref="R147:S147" name="Corrections Tracking_6_10"/>
    <protectedRange algorithmName="SHA-512" hashValue="oRYh3bqazZl0ifIbEGeusFeaJ1jVvzub5wbEXUX8n7JGjjGyPR7sQAIVip279H9FGLsm5+EqC58eWrgzwkrBMA==" saltValue="BURQC5XW9ayCKHbGGG5JAw==" spinCount="100000" sqref="R160:S160" name="Corrections Tracking_6_11"/>
    <protectedRange algorithmName="SHA-512" hashValue="oRYh3bqazZl0ifIbEGeusFeaJ1jVvzub5wbEXUX8n7JGjjGyPR7sQAIVip279H9FGLsm5+EqC58eWrgzwkrBMA==" saltValue="BURQC5XW9ayCKHbGGG5JAw==" spinCount="100000" sqref="R173:S173" name="Corrections Tracking_6_12"/>
    <protectedRange algorithmName="SHA-512" hashValue="oRYh3bqazZl0ifIbEGeusFeaJ1jVvzub5wbEXUX8n7JGjjGyPR7sQAIVip279H9FGLsm5+EqC58eWrgzwkrBMA==" saltValue="BURQC5XW9ayCKHbGGG5JAw==" spinCount="100000" sqref="R186:S186" name="Corrections Tracking_6_13"/>
    <protectedRange algorithmName="SHA-512" hashValue="oRYh3bqazZl0ifIbEGeusFeaJ1jVvzub5wbEXUX8n7JGjjGyPR7sQAIVip279H9FGLsm5+EqC58eWrgzwkrBMA==" saltValue="BURQC5XW9ayCKHbGGG5JAw==" spinCount="100000" sqref="R199:S199" name="Corrections Tracking_6_14"/>
  </protectedRanges>
  <mergeCells count="318">
    <mergeCell ref="C198:F198"/>
    <mergeCell ref="R198:S198"/>
    <mergeCell ref="T198:U198"/>
    <mergeCell ref="AD198:AI200"/>
    <mergeCell ref="I199:J199"/>
    <mergeCell ref="R199:S199"/>
    <mergeCell ref="T199:U199"/>
    <mergeCell ref="W199:AC199"/>
    <mergeCell ref="AD192:AI192"/>
    <mergeCell ref="AD193:AI193"/>
    <mergeCell ref="AD194:AI194"/>
    <mergeCell ref="AD195:AI195"/>
    <mergeCell ref="AD196:AI196"/>
    <mergeCell ref="N197:Q197"/>
    <mergeCell ref="AD197:AI197"/>
    <mergeCell ref="C188:F188"/>
    <mergeCell ref="J188:M188"/>
    <mergeCell ref="N188:Q188"/>
    <mergeCell ref="AD189:AI189"/>
    <mergeCell ref="AD190:AI190"/>
    <mergeCell ref="AD191:AI191"/>
    <mergeCell ref="C185:F185"/>
    <mergeCell ref="R185:S185"/>
    <mergeCell ref="T185:U185"/>
    <mergeCell ref="AD185:AI187"/>
    <mergeCell ref="I186:J186"/>
    <mergeCell ref="R186:S186"/>
    <mergeCell ref="T186:U186"/>
    <mergeCell ref="W186:AC186"/>
    <mergeCell ref="AD179:AI179"/>
    <mergeCell ref="AD180:AI180"/>
    <mergeCell ref="AD181:AI181"/>
    <mergeCell ref="AD182:AI182"/>
    <mergeCell ref="AD183:AI183"/>
    <mergeCell ref="N184:Q184"/>
    <mergeCell ref="AD184:AI184"/>
    <mergeCell ref="C175:F175"/>
    <mergeCell ref="J175:M175"/>
    <mergeCell ref="N175:Q175"/>
    <mergeCell ref="AD176:AI176"/>
    <mergeCell ref="AD177:AI177"/>
    <mergeCell ref="AD178:AI178"/>
    <mergeCell ref="C172:F172"/>
    <mergeCell ref="R172:S172"/>
    <mergeCell ref="T172:U172"/>
    <mergeCell ref="AD172:AI174"/>
    <mergeCell ref="I173:J173"/>
    <mergeCell ref="R173:S173"/>
    <mergeCell ref="T173:U173"/>
    <mergeCell ref="W173:AC173"/>
    <mergeCell ref="AD166:AI166"/>
    <mergeCell ref="AD167:AI167"/>
    <mergeCell ref="AD168:AI168"/>
    <mergeCell ref="AD169:AI169"/>
    <mergeCell ref="AD170:AI170"/>
    <mergeCell ref="N171:Q171"/>
    <mergeCell ref="AD171:AI171"/>
    <mergeCell ref="C162:F162"/>
    <mergeCell ref="J162:M162"/>
    <mergeCell ref="N162:Q162"/>
    <mergeCell ref="AD163:AI163"/>
    <mergeCell ref="AD164:AI164"/>
    <mergeCell ref="AD165:AI165"/>
    <mergeCell ref="C159:F159"/>
    <mergeCell ref="R159:S159"/>
    <mergeCell ref="T159:U159"/>
    <mergeCell ref="AD159:AI161"/>
    <mergeCell ref="I160:J160"/>
    <mergeCell ref="R160:S160"/>
    <mergeCell ref="T160:U160"/>
    <mergeCell ref="W160:AC160"/>
    <mergeCell ref="AD153:AI153"/>
    <mergeCell ref="AD154:AI154"/>
    <mergeCell ref="AD155:AI155"/>
    <mergeCell ref="AD156:AI156"/>
    <mergeCell ref="AD157:AI157"/>
    <mergeCell ref="N158:Q158"/>
    <mergeCell ref="AD158:AI158"/>
    <mergeCell ref="C149:F149"/>
    <mergeCell ref="J149:M149"/>
    <mergeCell ref="N149:Q149"/>
    <mergeCell ref="AD150:AI150"/>
    <mergeCell ref="AD151:AI151"/>
    <mergeCell ref="AD152:AI152"/>
    <mergeCell ref="C146:F146"/>
    <mergeCell ref="R146:S146"/>
    <mergeCell ref="T146:U146"/>
    <mergeCell ref="AD146:AI148"/>
    <mergeCell ref="I147:J147"/>
    <mergeCell ref="R147:S147"/>
    <mergeCell ref="T147:U147"/>
    <mergeCell ref="W147:AC147"/>
    <mergeCell ref="AD140:AI140"/>
    <mergeCell ref="AD141:AI141"/>
    <mergeCell ref="AD142:AI142"/>
    <mergeCell ref="AD143:AI143"/>
    <mergeCell ref="AD144:AI144"/>
    <mergeCell ref="N145:Q145"/>
    <mergeCell ref="AD145:AI145"/>
    <mergeCell ref="C136:F136"/>
    <mergeCell ref="J136:M136"/>
    <mergeCell ref="N136:Q136"/>
    <mergeCell ref="AD137:AI137"/>
    <mergeCell ref="AD138:AI138"/>
    <mergeCell ref="AD139:AI139"/>
    <mergeCell ref="C133:F133"/>
    <mergeCell ref="R133:S133"/>
    <mergeCell ref="T133:U133"/>
    <mergeCell ref="AD133:AI135"/>
    <mergeCell ref="I134:J134"/>
    <mergeCell ref="R134:S134"/>
    <mergeCell ref="T134:U134"/>
    <mergeCell ref="W134:AC134"/>
    <mergeCell ref="AD127:AI127"/>
    <mergeCell ref="AD128:AI128"/>
    <mergeCell ref="AD129:AI129"/>
    <mergeCell ref="AD130:AI130"/>
    <mergeCell ref="AD131:AI131"/>
    <mergeCell ref="N132:Q132"/>
    <mergeCell ref="AD132:AI132"/>
    <mergeCell ref="C123:F123"/>
    <mergeCell ref="J123:M123"/>
    <mergeCell ref="N123:Q123"/>
    <mergeCell ref="AD124:AI124"/>
    <mergeCell ref="AD125:AI125"/>
    <mergeCell ref="AD126:AI126"/>
    <mergeCell ref="C120:F120"/>
    <mergeCell ref="R120:S120"/>
    <mergeCell ref="T120:U120"/>
    <mergeCell ref="AD120:AI122"/>
    <mergeCell ref="I121:J121"/>
    <mergeCell ref="R121:S121"/>
    <mergeCell ref="T121:U121"/>
    <mergeCell ref="W121:AC121"/>
    <mergeCell ref="AD114:AI114"/>
    <mergeCell ref="AD115:AI115"/>
    <mergeCell ref="AD116:AI116"/>
    <mergeCell ref="AD117:AI117"/>
    <mergeCell ref="AD118:AI118"/>
    <mergeCell ref="N119:Q119"/>
    <mergeCell ref="AD119:AI119"/>
    <mergeCell ref="C110:F110"/>
    <mergeCell ref="J110:M110"/>
    <mergeCell ref="N110:Q110"/>
    <mergeCell ref="AD111:AI111"/>
    <mergeCell ref="AD112:AI112"/>
    <mergeCell ref="AD113:AI113"/>
    <mergeCell ref="C107:F107"/>
    <mergeCell ref="R107:S107"/>
    <mergeCell ref="T107:U107"/>
    <mergeCell ref="AD107:AI109"/>
    <mergeCell ref="I108:J108"/>
    <mergeCell ref="R108:S108"/>
    <mergeCell ref="T108:U108"/>
    <mergeCell ref="W108:AC108"/>
    <mergeCell ref="AD101:AI101"/>
    <mergeCell ref="AD102:AI102"/>
    <mergeCell ref="AD103:AI103"/>
    <mergeCell ref="AD104:AI104"/>
    <mergeCell ref="AD105:AI105"/>
    <mergeCell ref="N106:Q106"/>
    <mergeCell ref="AD106:AI106"/>
    <mergeCell ref="C97:F97"/>
    <mergeCell ref="J97:M97"/>
    <mergeCell ref="N97:Q97"/>
    <mergeCell ref="AD98:AI98"/>
    <mergeCell ref="AD99:AI99"/>
    <mergeCell ref="AD100:AI100"/>
    <mergeCell ref="C94:F94"/>
    <mergeCell ref="R94:S94"/>
    <mergeCell ref="T94:U94"/>
    <mergeCell ref="AD94:AI96"/>
    <mergeCell ref="I95:J95"/>
    <mergeCell ref="R95:S95"/>
    <mergeCell ref="T95:U95"/>
    <mergeCell ref="W95:AC95"/>
    <mergeCell ref="AD88:AI88"/>
    <mergeCell ref="AD89:AI89"/>
    <mergeCell ref="AD90:AI90"/>
    <mergeCell ref="AD91:AI91"/>
    <mergeCell ref="AD92:AI92"/>
    <mergeCell ref="N93:Q93"/>
    <mergeCell ref="AD93:AI93"/>
    <mergeCell ref="C84:F84"/>
    <mergeCell ref="J84:M84"/>
    <mergeCell ref="N84:Q84"/>
    <mergeCell ref="AD85:AI85"/>
    <mergeCell ref="AD86:AI86"/>
    <mergeCell ref="AD87:AI87"/>
    <mergeCell ref="C81:F81"/>
    <mergeCell ref="R81:S81"/>
    <mergeCell ref="T81:U81"/>
    <mergeCell ref="AD81:AI83"/>
    <mergeCell ref="I82:J82"/>
    <mergeCell ref="R82:S82"/>
    <mergeCell ref="T82:U82"/>
    <mergeCell ref="W82:AC82"/>
    <mergeCell ref="AD75:AI75"/>
    <mergeCell ref="AD76:AI76"/>
    <mergeCell ref="AD77:AI77"/>
    <mergeCell ref="AD78:AI78"/>
    <mergeCell ref="AD79:AI79"/>
    <mergeCell ref="N80:Q80"/>
    <mergeCell ref="AD80:AI80"/>
    <mergeCell ref="C71:F71"/>
    <mergeCell ref="J71:M71"/>
    <mergeCell ref="N71:Q71"/>
    <mergeCell ref="AD72:AI72"/>
    <mergeCell ref="AD73:AI73"/>
    <mergeCell ref="AD74:AI74"/>
    <mergeCell ref="C68:F68"/>
    <mergeCell ref="R68:S68"/>
    <mergeCell ref="T68:U68"/>
    <mergeCell ref="AD68:AI70"/>
    <mergeCell ref="I69:J69"/>
    <mergeCell ref="R69:S69"/>
    <mergeCell ref="T69:U69"/>
    <mergeCell ref="W69:AC69"/>
    <mergeCell ref="AD62:AI62"/>
    <mergeCell ref="AD63:AI63"/>
    <mergeCell ref="AD64:AI64"/>
    <mergeCell ref="AD65:AI65"/>
    <mergeCell ref="AD66:AI66"/>
    <mergeCell ref="N67:Q67"/>
    <mergeCell ref="AD67:AI67"/>
    <mergeCell ref="C58:F58"/>
    <mergeCell ref="J58:M58"/>
    <mergeCell ref="N58:Q58"/>
    <mergeCell ref="AD59:AI59"/>
    <mergeCell ref="AD60:AI60"/>
    <mergeCell ref="AD61:AI61"/>
    <mergeCell ref="C55:F55"/>
    <mergeCell ref="R55:S55"/>
    <mergeCell ref="T55:U55"/>
    <mergeCell ref="AD55:AI57"/>
    <mergeCell ref="I56:J56"/>
    <mergeCell ref="R56:S56"/>
    <mergeCell ref="T56:U56"/>
    <mergeCell ref="W56:AC56"/>
    <mergeCell ref="AD49:AI49"/>
    <mergeCell ref="AD50:AI50"/>
    <mergeCell ref="AD51:AI51"/>
    <mergeCell ref="AD52:AI52"/>
    <mergeCell ref="AD53:AI53"/>
    <mergeCell ref="N54:Q54"/>
    <mergeCell ref="AD54:AI54"/>
    <mergeCell ref="C45:F45"/>
    <mergeCell ref="J45:M45"/>
    <mergeCell ref="N45:Q45"/>
    <mergeCell ref="AD46:AI46"/>
    <mergeCell ref="AD47:AI47"/>
    <mergeCell ref="AD48:AI48"/>
    <mergeCell ref="N41:Q41"/>
    <mergeCell ref="AD41:AI41"/>
    <mergeCell ref="C42:F42"/>
    <mergeCell ref="R42:S42"/>
    <mergeCell ref="T42:U42"/>
    <mergeCell ref="AD42:AI44"/>
    <mergeCell ref="I43:J43"/>
    <mergeCell ref="R43:S43"/>
    <mergeCell ref="T43:U43"/>
    <mergeCell ref="W43:AC43"/>
    <mergeCell ref="AD35:AI35"/>
    <mergeCell ref="AD36:AI36"/>
    <mergeCell ref="AD37:AI37"/>
    <mergeCell ref="AD38:AI38"/>
    <mergeCell ref="AD39:AI39"/>
    <mergeCell ref="AD40:AI40"/>
    <mergeCell ref="W30:AC30"/>
    <mergeCell ref="C32:F32"/>
    <mergeCell ref="J32:M32"/>
    <mergeCell ref="N32:Q32"/>
    <mergeCell ref="AD33:AI33"/>
    <mergeCell ref="AD34:AI34"/>
    <mergeCell ref="AD27:AI27"/>
    <mergeCell ref="N28:Q28"/>
    <mergeCell ref="AD28:AI28"/>
    <mergeCell ref="C29:F29"/>
    <mergeCell ref="R29:S29"/>
    <mergeCell ref="T29:U29"/>
    <mergeCell ref="AD29:AI31"/>
    <mergeCell ref="I30:J30"/>
    <mergeCell ref="R30:S30"/>
    <mergeCell ref="T30:U30"/>
    <mergeCell ref="AD21:AI21"/>
    <mergeCell ref="AD22:AI22"/>
    <mergeCell ref="AD23:AI23"/>
    <mergeCell ref="AD24:AI24"/>
    <mergeCell ref="AD25:AI25"/>
    <mergeCell ref="AD26:AI26"/>
    <mergeCell ref="T17:U17"/>
    <mergeCell ref="W17:AC17"/>
    <mergeCell ref="C19:F19"/>
    <mergeCell ref="J19:M19"/>
    <mergeCell ref="N19:Q19"/>
    <mergeCell ref="AD20:AI20"/>
    <mergeCell ref="AD13:AI13"/>
    <mergeCell ref="AD14:AI14"/>
    <mergeCell ref="N15:Q15"/>
    <mergeCell ref="AD15:AI15"/>
    <mergeCell ref="C16:F16"/>
    <mergeCell ref="R16:S16"/>
    <mergeCell ref="T16:U16"/>
    <mergeCell ref="AD16:AI18"/>
    <mergeCell ref="I17:J17"/>
    <mergeCell ref="R17:S17"/>
    <mergeCell ref="AD7:AI7"/>
    <mergeCell ref="AD8:AI8"/>
    <mergeCell ref="AD9:AI9"/>
    <mergeCell ref="AD10:AI10"/>
    <mergeCell ref="AD11:AI11"/>
    <mergeCell ref="AD12:AI12"/>
    <mergeCell ref="E2:H3"/>
    <mergeCell ref="I2:J3"/>
    <mergeCell ref="M2:W4"/>
    <mergeCell ref="C6:F6"/>
    <mergeCell ref="J6:M6"/>
    <mergeCell ref="N6:Q6"/>
  </mergeCells>
  <dataValidations count="1">
    <dataValidation allowBlank="1" showInputMessage="1" showErrorMessage="1" sqref="A16 A29 A42 A55 A68 A81 A94 A107 A120 A133 A146 A159 A172 A185 A198" xr:uid="{A6128F6E-D18C-47C9-A6B8-CA4457034F16}"/>
  </dataValidations>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expression" priority="7" id="{8EF7FA1A-C67B-41C3-B610-DA61EB302ACD}">
            <xm:f>Setup_and_Criteria!$H$5:$K$5="Sleep Inn"</xm:f>
            <x14:dxf>
              <font>
                <color theme="0"/>
              </font>
              <fill>
                <patternFill>
                  <bgColor rgb="FF7030A0"/>
                </patternFill>
              </fill>
            </x14:dxf>
          </x14:cfRule>
          <x14:cfRule type="expression" priority="8" id="{132525BE-36E1-4FAC-94B9-8BF7375A4065}">
            <xm:f>Setup_and_Criteria!$H$5="Holiday Inn Express"</xm:f>
            <x14:dxf>
              <font>
                <color theme="0"/>
              </font>
              <fill>
                <patternFill>
                  <bgColor theme="8" tint="-0.24994659260841701"/>
                </patternFill>
              </fill>
            </x14:dxf>
          </x14:cfRule>
          <x14:cfRule type="expression" priority="9" id="{9CF3230A-EF2C-4A69-B225-D396B84FEBD5}">
            <xm:f>Setup_and_Criteria!$H$5:$K$5="Quality Inn"</xm:f>
            <x14:dxf>
              <font>
                <color theme="9" tint="-0.24994659260841701"/>
              </font>
              <fill>
                <patternFill>
                  <bgColor theme="9" tint="-0.24994659260841701"/>
                </patternFill>
              </fill>
            </x14:dxf>
          </x14:cfRule>
          <xm:sqref>A18:AC18 A31:AC31 A44:AC44 A57:AC57 A70:AC70 A83:AC83 A96:AC96 A109:AC109 A122:AC122 A135:AC135 A148:AC148 A161:AC161 A174:AC174 A187:AC187 A200:AC200</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7AD346B3-050A-4ED8-B5ED-BDD84C45DAD3}">
          <x14:formula1>
            <xm:f>Setup_and_Criteria!$N$27:$N$31</xm:f>
          </x14:formula1>
          <xm:sqref>B17 B108 B173 B160 B147 B134 B30 B186 B95 B82 B69 B56 B43 B199</xm:sqref>
        </x14:dataValidation>
        <x14:dataValidation type="list" allowBlank="1" showInputMessage="1" showErrorMessage="1" xr:uid="{B5D72FD2-D76B-45CB-A02B-80EC2E6C989E}">
          <x14:formula1>
            <xm:f>Setup_and_Criteria!$P$12:$P$23</xm:f>
          </x14:formula1>
          <xm:sqref>A190:A195 A8:A13 A21:A26 A34:A39 A47:A52 A60:A65 A73:A78 A86:A91 A99:A104 A112:A117 A125:A130 A138:A143 A151:A156 A164:A169 A177:A182</xm:sqref>
        </x14:dataValidation>
        <x14:dataValidation type="list" allowBlank="1" showInputMessage="1" showErrorMessage="1" xr:uid="{65A88818-EAC0-497D-AA0E-F76DC87D7E1B}">
          <x14:formula1>
            <xm:f>Setup_and_Criteria!$P$27:$P$31</xm:f>
          </x14:formula1>
          <xm:sqref>A17 A30 A43 A56 A69 A82 A95 A108 A121 A134 A147 A160 A173 A186 A199</xm:sqref>
        </x14:dataValidation>
        <x14:dataValidation type="list" allowBlank="1" showInputMessage="1" showErrorMessage="1" xr:uid="{36F85979-FDE9-404A-9025-FBFC38F205DD}">
          <x14:formula1>
            <xm:f>Setup_and_Criteria!$BF$5:$BF$12</xm:f>
          </x14:formula1>
          <xm:sqref>R17:S17 R30:S30 R43:S43 R56:S56 R69:S69 R82:S82 R95:S95 R108:S108 R121:S121 R134:S134 R147:S147 R160:S160 R173:S173 R186:S186 R199:S199</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7CFE65-CD9D-44F8-B232-CCA9019F216F}">
  <sheetPr codeName="Sheet12">
    <tabColor theme="9" tint="0.59999389629810485"/>
  </sheetPr>
  <dimension ref="A2:AI213"/>
  <sheetViews>
    <sheetView topLeftCell="A134" workbookViewId="0">
      <selection activeCell="D213" sqref="D213"/>
    </sheetView>
  </sheetViews>
  <sheetFormatPr defaultRowHeight="15" x14ac:dyDescent="0.25"/>
  <cols>
    <col min="1" max="1" width="18.5703125" customWidth="1"/>
    <col min="2" max="2" width="4.85546875" bestFit="1" customWidth="1"/>
    <col min="3" max="3" width="8.7109375" style="1" customWidth="1"/>
    <col min="4" max="4" width="8.140625" style="1" customWidth="1"/>
    <col min="5" max="6" width="7.7109375" style="1" customWidth="1"/>
    <col min="7" max="7" width="7.42578125" style="1" hidden="1" customWidth="1"/>
    <col min="8" max="8" width="0" style="1" hidden="1" customWidth="1"/>
    <col min="9" max="9" width="8.42578125" customWidth="1"/>
    <col min="10" max="10" width="8.42578125" style="1" customWidth="1"/>
    <col min="11" max="11" width="8.5703125" style="1" customWidth="1"/>
    <col min="12" max="12" width="9.140625" style="1"/>
    <col min="13" max="13" width="10.140625" style="1" customWidth="1"/>
    <col min="14" max="14" width="11" style="1" customWidth="1"/>
    <col min="15" max="15" width="9.42578125" style="1" customWidth="1"/>
    <col min="16" max="16" width="10.42578125" style="1" customWidth="1"/>
    <col min="17" max="17" width="9.42578125" customWidth="1"/>
    <col min="18" max="18" width="8.28515625" style="1" customWidth="1"/>
    <col min="19" max="19" width="7.140625" style="1" customWidth="1"/>
    <col min="20" max="27" width="7.7109375" style="1" customWidth="1"/>
    <col min="28" max="28" width="7.7109375" customWidth="1"/>
    <col min="29" max="29" width="11.28515625" customWidth="1"/>
  </cols>
  <sheetData>
    <row r="2" spans="1:35" ht="15" customHeight="1" x14ac:dyDescent="0.25">
      <c r="E2" s="886" t="str">
        <f>+Setup_and_Criteria!J6</f>
        <v>Q2</v>
      </c>
      <c r="F2" s="886"/>
      <c r="G2" s="886"/>
      <c r="H2" s="886"/>
      <c r="I2" s="887">
        <v>2026</v>
      </c>
      <c r="J2" s="887"/>
      <c r="M2" s="856" t="s">
        <v>127</v>
      </c>
      <c r="N2" s="856"/>
      <c r="O2" s="856"/>
      <c r="P2" s="856"/>
      <c r="Q2" s="856"/>
      <c r="R2" s="856"/>
      <c r="S2" s="856"/>
      <c r="T2" s="856"/>
      <c r="U2" s="856"/>
      <c r="V2" s="856"/>
      <c r="W2" s="856"/>
    </row>
    <row r="3" spans="1:35" ht="15" customHeight="1" x14ac:dyDescent="0.25">
      <c r="E3" s="886"/>
      <c r="F3" s="886"/>
      <c r="G3" s="886"/>
      <c r="H3" s="886"/>
      <c r="I3" s="887"/>
      <c r="J3" s="887"/>
      <c r="M3" s="856"/>
      <c r="N3" s="856"/>
      <c r="O3" s="856"/>
      <c r="P3" s="856"/>
      <c r="Q3" s="856"/>
      <c r="R3" s="856"/>
      <c r="S3" s="856"/>
      <c r="T3" s="856"/>
      <c r="U3" s="856"/>
      <c r="V3" s="856"/>
      <c r="W3" s="856"/>
    </row>
    <row r="4" spans="1:35" x14ac:dyDescent="0.25">
      <c r="G4"/>
      <c r="H4"/>
      <c r="L4" s="1" t="s">
        <v>42</v>
      </c>
      <c r="M4" s="856"/>
      <c r="N4" s="856"/>
      <c r="O4" s="856"/>
      <c r="P4" s="856"/>
      <c r="Q4" s="856"/>
      <c r="R4" s="856"/>
      <c r="S4" s="856"/>
      <c r="T4" s="856"/>
      <c r="U4" s="856"/>
      <c r="V4" s="856"/>
      <c r="W4" s="856"/>
    </row>
    <row r="5" spans="1:35" ht="15.75" thickBot="1" x14ac:dyDescent="0.3">
      <c r="W5" s="1" t="s">
        <v>42</v>
      </c>
    </row>
    <row r="6" spans="1:35" ht="35.25" customHeight="1" x14ac:dyDescent="0.4">
      <c r="A6" s="421" t="str">
        <f>+'M3_1-15th'!A6</f>
        <v>June</v>
      </c>
      <c r="B6" s="624">
        <v>16</v>
      </c>
      <c r="C6" s="884" t="s">
        <v>128</v>
      </c>
      <c r="D6" s="884"/>
      <c r="E6" s="884"/>
      <c r="F6" s="884"/>
      <c r="G6" s="377"/>
      <c r="H6" s="377"/>
      <c r="I6" s="21"/>
      <c r="J6" s="874" t="s">
        <v>129</v>
      </c>
      <c r="K6" s="875"/>
      <c r="L6" s="875"/>
      <c r="M6" s="875"/>
      <c r="N6" s="876" t="s">
        <v>130</v>
      </c>
      <c r="O6" s="876"/>
      <c r="P6" s="876"/>
      <c r="Q6" s="876"/>
      <c r="R6" s="424" t="s">
        <v>131</v>
      </c>
      <c r="S6" s="424"/>
      <c r="T6" s="424"/>
      <c r="U6" s="424"/>
      <c r="V6" s="424"/>
      <c r="W6" s="424"/>
      <c r="X6" s="424"/>
      <c r="Y6" s="424"/>
      <c r="Z6" s="424"/>
      <c r="AA6" s="424"/>
      <c r="AB6" s="424"/>
      <c r="AC6" s="424"/>
      <c r="AD6" s="461" t="s">
        <v>132</v>
      </c>
      <c r="AE6" s="426"/>
      <c r="AF6" s="426"/>
      <c r="AG6" s="426"/>
      <c r="AH6" s="426"/>
      <c r="AI6" s="427"/>
    </row>
    <row r="7" spans="1:35" ht="59.25" customHeight="1" x14ac:dyDescent="0.25">
      <c r="A7" s="378" t="s">
        <v>133</v>
      </c>
      <c r="C7" s="435" t="s">
        <v>134</v>
      </c>
      <c r="D7" s="435" t="s">
        <v>135</v>
      </c>
      <c r="E7" s="435" t="s">
        <v>134</v>
      </c>
      <c r="F7" s="435" t="s">
        <v>135</v>
      </c>
      <c r="G7" s="1" t="s">
        <v>136</v>
      </c>
      <c r="H7" s="1" t="s">
        <v>108</v>
      </c>
      <c r="I7" s="436"/>
      <c r="J7" s="437" t="str">
        <f>+Setup_and_Criteria!$B$13</f>
        <v>Checkouts</v>
      </c>
      <c r="K7" s="437" t="str">
        <f>+Setup_and_Criteria!$B$14</f>
        <v>Pet Rooms</v>
      </c>
      <c r="L7" s="437" t="str">
        <f>+Setup_and_Criteria!$B$15</f>
        <v>2 Rm &amp; Jac Stes</v>
      </c>
      <c r="M7" s="438" t="str">
        <f>+Setup_and_Criteria!$B$16</f>
        <v>Stayovers</v>
      </c>
      <c r="N7" s="269" t="s">
        <v>137</v>
      </c>
      <c r="O7" s="269" t="s">
        <v>138</v>
      </c>
      <c r="P7" s="439" t="s">
        <v>139</v>
      </c>
      <c r="Q7" s="439" t="s">
        <v>140</v>
      </c>
      <c r="R7" s="440" t="str">
        <f>+Corrections!$C$8</f>
        <v>Vanity</v>
      </c>
      <c r="S7" s="440" t="str">
        <f>+Corrections!$I$8</f>
        <v>Toilet</v>
      </c>
      <c r="T7" s="440" t="str">
        <f>+Corrections!$O$8</f>
        <v>Bed/Pillows</v>
      </c>
      <c r="U7" s="440" t="str">
        <f>+Corrections!$U$8</f>
        <v>Floor</v>
      </c>
      <c r="V7" s="440" t="str">
        <f>+Corrections!$AA$8</f>
        <v>Dusting</v>
      </c>
      <c r="W7" s="440" t="str">
        <f>+Corrections!$AG$8</f>
        <v>Fridge/Micro</v>
      </c>
      <c r="X7" s="440" t="str">
        <f>+Corrections!$AM$8</f>
        <v>Tub</v>
      </c>
      <c r="Y7" s="441" t="str">
        <f>+Corrections!$AS$8</f>
        <v>Mirrors/Glass</v>
      </c>
      <c r="Z7" s="440" t="str">
        <f>+Corrections!$AY$8</f>
        <v>Stocking</v>
      </c>
      <c r="AA7" s="440" t="str">
        <f>+Corrections!$BE$8</f>
        <v>Other</v>
      </c>
      <c r="AB7" s="269" t="s">
        <v>141</v>
      </c>
      <c r="AC7" s="269" t="s">
        <v>142</v>
      </c>
      <c r="AD7" s="889" t="s">
        <v>143</v>
      </c>
      <c r="AE7" s="890"/>
      <c r="AF7" s="890"/>
      <c r="AG7" s="890"/>
      <c r="AH7" s="890"/>
      <c r="AI7" s="891"/>
    </row>
    <row r="8" spans="1:35" x14ac:dyDescent="0.25">
      <c r="A8" s="638"/>
      <c r="C8" s="369"/>
      <c r="D8" s="369"/>
      <c r="E8" s="369"/>
      <c r="F8" s="369"/>
      <c r="G8" s="264">
        <f t="shared" ref="G8:G13" si="0">+(D8-C8)+(F8-E8)</f>
        <v>0</v>
      </c>
      <c r="H8" s="442">
        <f t="shared" ref="H8:H13" si="1">+G8*1440</f>
        <v>0</v>
      </c>
      <c r="J8" s="630"/>
      <c r="K8" s="630"/>
      <c r="L8" s="630"/>
      <c r="M8" s="630"/>
      <c r="N8" s="1">
        <f>IF(C8&gt;0,((J8*Setup_and_Criteria!$F$13)+('M1_1-15th'!K8*Setup_and_Criteria!$F$14)+('M1_1-15th'!L8*Setup_and_Criteria!$F$15)+('M1_1-15th'!M8*Setup_and_Criteria!$F$16)+Setup_and_Criteria!$J$16),0)</f>
        <v>0</v>
      </c>
      <c r="O8" s="442">
        <f>+H8</f>
        <v>0</v>
      </c>
      <c r="P8" s="443">
        <f t="shared" ref="P8:P14" si="2">+N8-O8</f>
        <v>0</v>
      </c>
      <c r="Q8" s="357" t="e">
        <f t="shared" ref="Q8:Q14" si="3">O8/_xlfn.SINGLE(SUM(J8:M8))</f>
        <v>#DIV/0!</v>
      </c>
      <c r="R8" s="630"/>
      <c r="S8" s="630"/>
      <c r="T8" s="630"/>
      <c r="U8" s="630"/>
      <c r="V8" s="630"/>
      <c r="W8" s="630"/>
      <c r="X8" s="630"/>
      <c r="Y8" s="630"/>
      <c r="Z8" s="630"/>
      <c r="AA8" s="630"/>
      <c r="AB8" s="1">
        <f t="shared" ref="AB8:AB14" si="4">SUM(R8:AA8)</f>
        <v>0</v>
      </c>
      <c r="AC8" s="357" t="e">
        <f t="shared" ref="AC8:AC14" si="5">+AB8/(J8+K8+L8)</f>
        <v>#DIV/0!</v>
      </c>
      <c r="AD8" s="864" t="s">
        <v>144</v>
      </c>
      <c r="AE8" s="865"/>
      <c r="AF8" s="865"/>
      <c r="AG8" s="866"/>
      <c r="AH8" s="866"/>
      <c r="AI8" s="867"/>
    </row>
    <row r="9" spans="1:35" x14ac:dyDescent="0.25">
      <c r="A9" s="638"/>
      <c r="C9" s="369"/>
      <c r="D9" s="369"/>
      <c r="E9" s="630"/>
      <c r="F9" s="630"/>
      <c r="G9" s="264">
        <f t="shared" si="0"/>
        <v>0</v>
      </c>
      <c r="H9" s="442">
        <f t="shared" si="1"/>
        <v>0</v>
      </c>
      <c r="J9" s="630"/>
      <c r="K9" s="630"/>
      <c r="L9" s="630"/>
      <c r="M9" s="630"/>
      <c r="N9" s="1">
        <f>IF(C9&gt;0,((J9*Setup_and_Criteria!$F$13)+('M1_1-15th'!K9*Setup_and_Criteria!$F$14)+('M1_1-15th'!L9*Setup_and_Criteria!$F$15)+('M1_1-15th'!M9*Setup_and_Criteria!$F$16)+Setup_and_Criteria!$J$16),0)</f>
        <v>0</v>
      </c>
      <c r="O9" s="442">
        <f t="shared" ref="O9:O14" si="6">+H9</f>
        <v>0</v>
      </c>
      <c r="P9" s="443">
        <f t="shared" si="2"/>
        <v>0</v>
      </c>
      <c r="Q9" s="357" t="e">
        <f t="shared" si="3"/>
        <v>#DIV/0!</v>
      </c>
      <c r="R9" s="630"/>
      <c r="S9" s="630"/>
      <c r="T9" s="630"/>
      <c r="U9" s="630"/>
      <c r="V9" s="630"/>
      <c r="W9" s="630"/>
      <c r="X9" s="630"/>
      <c r="Y9" s="630"/>
      <c r="Z9" s="630"/>
      <c r="AA9" s="630"/>
      <c r="AB9" s="1">
        <f t="shared" si="4"/>
        <v>0</v>
      </c>
      <c r="AC9" s="357" t="e">
        <f t="shared" si="5"/>
        <v>#DIV/0!</v>
      </c>
      <c r="AD9" s="864"/>
      <c r="AE9" s="865"/>
      <c r="AF9" s="865"/>
      <c r="AG9" s="866"/>
      <c r="AH9" s="866"/>
      <c r="AI9" s="867"/>
    </row>
    <row r="10" spans="1:35" x14ac:dyDescent="0.25">
      <c r="A10" s="638"/>
      <c r="C10" s="369"/>
      <c r="D10" s="369"/>
      <c r="E10" s="630"/>
      <c r="F10" s="630"/>
      <c r="G10" s="264">
        <f t="shared" si="0"/>
        <v>0</v>
      </c>
      <c r="H10" s="442">
        <f t="shared" si="1"/>
        <v>0</v>
      </c>
      <c r="J10" s="630"/>
      <c r="K10" s="630"/>
      <c r="L10" s="630"/>
      <c r="M10" s="630"/>
      <c r="N10" s="1">
        <f>IF(C10&gt;0,((J10*Setup_and_Criteria!$F$13)+('M1_1-15th'!K10*Setup_and_Criteria!$F$14)+('M1_1-15th'!L10*Setup_and_Criteria!$F$15)+('M1_1-15th'!M10*Setup_and_Criteria!$F$16)+Setup_and_Criteria!$J$16),0)</f>
        <v>0</v>
      </c>
      <c r="O10" s="442">
        <f t="shared" si="6"/>
        <v>0</v>
      </c>
      <c r="P10" s="443">
        <f t="shared" si="2"/>
        <v>0</v>
      </c>
      <c r="Q10" s="357" t="e">
        <f t="shared" si="3"/>
        <v>#DIV/0!</v>
      </c>
      <c r="R10" s="630"/>
      <c r="S10" s="630"/>
      <c r="T10" s="630"/>
      <c r="U10" s="630"/>
      <c r="V10" s="630"/>
      <c r="W10" s="630"/>
      <c r="X10" s="630"/>
      <c r="Y10" s="630"/>
      <c r="Z10" s="630"/>
      <c r="AA10" s="630"/>
      <c r="AB10" s="1">
        <f t="shared" si="4"/>
        <v>0</v>
      </c>
      <c r="AC10" s="357" t="e">
        <f t="shared" si="5"/>
        <v>#DIV/0!</v>
      </c>
      <c r="AD10" s="864"/>
      <c r="AE10" s="865"/>
      <c r="AF10" s="865"/>
      <c r="AG10" s="866"/>
      <c r="AH10" s="866"/>
      <c r="AI10" s="867"/>
    </row>
    <row r="11" spans="1:35" x14ac:dyDescent="0.25">
      <c r="A11" s="638"/>
      <c r="C11" s="630"/>
      <c r="D11" s="630"/>
      <c r="E11" s="630"/>
      <c r="F11" s="630"/>
      <c r="G11" s="264">
        <f t="shared" si="0"/>
        <v>0</v>
      </c>
      <c r="H11" s="442">
        <f t="shared" si="1"/>
        <v>0</v>
      </c>
      <c r="J11" s="630"/>
      <c r="K11" s="630"/>
      <c r="L11" s="630"/>
      <c r="M11" s="630"/>
      <c r="N11" s="1">
        <f>IF(C11&gt;0,((J11*Setup_and_Criteria!$F$13)+('M1_1-15th'!K11*Setup_and_Criteria!$F$14)+('M1_1-15th'!L11*Setup_and_Criteria!$F$15)+('M1_1-15th'!M11*Setup_and_Criteria!$F$16)+Setup_and_Criteria!$J$16),0)</f>
        <v>0</v>
      </c>
      <c r="O11" s="442">
        <f t="shared" si="6"/>
        <v>0</v>
      </c>
      <c r="P11" s="443">
        <f t="shared" si="2"/>
        <v>0</v>
      </c>
      <c r="Q11" s="357" t="e">
        <f t="shared" si="3"/>
        <v>#DIV/0!</v>
      </c>
      <c r="R11" s="630"/>
      <c r="S11" s="630"/>
      <c r="T11" s="630"/>
      <c r="U11" s="630"/>
      <c r="V11" s="630"/>
      <c r="W11" s="630"/>
      <c r="X11" s="630"/>
      <c r="Y11" s="630"/>
      <c r="Z11" s="630"/>
      <c r="AA11" s="630"/>
      <c r="AB11" s="1">
        <f t="shared" si="4"/>
        <v>0</v>
      </c>
      <c r="AC11" s="357" t="e">
        <f t="shared" si="5"/>
        <v>#DIV/0!</v>
      </c>
      <c r="AD11" s="864"/>
      <c r="AE11" s="865"/>
      <c r="AF11" s="865"/>
      <c r="AG11" s="866"/>
      <c r="AH11" s="866"/>
      <c r="AI11" s="867"/>
    </row>
    <row r="12" spans="1:35" x14ac:dyDescent="0.25">
      <c r="A12" s="638"/>
      <c r="C12" s="630"/>
      <c r="D12" s="630"/>
      <c r="E12" s="630"/>
      <c r="F12" s="630"/>
      <c r="G12" s="264">
        <f t="shared" si="0"/>
        <v>0</v>
      </c>
      <c r="H12" s="442">
        <f t="shared" si="1"/>
        <v>0</v>
      </c>
      <c r="J12" s="630"/>
      <c r="K12" s="630"/>
      <c r="L12" s="630"/>
      <c r="M12" s="630"/>
      <c r="N12" s="1">
        <f>IF(C12&gt;0,((J12*Setup_and_Criteria!$F$13)+('M1_1-15th'!K12*Setup_and_Criteria!$F$14)+('M1_1-15th'!L12*Setup_and_Criteria!$F$15)+('M1_1-15th'!M12*Setup_and_Criteria!$F$16)+Setup_and_Criteria!$J$16),0)</f>
        <v>0</v>
      </c>
      <c r="O12" s="442">
        <f t="shared" si="6"/>
        <v>0</v>
      </c>
      <c r="P12" s="443">
        <f t="shared" si="2"/>
        <v>0</v>
      </c>
      <c r="Q12" s="357" t="e">
        <f t="shared" si="3"/>
        <v>#DIV/0!</v>
      </c>
      <c r="R12" s="630"/>
      <c r="S12" s="630"/>
      <c r="T12" s="630"/>
      <c r="U12" s="630"/>
      <c r="V12" s="630"/>
      <c r="W12" s="630"/>
      <c r="X12" s="630"/>
      <c r="Y12" s="630"/>
      <c r="Z12" s="630"/>
      <c r="AA12" s="630"/>
      <c r="AB12" s="1">
        <f t="shared" si="4"/>
        <v>0</v>
      </c>
      <c r="AC12" s="357" t="e">
        <f t="shared" si="5"/>
        <v>#DIV/0!</v>
      </c>
      <c r="AD12" s="864"/>
      <c r="AE12" s="865"/>
      <c r="AF12" s="865"/>
      <c r="AG12" s="866"/>
      <c r="AH12" s="866"/>
      <c r="AI12" s="867"/>
    </row>
    <row r="13" spans="1:35" ht="15.75" thickBot="1" x14ac:dyDescent="0.3">
      <c r="A13" s="638"/>
      <c r="C13" s="370"/>
      <c r="D13" s="370"/>
      <c r="E13" s="630"/>
      <c r="F13" s="630"/>
      <c r="G13" s="264">
        <f t="shared" si="0"/>
        <v>0</v>
      </c>
      <c r="H13" s="442">
        <f t="shared" si="1"/>
        <v>0</v>
      </c>
      <c r="J13" s="371"/>
      <c r="K13" s="371"/>
      <c r="L13" s="371"/>
      <c r="M13" s="371"/>
      <c r="N13" s="358">
        <f>IF(C13&gt;0,((J13*Setup_and_Criteria!$F$13)+('M1_1-15th'!K13*Setup_and_Criteria!$F$14)+('M1_1-15th'!L13*Setup_and_Criteria!$F$15)+('M1_1-15th'!M13*Setup_and_Criteria!$F$16)+Setup_and_Criteria!$J$16),0)</f>
        <v>0</v>
      </c>
      <c r="O13" s="359">
        <f t="shared" si="6"/>
        <v>0</v>
      </c>
      <c r="P13" s="383">
        <f t="shared" si="2"/>
        <v>0</v>
      </c>
      <c r="Q13" s="360" t="e">
        <f t="shared" si="3"/>
        <v>#DIV/0!</v>
      </c>
      <c r="R13" s="511"/>
      <c r="S13" s="511"/>
      <c r="T13" s="511"/>
      <c r="U13" s="511"/>
      <c r="V13" s="511"/>
      <c r="W13" s="511"/>
      <c r="X13" s="511"/>
      <c r="Y13" s="511"/>
      <c r="Z13" s="511"/>
      <c r="AA13" s="511"/>
      <c r="AB13" s="1">
        <f t="shared" si="4"/>
        <v>0</v>
      </c>
      <c r="AC13" s="357" t="e">
        <f t="shared" si="5"/>
        <v>#DIV/0!</v>
      </c>
      <c r="AD13" s="864"/>
      <c r="AE13" s="865"/>
      <c r="AF13" s="865"/>
      <c r="AG13" s="866"/>
      <c r="AH13" s="866"/>
      <c r="AI13" s="867"/>
    </row>
    <row r="14" spans="1:35" ht="15.75" thickTop="1" x14ac:dyDescent="0.25">
      <c r="A14" s="58"/>
      <c r="H14" s="442">
        <f>SUM(H8:H13)</f>
        <v>0</v>
      </c>
      <c r="J14" s="1">
        <f>SUM(J8:J13)</f>
        <v>0</v>
      </c>
      <c r="K14" s="1">
        <f>SUM(K8:K13)</f>
        <v>0</v>
      </c>
      <c r="L14" s="1">
        <f>SUM(L8:L13)</f>
        <v>0</v>
      </c>
      <c r="M14" s="1">
        <f>SUM(M8:M13)</f>
        <v>0</v>
      </c>
      <c r="N14" s="1">
        <f>SUM(N8:N13)</f>
        <v>0</v>
      </c>
      <c r="O14" s="1">
        <f t="shared" si="6"/>
        <v>0</v>
      </c>
      <c r="P14" s="443">
        <f t="shared" si="2"/>
        <v>0</v>
      </c>
      <c r="Q14" s="357" t="e">
        <f t="shared" si="3"/>
        <v>#DIV/0!</v>
      </c>
      <c r="R14" s="1">
        <f t="shared" ref="R14:AA14" si="7">SUM(R8:R13)</f>
        <v>0</v>
      </c>
      <c r="S14" s="1">
        <f t="shared" si="7"/>
        <v>0</v>
      </c>
      <c r="T14" s="1">
        <f t="shared" si="7"/>
        <v>0</v>
      </c>
      <c r="U14" s="1">
        <f t="shared" si="7"/>
        <v>0</v>
      </c>
      <c r="V14" s="1">
        <f t="shared" si="7"/>
        <v>0</v>
      </c>
      <c r="W14" s="1">
        <f t="shared" si="7"/>
        <v>0</v>
      </c>
      <c r="X14" s="1">
        <f t="shared" si="7"/>
        <v>0</v>
      </c>
      <c r="Y14" s="1">
        <f t="shared" si="7"/>
        <v>0</v>
      </c>
      <c r="Z14" s="1">
        <f t="shared" si="7"/>
        <v>0</v>
      </c>
      <c r="AA14" s="1">
        <f t="shared" si="7"/>
        <v>0</v>
      </c>
      <c r="AB14" s="1">
        <f t="shared" si="4"/>
        <v>0</v>
      </c>
      <c r="AC14" s="357" t="e">
        <f t="shared" si="5"/>
        <v>#DIV/0!</v>
      </c>
      <c r="AD14" s="877"/>
      <c r="AE14" s="878"/>
      <c r="AF14" s="878"/>
      <c r="AG14" s="749"/>
      <c r="AH14" s="749"/>
      <c r="AI14" s="879"/>
    </row>
    <row r="15" spans="1:35" ht="21" customHeight="1" x14ac:dyDescent="0.35">
      <c r="A15" s="58"/>
      <c r="H15" s="442"/>
      <c r="N15" s="888" t="s">
        <v>145</v>
      </c>
      <c r="O15" s="888"/>
      <c r="P15" s="888"/>
      <c r="Q15" s="888"/>
      <c r="R15" s="431" t="s">
        <v>146</v>
      </c>
      <c r="S15" s="431"/>
      <c r="T15" s="431"/>
      <c r="U15" s="431"/>
      <c r="V15" s="431"/>
      <c r="W15" s="431"/>
      <c r="X15" s="431"/>
      <c r="Y15" s="431"/>
      <c r="Z15" s="431"/>
      <c r="AA15" s="431"/>
      <c r="AB15" s="431"/>
      <c r="AC15" s="431"/>
      <c r="AD15" s="880" t="s">
        <v>132</v>
      </c>
      <c r="AE15" s="881"/>
      <c r="AF15" s="881"/>
      <c r="AG15" s="881"/>
      <c r="AH15" s="881"/>
      <c r="AI15" s="882"/>
    </row>
    <row r="16" spans="1:35" ht="31.5" customHeight="1" x14ac:dyDescent="0.35">
      <c r="A16" s="378" t="s">
        <v>147</v>
      </c>
      <c r="C16" s="885" t="s">
        <v>128</v>
      </c>
      <c r="D16" s="885"/>
      <c r="E16" s="885"/>
      <c r="F16" s="885"/>
      <c r="H16" s="442"/>
      <c r="J16" s="444"/>
      <c r="K16" s="445" t="s">
        <v>35</v>
      </c>
      <c r="L16" s="445" t="s">
        <v>148</v>
      </c>
      <c r="N16" s="446" t="s">
        <v>149</v>
      </c>
      <c r="O16" s="447" t="s">
        <v>150</v>
      </c>
      <c r="P16" s="447" t="s">
        <v>138</v>
      </c>
      <c r="Q16" s="447" t="s">
        <v>151</v>
      </c>
      <c r="R16" s="749" t="s">
        <v>152</v>
      </c>
      <c r="S16" s="749"/>
      <c r="T16" s="883" t="s">
        <v>153</v>
      </c>
      <c r="U16" s="883"/>
      <c r="W16" s="425" t="s">
        <v>154</v>
      </c>
      <c r="X16" s="425"/>
      <c r="Y16" s="425"/>
      <c r="Z16" s="425"/>
      <c r="AA16" s="425"/>
      <c r="AB16" s="425"/>
      <c r="AC16" s="425"/>
      <c r="AD16" s="868" t="s">
        <v>160</v>
      </c>
      <c r="AE16" s="869"/>
      <c r="AF16" s="869"/>
      <c r="AG16" s="869"/>
      <c r="AH16" s="869"/>
      <c r="AI16" s="870"/>
    </row>
    <row r="17" spans="1:35" ht="18" customHeight="1" thickBot="1" x14ac:dyDescent="0.3">
      <c r="A17" s="640"/>
      <c r="B17" s="2"/>
      <c r="C17" s="379"/>
      <c r="D17" s="379"/>
      <c r="E17" s="379"/>
      <c r="F17" s="379"/>
      <c r="G17" s="380">
        <f>+(D17-C17)+(F17-E17)</f>
        <v>0</v>
      </c>
      <c r="H17" s="381">
        <f>+G17*1440</f>
        <v>0</v>
      </c>
      <c r="I17" s="859" t="s">
        <v>155</v>
      </c>
      <c r="J17" s="860"/>
      <c r="K17" s="373"/>
      <c r="L17" s="374"/>
      <c r="M17" s="423"/>
      <c r="N17" s="629">
        <f>+J14+L14+K14+K17+L17</f>
        <v>0</v>
      </c>
      <c r="O17" s="368">
        <f>+(Setup_and_Criteria!$K$31+(J14*Setup_and_Criteria!$F$20)+('M1_1-15th'!K14*Setup_and_Criteria!$F$21)+('M1_1-15th'!L14*Setup_and_Criteria!$F$20))+T17+(K17*Setup_and_Criteria!$F$21)+(Setup_and_Criteria!$F$22*'M1_1-15th'!L17)</f>
        <v>75</v>
      </c>
      <c r="P17" s="367">
        <f>+H17</f>
        <v>0</v>
      </c>
      <c r="Q17" s="367">
        <f>+O17-P17</f>
        <v>75</v>
      </c>
      <c r="R17" s="861" t="s">
        <v>252</v>
      </c>
      <c r="S17" s="861"/>
      <c r="T17" s="862">
        <v>0</v>
      </c>
      <c r="U17" s="863"/>
      <c r="V17" s="265" t="s">
        <v>156</v>
      </c>
      <c r="W17" s="854"/>
      <c r="X17" s="855"/>
      <c r="Y17" s="855"/>
      <c r="Z17" s="855"/>
      <c r="AA17" s="855"/>
      <c r="AB17" s="855"/>
      <c r="AC17" s="855"/>
      <c r="AD17" s="868"/>
      <c r="AE17" s="869"/>
      <c r="AF17" s="869"/>
      <c r="AG17" s="869"/>
      <c r="AH17" s="869"/>
      <c r="AI17" s="870"/>
    </row>
    <row r="18" spans="1:35" ht="15.75" thickBot="1" x14ac:dyDescent="0.3">
      <c r="A18" s="452" t="s">
        <v>157</v>
      </c>
      <c r="B18" s="450"/>
      <c r="C18" s="451"/>
      <c r="D18" s="451"/>
      <c r="E18" s="451"/>
      <c r="F18" s="451"/>
      <c r="G18" s="451"/>
      <c r="H18" s="451"/>
      <c r="I18" s="450"/>
      <c r="J18" s="451"/>
      <c r="K18" s="451"/>
      <c r="L18" s="451"/>
      <c r="M18" s="451"/>
      <c r="N18" s="451"/>
      <c r="O18" s="451"/>
      <c r="P18" s="451"/>
      <c r="Q18" s="450"/>
      <c r="R18" s="451"/>
      <c r="S18" s="451"/>
      <c r="T18" s="451"/>
      <c r="U18" s="451"/>
      <c r="V18" s="451"/>
      <c r="W18" s="451"/>
      <c r="X18" s="451"/>
      <c r="Y18" s="451"/>
      <c r="Z18" s="451"/>
      <c r="AA18" s="451"/>
      <c r="AB18" s="450"/>
      <c r="AC18" s="450"/>
      <c r="AD18" s="871"/>
      <c r="AE18" s="872"/>
      <c r="AF18" s="872"/>
      <c r="AG18" s="872"/>
      <c r="AH18" s="872"/>
      <c r="AI18" s="873"/>
    </row>
    <row r="19" spans="1:35" ht="35.25" customHeight="1" x14ac:dyDescent="0.4">
      <c r="A19" s="434" t="str">
        <f>+A6</f>
        <v>June</v>
      </c>
      <c r="B19" s="624">
        <f>+B6+1</f>
        <v>17</v>
      </c>
      <c r="C19" s="884" t="s">
        <v>128</v>
      </c>
      <c r="D19" s="884"/>
      <c r="E19" s="884"/>
      <c r="F19" s="884"/>
      <c r="G19" s="377"/>
      <c r="H19" s="377"/>
      <c r="I19" s="21"/>
      <c r="J19" s="874" t="s">
        <v>129</v>
      </c>
      <c r="K19" s="875"/>
      <c r="L19" s="875"/>
      <c r="M19" s="875"/>
      <c r="N19" s="876" t="s">
        <v>130</v>
      </c>
      <c r="O19" s="876"/>
      <c r="P19" s="876"/>
      <c r="Q19" s="876"/>
      <c r="R19" s="424" t="str">
        <f>+R6</f>
        <v xml:space="preserve"> Corrections Tracking - Check out rooms</v>
      </c>
      <c r="S19" s="424"/>
      <c r="T19" s="424"/>
      <c r="U19" s="424"/>
      <c r="V19" s="424"/>
      <c r="W19" s="424"/>
      <c r="X19" s="424"/>
      <c r="Y19" s="424"/>
      <c r="Z19" s="424"/>
      <c r="AA19" s="424"/>
      <c r="AB19" s="424"/>
      <c r="AC19" s="424"/>
      <c r="AD19" s="461" t="s">
        <v>132</v>
      </c>
      <c r="AE19" s="426"/>
      <c r="AF19" s="426"/>
      <c r="AG19" s="426"/>
      <c r="AH19" s="426"/>
      <c r="AI19" s="427"/>
    </row>
    <row r="20" spans="1:35" ht="59.25" customHeight="1" x14ac:dyDescent="0.25">
      <c r="A20" s="378" t="s">
        <v>133</v>
      </c>
      <c r="C20" s="435" t="s">
        <v>134</v>
      </c>
      <c r="D20" s="435" t="s">
        <v>135</v>
      </c>
      <c r="E20" s="435" t="s">
        <v>134</v>
      </c>
      <c r="F20" s="435" t="s">
        <v>135</v>
      </c>
      <c r="G20" s="1" t="s">
        <v>136</v>
      </c>
      <c r="H20" s="1" t="s">
        <v>108</v>
      </c>
      <c r="I20" s="436"/>
      <c r="J20" s="437" t="str">
        <f>+Setup_and_Criteria!$B$13</f>
        <v>Checkouts</v>
      </c>
      <c r="K20" s="437" t="str">
        <f>+Setup_and_Criteria!$B$14</f>
        <v>Pet Rooms</v>
      </c>
      <c r="L20" s="437" t="str">
        <f>+Setup_and_Criteria!$B$15</f>
        <v>2 Rm &amp; Jac Stes</v>
      </c>
      <c r="M20" s="438" t="str">
        <f>+Setup_and_Criteria!$B$16</f>
        <v>Stayovers</v>
      </c>
      <c r="N20" s="269" t="s">
        <v>137</v>
      </c>
      <c r="O20" s="269" t="s">
        <v>138</v>
      </c>
      <c r="P20" s="439" t="s">
        <v>139</v>
      </c>
      <c r="Q20" s="439" t="s">
        <v>140</v>
      </c>
      <c r="R20" s="440" t="str">
        <f>+Corrections!$C$8</f>
        <v>Vanity</v>
      </c>
      <c r="S20" s="440" t="str">
        <f>+Corrections!$I$8</f>
        <v>Toilet</v>
      </c>
      <c r="T20" s="440" t="str">
        <f>+Corrections!$O$8</f>
        <v>Bed/Pillows</v>
      </c>
      <c r="U20" s="440" t="str">
        <f>+Corrections!$U$8</f>
        <v>Floor</v>
      </c>
      <c r="V20" s="440" t="str">
        <f>+Corrections!$AA$8</f>
        <v>Dusting</v>
      </c>
      <c r="W20" s="440" t="str">
        <f>+Corrections!$AG$8</f>
        <v>Fridge/Micro</v>
      </c>
      <c r="X20" s="440" t="str">
        <f>+Corrections!$AM$8</f>
        <v>Tub</v>
      </c>
      <c r="Y20" s="441" t="str">
        <f>+Corrections!$AS$8</f>
        <v>Mirrors/Glass</v>
      </c>
      <c r="Z20" s="440" t="str">
        <f>+Corrections!$AY$8</f>
        <v>Stocking</v>
      </c>
      <c r="AA20" s="440" t="str">
        <f>+Corrections!$BE$8</f>
        <v>Other</v>
      </c>
      <c r="AB20" s="269" t="s">
        <v>141</v>
      </c>
      <c r="AC20" s="269" t="str">
        <f>+$AC$7</f>
        <v>Daily Corr / Inspected Checkout</v>
      </c>
      <c r="AD20" s="889" t="s">
        <v>143</v>
      </c>
      <c r="AE20" s="890"/>
      <c r="AF20" s="890"/>
      <c r="AG20" s="890"/>
      <c r="AH20" s="890"/>
      <c r="AI20" s="891"/>
    </row>
    <row r="21" spans="1:35" x14ac:dyDescent="0.25">
      <c r="A21" s="638"/>
      <c r="C21" s="369"/>
      <c r="D21" s="369"/>
      <c r="E21" s="369"/>
      <c r="F21" s="369"/>
      <c r="G21" s="264">
        <f t="shared" ref="G21:G26" si="8">+(D21-C21)+(F21-E21)</f>
        <v>0</v>
      </c>
      <c r="H21" s="442">
        <f t="shared" ref="H21:H26" si="9">+G21*1440</f>
        <v>0</v>
      </c>
      <c r="J21" s="630"/>
      <c r="K21" s="630"/>
      <c r="L21" s="630"/>
      <c r="M21" s="630"/>
      <c r="N21" s="1">
        <f>IF(C21&gt;0,((J21*Setup_and_Criteria!$F$13)+('M1_1-15th'!K21*Setup_and_Criteria!$F$14)+('M1_1-15th'!L21*Setup_and_Criteria!$F$15)+('M1_1-15th'!M21*Setup_and_Criteria!$F$16)+Setup_and_Criteria!$J$16),0)</f>
        <v>0</v>
      </c>
      <c r="O21" s="442">
        <f>+H21</f>
        <v>0</v>
      </c>
      <c r="P21" s="443">
        <f t="shared" ref="P21:P27" si="10">+N21-O21</f>
        <v>0</v>
      </c>
      <c r="Q21" s="357" t="e">
        <f t="shared" ref="Q21:Q27" si="11">O21/_xlfn.SINGLE(SUM(J21:M21))</f>
        <v>#DIV/0!</v>
      </c>
      <c r="R21" s="630"/>
      <c r="S21" s="630"/>
      <c r="T21" s="630"/>
      <c r="U21" s="630"/>
      <c r="V21" s="630"/>
      <c r="W21" s="630"/>
      <c r="X21" s="630"/>
      <c r="Y21" s="630"/>
      <c r="Z21" s="630"/>
      <c r="AA21" s="630"/>
      <c r="AB21" s="1">
        <f t="shared" ref="AB21:AB27" si="12">SUM(R21:AA21)</f>
        <v>0</v>
      </c>
      <c r="AC21" s="357" t="e">
        <f t="shared" ref="AC21:AC27" si="13">+AB21/(J21+K21+L21)</f>
        <v>#DIV/0!</v>
      </c>
      <c r="AD21" s="864" t="s">
        <v>144</v>
      </c>
      <c r="AE21" s="865"/>
      <c r="AF21" s="865"/>
      <c r="AG21" s="866"/>
      <c r="AH21" s="866"/>
      <c r="AI21" s="867"/>
    </row>
    <row r="22" spans="1:35" x14ac:dyDescent="0.25">
      <c r="A22" s="638"/>
      <c r="C22" s="630"/>
      <c r="D22" s="630"/>
      <c r="E22" s="630"/>
      <c r="F22" s="630"/>
      <c r="G22" s="264">
        <f t="shared" si="8"/>
        <v>0</v>
      </c>
      <c r="H22" s="442">
        <f t="shared" si="9"/>
        <v>0</v>
      </c>
      <c r="J22" s="630"/>
      <c r="K22" s="630"/>
      <c r="L22" s="630"/>
      <c r="M22" s="630"/>
      <c r="N22" s="1">
        <f>IF(C22&gt;0,((J22*Setup_and_Criteria!$F$13)+('M1_1-15th'!K22*Setup_and_Criteria!$F$14)+('M1_1-15th'!L22*Setup_and_Criteria!$F$15)+('M1_1-15th'!M22*Setup_and_Criteria!$F$16)+Setup_and_Criteria!$J$16),0)</f>
        <v>0</v>
      </c>
      <c r="O22" s="442">
        <f t="shared" ref="O22:O27" si="14">+H22</f>
        <v>0</v>
      </c>
      <c r="P22" s="443">
        <f t="shared" si="10"/>
        <v>0</v>
      </c>
      <c r="Q22" s="357" t="e">
        <f t="shared" si="11"/>
        <v>#DIV/0!</v>
      </c>
      <c r="R22" s="630"/>
      <c r="S22" s="630"/>
      <c r="T22" s="630"/>
      <c r="U22" s="630"/>
      <c r="V22" s="630"/>
      <c r="W22" s="630"/>
      <c r="X22" s="630"/>
      <c r="Y22" s="630"/>
      <c r="Z22" s="630"/>
      <c r="AA22" s="630"/>
      <c r="AB22" s="1">
        <f t="shared" si="12"/>
        <v>0</v>
      </c>
      <c r="AC22" s="357" t="e">
        <f t="shared" si="13"/>
        <v>#DIV/0!</v>
      </c>
      <c r="AD22" s="864"/>
      <c r="AE22" s="865"/>
      <c r="AF22" s="865"/>
      <c r="AG22" s="866"/>
      <c r="AH22" s="866"/>
      <c r="AI22" s="867"/>
    </row>
    <row r="23" spans="1:35" x14ac:dyDescent="0.25">
      <c r="A23" s="638"/>
      <c r="C23" s="630"/>
      <c r="D23" s="630"/>
      <c r="E23" s="630"/>
      <c r="F23" s="630"/>
      <c r="G23" s="264">
        <f t="shared" si="8"/>
        <v>0</v>
      </c>
      <c r="H23" s="442">
        <f t="shared" si="9"/>
        <v>0</v>
      </c>
      <c r="J23" s="630"/>
      <c r="K23" s="630"/>
      <c r="L23" s="630"/>
      <c r="M23" s="630"/>
      <c r="N23" s="1">
        <f>IF(C23&gt;0,((J23*Setup_and_Criteria!$F$13)+('M1_1-15th'!K23*Setup_and_Criteria!$F$14)+('M1_1-15th'!L23*Setup_and_Criteria!$F$15)+('M1_1-15th'!M23*Setup_and_Criteria!$F$16)+Setup_and_Criteria!$J$16),0)</f>
        <v>0</v>
      </c>
      <c r="O23" s="442">
        <f t="shared" si="14"/>
        <v>0</v>
      </c>
      <c r="P23" s="443">
        <f t="shared" si="10"/>
        <v>0</v>
      </c>
      <c r="Q23" s="357" t="e">
        <f t="shared" si="11"/>
        <v>#DIV/0!</v>
      </c>
      <c r="R23" s="630"/>
      <c r="S23" s="630"/>
      <c r="T23" s="630"/>
      <c r="U23" s="630"/>
      <c r="V23" s="630"/>
      <c r="W23" s="630"/>
      <c r="X23" s="630"/>
      <c r="Y23" s="630"/>
      <c r="Z23" s="630"/>
      <c r="AA23" s="630"/>
      <c r="AB23" s="1">
        <f t="shared" si="12"/>
        <v>0</v>
      </c>
      <c r="AC23" s="357" t="e">
        <f t="shared" si="13"/>
        <v>#DIV/0!</v>
      </c>
      <c r="AD23" s="864"/>
      <c r="AE23" s="865"/>
      <c r="AF23" s="865"/>
      <c r="AG23" s="866"/>
      <c r="AH23" s="866"/>
      <c r="AI23" s="867"/>
    </row>
    <row r="24" spans="1:35" x14ac:dyDescent="0.25">
      <c r="A24" s="638"/>
      <c r="C24" s="630"/>
      <c r="D24" s="630"/>
      <c r="E24" s="630"/>
      <c r="F24" s="630"/>
      <c r="G24" s="264">
        <f t="shared" si="8"/>
        <v>0</v>
      </c>
      <c r="H24" s="442">
        <f t="shared" si="9"/>
        <v>0</v>
      </c>
      <c r="J24" s="630"/>
      <c r="K24" s="630"/>
      <c r="L24" s="630"/>
      <c r="M24" s="630"/>
      <c r="N24" s="1">
        <f>IF(C24&gt;0,((J24*Setup_and_Criteria!$F$13)+('M1_1-15th'!K24*Setup_and_Criteria!$F$14)+('M1_1-15th'!L24*Setup_and_Criteria!$F$15)+('M1_1-15th'!M24*Setup_and_Criteria!$F$16)+Setup_and_Criteria!$J$16),0)</f>
        <v>0</v>
      </c>
      <c r="O24" s="442">
        <f t="shared" si="14"/>
        <v>0</v>
      </c>
      <c r="P24" s="443">
        <f t="shared" si="10"/>
        <v>0</v>
      </c>
      <c r="Q24" s="357" t="e">
        <f t="shared" si="11"/>
        <v>#DIV/0!</v>
      </c>
      <c r="R24" s="630"/>
      <c r="S24" s="630"/>
      <c r="T24" s="630"/>
      <c r="U24" s="630"/>
      <c r="V24" s="630"/>
      <c r="W24" s="630"/>
      <c r="X24" s="630"/>
      <c r="Y24" s="630"/>
      <c r="Z24" s="630"/>
      <c r="AA24" s="630"/>
      <c r="AB24" s="1">
        <f t="shared" si="12"/>
        <v>0</v>
      </c>
      <c r="AC24" s="357" t="e">
        <f t="shared" si="13"/>
        <v>#DIV/0!</v>
      </c>
      <c r="AD24" s="864"/>
      <c r="AE24" s="865"/>
      <c r="AF24" s="865"/>
      <c r="AG24" s="866"/>
      <c r="AH24" s="866"/>
      <c r="AI24" s="867"/>
    </row>
    <row r="25" spans="1:35" x14ac:dyDescent="0.25">
      <c r="A25" s="638"/>
      <c r="C25" s="630"/>
      <c r="D25" s="630"/>
      <c r="E25" s="630"/>
      <c r="F25" s="630"/>
      <c r="G25" s="264">
        <f t="shared" si="8"/>
        <v>0</v>
      </c>
      <c r="H25" s="442">
        <f t="shared" si="9"/>
        <v>0</v>
      </c>
      <c r="J25" s="630"/>
      <c r="K25" s="630"/>
      <c r="L25" s="630"/>
      <c r="M25" s="630"/>
      <c r="N25" s="1">
        <f>IF(C25&gt;0,((J25*Setup_and_Criteria!$F$13)+('M1_1-15th'!K25*Setup_and_Criteria!$F$14)+('M1_1-15th'!L25*Setup_and_Criteria!$F$15)+('M1_1-15th'!M25*Setup_and_Criteria!$F$16)+Setup_and_Criteria!$J$16),0)</f>
        <v>0</v>
      </c>
      <c r="O25" s="442">
        <f t="shared" si="14"/>
        <v>0</v>
      </c>
      <c r="P25" s="443">
        <f t="shared" si="10"/>
        <v>0</v>
      </c>
      <c r="Q25" s="357" t="e">
        <f t="shared" si="11"/>
        <v>#DIV/0!</v>
      </c>
      <c r="R25" s="630"/>
      <c r="S25" s="630"/>
      <c r="T25" s="630"/>
      <c r="U25" s="630"/>
      <c r="V25" s="630"/>
      <c r="W25" s="630"/>
      <c r="X25" s="630"/>
      <c r="Y25" s="630"/>
      <c r="Z25" s="630"/>
      <c r="AA25" s="630"/>
      <c r="AB25" s="1">
        <f t="shared" si="12"/>
        <v>0</v>
      </c>
      <c r="AC25" s="357" t="e">
        <f t="shared" si="13"/>
        <v>#DIV/0!</v>
      </c>
      <c r="AD25" s="864"/>
      <c r="AE25" s="865"/>
      <c r="AF25" s="865"/>
      <c r="AG25" s="866"/>
      <c r="AH25" s="866"/>
      <c r="AI25" s="867"/>
    </row>
    <row r="26" spans="1:35" ht="15.75" thickBot="1" x14ac:dyDescent="0.3">
      <c r="A26" s="638"/>
      <c r="C26" s="370"/>
      <c r="D26" s="370"/>
      <c r="E26" s="630"/>
      <c r="F26" s="630"/>
      <c r="G26" s="264">
        <f t="shared" si="8"/>
        <v>0</v>
      </c>
      <c r="H26" s="442">
        <f t="shared" si="9"/>
        <v>0</v>
      </c>
      <c r="J26" s="371"/>
      <c r="K26" s="371"/>
      <c r="L26" s="371"/>
      <c r="M26" s="371"/>
      <c r="N26" s="358">
        <f>IF(C26&gt;0,((J26*Setup_and_Criteria!$F$13)+('M1_1-15th'!K26*Setup_and_Criteria!$F$14)+('M1_1-15th'!L26*Setup_and_Criteria!$F$15)+('M1_1-15th'!M26*Setup_and_Criteria!$F$16)+Setup_and_Criteria!$J$16),0)</f>
        <v>0</v>
      </c>
      <c r="O26" s="359">
        <f t="shared" si="14"/>
        <v>0</v>
      </c>
      <c r="P26" s="383">
        <f t="shared" si="10"/>
        <v>0</v>
      </c>
      <c r="Q26" s="360" t="e">
        <f t="shared" si="11"/>
        <v>#DIV/0!</v>
      </c>
      <c r="R26" s="511"/>
      <c r="S26" s="511"/>
      <c r="T26" s="511"/>
      <c r="U26" s="511"/>
      <c r="V26" s="511"/>
      <c r="W26" s="511"/>
      <c r="X26" s="511"/>
      <c r="Y26" s="511"/>
      <c r="Z26" s="511"/>
      <c r="AA26" s="511"/>
      <c r="AB26" s="1">
        <f t="shared" si="12"/>
        <v>0</v>
      </c>
      <c r="AC26" s="357" t="e">
        <f t="shared" si="13"/>
        <v>#DIV/0!</v>
      </c>
      <c r="AD26" s="864"/>
      <c r="AE26" s="865"/>
      <c r="AF26" s="865"/>
      <c r="AG26" s="866"/>
      <c r="AH26" s="866"/>
      <c r="AI26" s="867"/>
    </row>
    <row r="27" spans="1:35" ht="15.75" thickTop="1" x14ac:dyDescent="0.25">
      <c r="A27" s="58"/>
      <c r="H27" s="442">
        <f>SUM(H21:H26)</f>
        <v>0</v>
      </c>
      <c r="J27" s="1">
        <f>SUM(J21:J26)</f>
        <v>0</v>
      </c>
      <c r="K27" s="1">
        <f>SUM(K21:K26)</f>
        <v>0</v>
      </c>
      <c r="L27" s="1">
        <f>SUM(L21:L26)</f>
        <v>0</v>
      </c>
      <c r="M27" s="1">
        <f>SUM(M21:M26)</f>
        <v>0</v>
      </c>
      <c r="N27" s="1">
        <f>SUM(N21:N26)</f>
        <v>0</v>
      </c>
      <c r="O27" s="1">
        <f t="shared" si="14"/>
        <v>0</v>
      </c>
      <c r="P27" s="443">
        <f t="shared" si="10"/>
        <v>0</v>
      </c>
      <c r="Q27" s="357" t="e">
        <f t="shared" si="11"/>
        <v>#DIV/0!</v>
      </c>
      <c r="R27" s="1">
        <f t="shared" ref="R27:AA27" si="15">SUM(R21:R26)</f>
        <v>0</v>
      </c>
      <c r="S27" s="1">
        <f t="shared" si="15"/>
        <v>0</v>
      </c>
      <c r="T27" s="1">
        <f t="shared" si="15"/>
        <v>0</v>
      </c>
      <c r="U27" s="1">
        <f t="shared" si="15"/>
        <v>0</v>
      </c>
      <c r="V27" s="1">
        <f t="shared" si="15"/>
        <v>0</v>
      </c>
      <c r="W27" s="1">
        <f t="shared" si="15"/>
        <v>0</v>
      </c>
      <c r="X27" s="1">
        <f t="shared" si="15"/>
        <v>0</v>
      </c>
      <c r="Y27" s="1">
        <f t="shared" si="15"/>
        <v>0</v>
      </c>
      <c r="Z27" s="1">
        <f t="shared" si="15"/>
        <v>0</v>
      </c>
      <c r="AA27" s="1">
        <f t="shared" si="15"/>
        <v>0</v>
      </c>
      <c r="AB27" s="1">
        <f t="shared" si="12"/>
        <v>0</v>
      </c>
      <c r="AC27" s="357" t="e">
        <f t="shared" si="13"/>
        <v>#DIV/0!</v>
      </c>
      <c r="AD27" s="877"/>
      <c r="AE27" s="878"/>
      <c r="AF27" s="878"/>
      <c r="AG27" s="749"/>
      <c r="AH27" s="749"/>
      <c r="AI27" s="879"/>
    </row>
    <row r="28" spans="1:35" ht="21" customHeight="1" x14ac:dyDescent="0.35">
      <c r="A28" s="58"/>
      <c r="H28" s="442"/>
      <c r="N28" s="888" t="s">
        <v>145</v>
      </c>
      <c r="O28" s="888"/>
      <c r="P28" s="888"/>
      <c r="Q28" s="888"/>
      <c r="R28" s="431" t="s">
        <v>146</v>
      </c>
      <c r="S28" s="431"/>
      <c r="T28" s="431"/>
      <c r="U28" s="431"/>
      <c r="V28" s="431"/>
      <c r="W28" s="431"/>
      <c r="X28" s="431"/>
      <c r="Y28" s="431"/>
      <c r="Z28" s="431"/>
      <c r="AA28" s="431"/>
      <c r="AB28" s="431"/>
      <c r="AC28" s="431"/>
      <c r="AD28" s="880" t="s">
        <v>132</v>
      </c>
      <c r="AE28" s="881"/>
      <c r="AF28" s="881"/>
      <c r="AG28" s="881"/>
      <c r="AH28" s="881"/>
      <c r="AI28" s="882"/>
    </row>
    <row r="29" spans="1:35" ht="31.5" customHeight="1" x14ac:dyDescent="0.35">
      <c r="A29" s="378" t="s">
        <v>147</v>
      </c>
      <c r="C29" s="885" t="s">
        <v>128</v>
      </c>
      <c r="D29" s="885"/>
      <c r="E29" s="885"/>
      <c r="F29" s="885"/>
      <c r="H29" s="442"/>
      <c r="J29" s="444"/>
      <c r="K29" s="445" t="s">
        <v>35</v>
      </c>
      <c r="L29" s="445" t="s">
        <v>148</v>
      </c>
      <c r="N29" s="446" t="s">
        <v>149</v>
      </c>
      <c r="O29" s="447" t="s">
        <v>150</v>
      </c>
      <c r="P29" s="447" t="s">
        <v>138</v>
      </c>
      <c r="Q29" s="447" t="s">
        <v>151</v>
      </c>
      <c r="R29" s="749" t="s">
        <v>152</v>
      </c>
      <c r="S29" s="749"/>
      <c r="T29" s="883" t="s">
        <v>153</v>
      </c>
      <c r="U29" s="883"/>
      <c r="W29" s="425" t="s">
        <v>154</v>
      </c>
      <c r="X29" s="425"/>
      <c r="Y29" s="425"/>
      <c r="Z29" s="425"/>
      <c r="AA29" s="425"/>
      <c r="AB29" s="425"/>
      <c r="AC29" s="425"/>
      <c r="AD29" s="868" t="s">
        <v>160</v>
      </c>
      <c r="AE29" s="869"/>
      <c r="AF29" s="869"/>
      <c r="AG29" s="869"/>
      <c r="AH29" s="869"/>
      <c r="AI29" s="870"/>
    </row>
    <row r="30" spans="1:35" ht="18" customHeight="1" thickBot="1" x14ac:dyDescent="0.3">
      <c r="A30" s="639"/>
      <c r="B30" s="364"/>
      <c r="C30" s="372"/>
      <c r="D30" s="372"/>
      <c r="E30" s="372"/>
      <c r="F30" s="372"/>
      <c r="G30" s="366">
        <f>+(D30-C30)+(F30-E30)</f>
        <v>0</v>
      </c>
      <c r="H30" s="367">
        <f>+G30*1440</f>
        <v>0</v>
      </c>
      <c r="I30" s="859" t="s">
        <v>155</v>
      </c>
      <c r="J30" s="860"/>
      <c r="K30" s="373"/>
      <c r="L30" s="374"/>
      <c r="M30" s="423"/>
      <c r="N30" s="629">
        <f>+J27+L27+K27+K30+L30</f>
        <v>0</v>
      </c>
      <c r="O30" s="368">
        <f>+(Setup_and_Criteria!$K$31+(J27*Setup_and_Criteria!$F$20)+('M1_1-15th'!K27*Setup_and_Criteria!$F$21)+('M1_1-15th'!L27*Setup_and_Criteria!$F$20))+T30+(K30*Setup_and_Criteria!$F$21)+(Setup_and_Criteria!$F$22*'M1_1-15th'!L30)</f>
        <v>75</v>
      </c>
      <c r="P30" s="367">
        <f>+H30</f>
        <v>0</v>
      </c>
      <c r="Q30" s="367">
        <f>+O30-P30</f>
        <v>75</v>
      </c>
      <c r="R30" s="861" t="s">
        <v>252</v>
      </c>
      <c r="S30" s="861"/>
      <c r="T30" s="862"/>
      <c r="U30" s="863"/>
      <c r="V30" s="265" t="s">
        <v>156</v>
      </c>
      <c r="W30" s="854"/>
      <c r="X30" s="855"/>
      <c r="Y30" s="855"/>
      <c r="Z30" s="855"/>
      <c r="AA30" s="855"/>
      <c r="AB30" s="855"/>
      <c r="AC30" s="855"/>
      <c r="AD30" s="868"/>
      <c r="AE30" s="869"/>
      <c r="AF30" s="869"/>
      <c r="AG30" s="869"/>
      <c r="AH30" s="869"/>
      <c r="AI30" s="870"/>
    </row>
    <row r="31" spans="1:35" ht="15.75" thickBot="1" x14ac:dyDescent="0.3">
      <c r="A31" s="452" t="str">
        <f>+A18</f>
        <v>Password to enter data = "Enter Info"</v>
      </c>
      <c r="B31" s="450"/>
      <c r="C31" s="451"/>
      <c r="D31" s="451"/>
      <c r="E31" s="451"/>
      <c r="F31" s="451"/>
      <c r="G31" s="451"/>
      <c r="H31" s="451"/>
      <c r="I31" s="450"/>
      <c r="J31" s="451"/>
      <c r="K31" s="451"/>
      <c r="L31" s="451"/>
      <c r="M31" s="451"/>
      <c r="N31" s="451"/>
      <c r="O31" s="451"/>
      <c r="P31" s="451"/>
      <c r="Q31" s="450"/>
      <c r="R31" s="451"/>
      <c r="S31" s="451"/>
      <c r="T31" s="451"/>
      <c r="U31" s="451"/>
      <c r="V31" s="451"/>
      <c r="W31" s="451"/>
      <c r="X31" s="451"/>
      <c r="Y31" s="451"/>
      <c r="Z31" s="451"/>
      <c r="AA31" s="451"/>
      <c r="AB31" s="450"/>
      <c r="AC31" s="450"/>
      <c r="AD31" s="871"/>
      <c r="AE31" s="872"/>
      <c r="AF31" s="872"/>
      <c r="AG31" s="872"/>
      <c r="AH31" s="872"/>
      <c r="AI31" s="873"/>
    </row>
    <row r="32" spans="1:35" ht="35.25" customHeight="1" x14ac:dyDescent="0.4">
      <c r="A32" s="434" t="str">
        <f>+A19</f>
        <v>June</v>
      </c>
      <c r="B32" s="624">
        <f>+B19+1</f>
        <v>18</v>
      </c>
      <c r="C32" s="884" t="s">
        <v>128</v>
      </c>
      <c r="D32" s="884"/>
      <c r="E32" s="884"/>
      <c r="F32" s="884"/>
      <c r="G32" s="377"/>
      <c r="H32" s="377"/>
      <c r="I32" s="21"/>
      <c r="J32" s="874" t="s">
        <v>129</v>
      </c>
      <c r="K32" s="875"/>
      <c r="L32" s="875"/>
      <c r="M32" s="875"/>
      <c r="N32" s="876" t="s">
        <v>130</v>
      </c>
      <c r="O32" s="876"/>
      <c r="P32" s="876"/>
      <c r="Q32" s="876"/>
      <c r="R32" s="424" t="str">
        <f>+R19</f>
        <v xml:space="preserve"> Corrections Tracking - Check out rooms</v>
      </c>
      <c r="S32" s="424"/>
      <c r="T32" s="424"/>
      <c r="U32" s="424"/>
      <c r="V32" s="424"/>
      <c r="W32" s="424"/>
      <c r="X32" s="424"/>
      <c r="Y32" s="424"/>
      <c r="Z32" s="424"/>
      <c r="AA32" s="424"/>
      <c r="AB32" s="424"/>
      <c r="AC32" s="424"/>
      <c r="AD32" s="461" t="s">
        <v>132</v>
      </c>
      <c r="AE32" s="426"/>
      <c r="AF32" s="426"/>
      <c r="AG32" s="426"/>
      <c r="AH32" s="426"/>
      <c r="AI32" s="427"/>
    </row>
    <row r="33" spans="1:35" ht="59.25" customHeight="1" x14ac:dyDescent="0.25">
      <c r="A33" s="378" t="s">
        <v>133</v>
      </c>
      <c r="C33" s="435" t="s">
        <v>134</v>
      </c>
      <c r="D33" s="435" t="s">
        <v>135</v>
      </c>
      <c r="E33" s="435" t="s">
        <v>134</v>
      </c>
      <c r="F33" s="435" t="s">
        <v>135</v>
      </c>
      <c r="G33" s="1" t="s">
        <v>136</v>
      </c>
      <c r="H33" s="1" t="s">
        <v>108</v>
      </c>
      <c r="I33" s="436"/>
      <c r="J33" s="437" t="str">
        <f>+Setup_and_Criteria!$B$13</f>
        <v>Checkouts</v>
      </c>
      <c r="K33" s="437" t="str">
        <f>+Setup_and_Criteria!$B$14</f>
        <v>Pet Rooms</v>
      </c>
      <c r="L33" s="437" t="str">
        <f>+Setup_and_Criteria!$B$15</f>
        <v>2 Rm &amp; Jac Stes</v>
      </c>
      <c r="M33" s="438" t="str">
        <f>+Setup_and_Criteria!$B$16</f>
        <v>Stayovers</v>
      </c>
      <c r="N33" s="269" t="s">
        <v>137</v>
      </c>
      <c r="O33" s="269" t="s">
        <v>138</v>
      </c>
      <c r="P33" s="439" t="s">
        <v>139</v>
      </c>
      <c r="Q33" s="439" t="s">
        <v>140</v>
      </c>
      <c r="R33" s="440" t="str">
        <f>+Corrections!$C$8</f>
        <v>Vanity</v>
      </c>
      <c r="S33" s="440" t="str">
        <f>+Corrections!$I$8</f>
        <v>Toilet</v>
      </c>
      <c r="T33" s="440" t="str">
        <f>+Corrections!$O$8</f>
        <v>Bed/Pillows</v>
      </c>
      <c r="U33" s="440" t="str">
        <f>+Corrections!$U$8</f>
        <v>Floor</v>
      </c>
      <c r="V33" s="440" t="str">
        <f>+Corrections!$AA$8</f>
        <v>Dusting</v>
      </c>
      <c r="W33" s="440" t="str">
        <f>+Corrections!$AG$8</f>
        <v>Fridge/Micro</v>
      </c>
      <c r="X33" s="440" t="str">
        <f>+Corrections!$AM$8</f>
        <v>Tub</v>
      </c>
      <c r="Y33" s="441" t="str">
        <f>+Corrections!$AS$8</f>
        <v>Mirrors/Glass</v>
      </c>
      <c r="Z33" s="440" t="str">
        <f>+Corrections!$AY$8</f>
        <v>Stocking</v>
      </c>
      <c r="AA33" s="440" t="str">
        <f>+Corrections!$BE$8</f>
        <v>Other</v>
      </c>
      <c r="AB33" s="269" t="s">
        <v>141</v>
      </c>
      <c r="AC33" s="269" t="str">
        <f>+$AC$7</f>
        <v>Daily Corr / Inspected Checkout</v>
      </c>
      <c r="AD33" s="889" t="s">
        <v>143</v>
      </c>
      <c r="AE33" s="890"/>
      <c r="AF33" s="890"/>
      <c r="AG33" s="890"/>
      <c r="AH33" s="890"/>
      <c r="AI33" s="891"/>
    </row>
    <row r="34" spans="1:35" x14ac:dyDescent="0.25">
      <c r="A34" s="638"/>
      <c r="C34" s="369"/>
      <c r="D34" s="369"/>
      <c r="E34" s="369"/>
      <c r="F34" s="369"/>
      <c r="G34" s="264">
        <f t="shared" ref="G34:G39" si="16">+(D34-C34)+(F34-E34)</f>
        <v>0</v>
      </c>
      <c r="H34" s="442">
        <f t="shared" ref="H34:H39" si="17">+G34*1440</f>
        <v>0</v>
      </c>
      <c r="J34" s="630"/>
      <c r="K34" s="630"/>
      <c r="L34" s="630"/>
      <c r="M34" s="630"/>
      <c r="N34" s="1">
        <f>IF(C34&gt;0,((J34*Setup_and_Criteria!$F$13)+('M1_1-15th'!K34*Setup_and_Criteria!$F$14)+('M1_1-15th'!L34*Setup_and_Criteria!$F$15)+('M1_1-15th'!M34*Setup_and_Criteria!$F$16)+Setup_and_Criteria!$J$16),0)</f>
        <v>0</v>
      </c>
      <c r="O34" s="442">
        <f>+H34</f>
        <v>0</v>
      </c>
      <c r="P34" s="443">
        <f t="shared" ref="P34:P40" si="18">+N34-O34</f>
        <v>0</v>
      </c>
      <c r="Q34" s="357" t="e">
        <f t="shared" ref="Q34:Q40" si="19">O34/_xlfn.SINGLE(SUM(J34:M34))</f>
        <v>#DIV/0!</v>
      </c>
      <c r="R34" s="630"/>
      <c r="S34" s="630"/>
      <c r="T34" s="630"/>
      <c r="U34" s="630"/>
      <c r="V34" s="630"/>
      <c r="W34" s="630"/>
      <c r="X34" s="630"/>
      <c r="Y34" s="630"/>
      <c r="Z34" s="630"/>
      <c r="AA34" s="630"/>
      <c r="AB34" s="1">
        <f t="shared" ref="AB34:AB40" si="20">SUM(R34:AA34)</f>
        <v>0</v>
      </c>
      <c r="AC34" s="357" t="e">
        <f t="shared" ref="AC34:AC40" si="21">+AB34/(J34+K34+L34)</f>
        <v>#DIV/0!</v>
      </c>
      <c r="AD34" s="864" t="s">
        <v>144</v>
      </c>
      <c r="AE34" s="865"/>
      <c r="AF34" s="865"/>
      <c r="AG34" s="866"/>
      <c r="AH34" s="866"/>
      <c r="AI34" s="867"/>
    </row>
    <row r="35" spans="1:35" x14ac:dyDescent="0.25">
      <c r="A35" s="641"/>
      <c r="C35" s="630"/>
      <c r="D35" s="630"/>
      <c r="E35" s="630"/>
      <c r="F35" s="630"/>
      <c r="G35" s="264">
        <f t="shared" si="16"/>
        <v>0</v>
      </c>
      <c r="H35" s="442">
        <f t="shared" si="17"/>
        <v>0</v>
      </c>
      <c r="J35" s="630"/>
      <c r="K35" s="630"/>
      <c r="L35" s="630"/>
      <c r="M35" s="630"/>
      <c r="N35" s="1">
        <f>IF(C35&gt;0,((J35*Setup_and_Criteria!$F$13)+('M1_1-15th'!K35*Setup_and_Criteria!$F$14)+('M1_1-15th'!L35*Setup_and_Criteria!$F$15)+('M1_1-15th'!M35*Setup_and_Criteria!$F$16)+Setup_and_Criteria!$J$16),0)</f>
        <v>0</v>
      </c>
      <c r="O35" s="442">
        <f t="shared" ref="O35:O40" si="22">+H35</f>
        <v>0</v>
      </c>
      <c r="P35" s="443">
        <f t="shared" si="18"/>
        <v>0</v>
      </c>
      <c r="Q35" s="357" t="e">
        <f t="shared" si="19"/>
        <v>#DIV/0!</v>
      </c>
      <c r="R35" s="630"/>
      <c r="S35" s="630"/>
      <c r="T35" s="630"/>
      <c r="U35" s="630"/>
      <c r="V35" s="630"/>
      <c r="W35" s="630"/>
      <c r="X35" s="630"/>
      <c r="Y35" s="630"/>
      <c r="Z35" s="630"/>
      <c r="AA35" s="630"/>
      <c r="AB35" s="1">
        <f t="shared" si="20"/>
        <v>0</v>
      </c>
      <c r="AC35" s="357" t="e">
        <f t="shared" si="21"/>
        <v>#DIV/0!</v>
      </c>
      <c r="AD35" s="864"/>
      <c r="AE35" s="865"/>
      <c r="AF35" s="865"/>
      <c r="AG35" s="866"/>
      <c r="AH35" s="866"/>
      <c r="AI35" s="867"/>
    </row>
    <row r="36" spans="1:35" x14ac:dyDescent="0.25">
      <c r="A36" s="638"/>
      <c r="C36" s="630"/>
      <c r="D36" s="630"/>
      <c r="E36" s="630"/>
      <c r="F36" s="630"/>
      <c r="G36" s="264">
        <f t="shared" si="16"/>
        <v>0</v>
      </c>
      <c r="H36" s="442">
        <f t="shared" si="17"/>
        <v>0</v>
      </c>
      <c r="J36" s="630"/>
      <c r="K36" s="630"/>
      <c r="L36" s="630"/>
      <c r="M36" s="630"/>
      <c r="N36" s="1">
        <f>IF(C36&gt;0,((J36*Setup_and_Criteria!$F$13)+('M1_1-15th'!K36*Setup_and_Criteria!$F$14)+('M1_1-15th'!L36*Setup_and_Criteria!$F$15)+('M1_1-15th'!M36*Setup_and_Criteria!$F$16)+Setup_and_Criteria!$J$16),0)</f>
        <v>0</v>
      </c>
      <c r="O36" s="442">
        <f t="shared" si="22"/>
        <v>0</v>
      </c>
      <c r="P36" s="443">
        <f t="shared" si="18"/>
        <v>0</v>
      </c>
      <c r="Q36" s="357" t="e">
        <f t="shared" si="19"/>
        <v>#DIV/0!</v>
      </c>
      <c r="R36" s="630"/>
      <c r="S36" s="630"/>
      <c r="T36" s="630"/>
      <c r="U36" s="630"/>
      <c r="V36" s="630"/>
      <c r="W36" s="630"/>
      <c r="X36" s="630"/>
      <c r="Y36" s="630"/>
      <c r="Z36" s="630"/>
      <c r="AA36" s="630"/>
      <c r="AB36" s="1">
        <f t="shared" si="20"/>
        <v>0</v>
      </c>
      <c r="AC36" s="357" t="e">
        <f t="shared" si="21"/>
        <v>#DIV/0!</v>
      </c>
      <c r="AD36" s="864"/>
      <c r="AE36" s="865"/>
      <c r="AF36" s="865"/>
      <c r="AG36" s="866"/>
      <c r="AH36" s="866"/>
      <c r="AI36" s="867"/>
    </row>
    <row r="37" spans="1:35" x14ac:dyDescent="0.25">
      <c r="A37" s="638"/>
      <c r="C37" s="630"/>
      <c r="D37" s="630"/>
      <c r="E37" s="630"/>
      <c r="F37" s="630"/>
      <c r="G37" s="264">
        <f t="shared" si="16"/>
        <v>0</v>
      </c>
      <c r="H37" s="442">
        <f t="shared" si="17"/>
        <v>0</v>
      </c>
      <c r="J37" s="630"/>
      <c r="K37" s="630"/>
      <c r="L37" s="630"/>
      <c r="M37" s="630"/>
      <c r="N37" s="1">
        <f>IF(C37&gt;0,((J37*Setup_and_Criteria!$F$13)+('M1_1-15th'!K37*Setup_and_Criteria!$F$14)+('M1_1-15th'!L37*Setup_and_Criteria!$F$15)+('M1_1-15th'!M37*Setup_and_Criteria!$F$16)+Setup_and_Criteria!$J$16),0)</f>
        <v>0</v>
      </c>
      <c r="O37" s="442">
        <f t="shared" si="22"/>
        <v>0</v>
      </c>
      <c r="P37" s="443">
        <f t="shared" si="18"/>
        <v>0</v>
      </c>
      <c r="Q37" s="357" t="e">
        <f t="shared" si="19"/>
        <v>#DIV/0!</v>
      </c>
      <c r="R37" s="630"/>
      <c r="S37" s="630"/>
      <c r="T37" s="630"/>
      <c r="U37" s="630"/>
      <c r="V37" s="630"/>
      <c r="W37" s="630"/>
      <c r="X37" s="630"/>
      <c r="Y37" s="630"/>
      <c r="Z37" s="630"/>
      <c r="AA37" s="630"/>
      <c r="AB37" s="1">
        <f t="shared" si="20"/>
        <v>0</v>
      </c>
      <c r="AC37" s="357" t="e">
        <f t="shared" si="21"/>
        <v>#DIV/0!</v>
      </c>
      <c r="AD37" s="864"/>
      <c r="AE37" s="865"/>
      <c r="AF37" s="865"/>
      <c r="AG37" s="866"/>
      <c r="AH37" s="866"/>
      <c r="AI37" s="867"/>
    </row>
    <row r="38" spans="1:35" x14ac:dyDescent="0.25">
      <c r="A38" s="638"/>
      <c r="C38" s="630"/>
      <c r="D38" s="630"/>
      <c r="E38" s="630"/>
      <c r="F38" s="630"/>
      <c r="G38" s="264">
        <f t="shared" si="16"/>
        <v>0</v>
      </c>
      <c r="H38" s="442">
        <f t="shared" si="17"/>
        <v>0</v>
      </c>
      <c r="J38" s="630"/>
      <c r="K38" s="630"/>
      <c r="L38" s="630"/>
      <c r="M38" s="630"/>
      <c r="N38" s="1">
        <f>IF(C38&gt;0,((J38*Setup_and_Criteria!$F$13)+('M1_1-15th'!K38*Setup_and_Criteria!$F$14)+('M1_1-15th'!L38*Setup_and_Criteria!$F$15)+('M1_1-15th'!M38*Setup_and_Criteria!$F$16)+Setup_and_Criteria!$J$16),0)</f>
        <v>0</v>
      </c>
      <c r="O38" s="442">
        <f t="shared" si="22"/>
        <v>0</v>
      </c>
      <c r="P38" s="443">
        <f t="shared" si="18"/>
        <v>0</v>
      </c>
      <c r="Q38" s="357" t="e">
        <f t="shared" si="19"/>
        <v>#DIV/0!</v>
      </c>
      <c r="R38" s="630"/>
      <c r="S38" s="630"/>
      <c r="T38" s="630"/>
      <c r="U38" s="630"/>
      <c r="V38" s="630"/>
      <c r="W38" s="630"/>
      <c r="X38" s="630"/>
      <c r="Y38" s="630"/>
      <c r="Z38" s="630"/>
      <c r="AA38" s="630"/>
      <c r="AB38" s="1">
        <f t="shared" si="20"/>
        <v>0</v>
      </c>
      <c r="AC38" s="357" t="e">
        <f t="shared" si="21"/>
        <v>#DIV/0!</v>
      </c>
      <c r="AD38" s="864"/>
      <c r="AE38" s="865"/>
      <c r="AF38" s="865"/>
      <c r="AG38" s="866"/>
      <c r="AH38" s="866"/>
      <c r="AI38" s="867"/>
    </row>
    <row r="39" spans="1:35" ht="15.75" thickBot="1" x14ac:dyDescent="0.3">
      <c r="A39" s="638"/>
      <c r="C39" s="370"/>
      <c r="D39" s="370"/>
      <c r="E39" s="630"/>
      <c r="F39" s="630"/>
      <c r="G39" s="264">
        <f t="shared" si="16"/>
        <v>0</v>
      </c>
      <c r="H39" s="442">
        <f t="shared" si="17"/>
        <v>0</v>
      </c>
      <c r="J39" s="371"/>
      <c r="K39" s="371"/>
      <c r="L39" s="371"/>
      <c r="M39" s="371"/>
      <c r="N39" s="358">
        <f>IF(C39&gt;0,((J39*Setup_and_Criteria!$F$13)+('M1_1-15th'!K39*Setup_and_Criteria!$F$14)+('M1_1-15th'!L39*Setup_and_Criteria!$F$15)+('M1_1-15th'!M39*Setup_and_Criteria!$F$16)+Setup_and_Criteria!$J$16),0)</f>
        <v>0</v>
      </c>
      <c r="O39" s="359">
        <f t="shared" si="22"/>
        <v>0</v>
      </c>
      <c r="P39" s="383">
        <f t="shared" si="18"/>
        <v>0</v>
      </c>
      <c r="Q39" s="360" t="e">
        <f t="shared" si="19"/>
        <v>#DIV/0!</v>
      </c>
      <c r="R39" s="511"/>
      <c r="S39" s="511"/>
      <c r="T39" s="511"/>
      <c r="U39" s="511"/>
      <c r="V39" s="511"/>
      <c r="W39" s="511"/>
      <c r="X39" s="511"/>
      <c r="Y39" s="511"/>
      <c r="Z39" s="511"/>
      <c r="AA39" s="511"/>
      <c r="AB39" s="1">
        <f t="shared" si="20"/>
        <v>0</v>
      </c>
      <c r="AC39" s="357" t="e">
        <f t="shared" si="21"/>
        <v>#DIV/0!</v>
      </c>
      <c r="AD39" s="864"/>
      <c r="AE39" s="865"/>
      <c r="AF39" s="865"/>
      <c r="AG39" s="866"/>
      <c r="AH39" s="866"/>
      <c r="AI39" s="867"/>
    </row>
    <row r="40" spans="1:35" ht="15.75" thickTop="1" x14ac:dyDescent="0.25">
      <c r="A40" s="58"/>
      <c r="H40" s="442">
        <f>SUM(H34:H39)</f>
        <v>0</v>
      </c>
      <c r="J40" s="1">
        <f>SUM(J34:J39)</f>
        <v>0</v>
      </c>
      <c r="K40" s="1">
        <f>SUM(K34:K39)</f>
        <v>0</v>
      </c>
      <c r="L40" s="1">
        <f>SUM(L34:L39)</f>
        <v>0</v>
      </c>
      <c r="M40" s="1">
        <f>SUM(M34:M39)</f>
        <v>0</v>
      </c>
      <c r="N40" s="1">
        <f>SUM(N34:N39)</f>
        <v>0</v>
      </c>
      <c r="O40" s="1">
        <f t="shared" si="22"/>
        <v>0</v>
      </c>
      <c r="P40" s="443">
        <f t="shared" si="18"/>
        <v>0</v>
      </c>
      <c r="Q40" s="357" t="e">
        <f t="shared" si="19"/>
        <v>#DIV/0!</v>
      </c>
      <c r="R40" s="1">
        <f t="shared" ref="R40:AA40" si="23">SUM(R34:R39)</f>
        <v>0</v>
      </c>
      <c r="S40" s="1">
        <f t="shared" si="23"/>
        <v>0</v>
      </c>
      <c r="T40" s="1">
        <f t="shared" si="23"/>
        <v>0</v>
      </c>
      <c r="U40" s="1">
        <f t="shared" si="23"/>
        <v>0</v>
      </c>
      <c r="V40" s="1">
        <f t="shared" si="23"/>
        <v>0</v>
      </c>
      <c r="W40" s="1">
        <f t="shared" si="23"/>
        <v>0</v>
      </c>
      <c r="X40" s="1">
        <f t="shared" si="23"/>
        <v>0</v>
      </c>
      <c r="Y40" s="1">
        <f t="shared" si="23"/>
        <v>0</v>
      </c>
      <c r="Z40" s="1">
        <f t="shared" si="23"/>
        <v>0</v>
      </c>
      <c r="AA40" s="1">
        <f t="shared" si="23"/>
        <v>0</v>
      </c>
      <c r="AB40" s="1">
        <f t="shared" si="20"/>
        <v>0</v>
      </c>
      <c r="AC40" s="357" t="e">
        <f t="shared" si="21"/>
        <v>#DIV/0!</v>
      </c>
      <c r="AD40" s="877"/>
      <c r="AE40" s="878"/>
      <c r="AF40" s="878"/>
      <c r="AG40" s="749"/>
      <c r="AH40" s="749"/>
      <c r="AI40" s="879"/>
    </row>
    <row r="41" spans="1:35" ht="21" customHeight="1" x14ac:dyDescent="0.35">
      <c r="A41" s="58"/>
      <c r="H41" s="442"/>
      <c r="N41" s="888" t="s">
        <v>145</v>
      </c>
      <c r="O41" s="888"/>
      <c r="P41" s="888"/>
      <c r="Q41" s="888"/>
      <c r="R41" s="431" t="s">
        <v>146</v>
      </c>
      <c r="S41" s="431"/>
      <c r="T41" s="431"/>
      <c r="U41" s="431"/>
      <c r="V41" s="431"/>
      <c r="W41" s="431"/>
      <c r="X41" s="431"/>
      <c r="Y41" s="431"/>
      <c r="Z41" s="431"/>
      <c r="AA41" s="431"/>
      <c r="AB41" s="431"/>
      <c r="AC41" s="431"/>
      <c r="AD41" s="880" t="s">
        <v>132</v>
      </c>
      <c r="AE41" s="881"/>
      <c r="AF41" s="881"/>
      <c r="AG41" s="881"/>
      <c r="AH41" s="881"/>
      <c r="AI41" s="882"/>
    </row>
    <row r="42" spans="1:35" ht="31.5" customHeight="1" x14ac:dyDescent="0.35">
      <c r="A42" s="378" t="s">
        <v>147</v>
      </c>
      <c r="C42" s="885" t="s">
        <v>128</v>
      </c>
      <c r="D42" s="885"/>
      <c r="E42" s="885"/>
      <c r="F42" s="885"/>
      <c r="H42" s="442"/>
      <c r="J42" s="444"/>
      <c r="K42" s="445" t="s">
        <v>35</v>
      </c>
      <c r="L42" s="445" t="s">
        <v>148</v>
      </c>
      <c r="N42" s="446" t="s">
        <v>149</v>
      </c>
      <c r="O42" s="447" t="s">
        <v>150</v>
      </c>
      <c r="P42" s="447" t="s">
        <v>138</v>
      </c>
      <c r="Q42" s="447" t="s">
        <v>151</v>
      </c>
      <c r="R42" s="749" t="s">
        <v>152</v>
      </c>
      <c r="S42" s="749"/>
      <c r="T42" s="883" t="s">
        <v>153</v>
      </c>
      <c r="U42" s="883"/>
      <c r="W42" s="425" t="s">
        <v>154</v>
      </c>
      <c r="X42" s="425"/>
      <c r="Y42" s="425"/>
      <c r="Z42" s="425"/>
      <c r="AA42" s="425"/>
      <c r="AB42" s="425"/>
      <c r="AC42" s="425"/>
      <c r="AD42" s="868" t="s">
        <v>160</v>
      </c>
      <c r="AE42" s="869"/>
      <c r="AF42" s="869"/>
      <c r="AG42" s="869"/>
      <c r="AH42" s="869"/>
      <c r="AI42" s="870"/>
    </row>
    <row r="43" spans="1:35" ht="18" customHeight="1" thickBot="1" x14ac:dyDescent="0.3">
      <c r="A43" s="639"/>
      <c r="B43" s="364"/>
      <c r="C43" s="372"/>
      <c r="D43" s="372"/>
      <c r="E43" s="372"/>
      <c r="F43" s="372"/>
      <c r="G43" s="366">
        <f>+(D43-C43)+(F43-E43)</f>
        <v>0</v>
      </c>
      <c r="H43" s="367">
        <f>+G43*1440</f>
        <v>0</v>
      </c>
      <c r="I43" s="859" t="s">
        <v>155</v>
      </c>
      <c r="J43" s="860"/>
      <c r="K43" s="373"/>
      <c r="L43" s="374"/>
      <c r="M43" s="423"/>
      <c r="N43" s="629">
        <f>+J40+L40+K40+K43+L43</f>
        <v>0</v>
      </c>
      <c r="O43" s="368">
        <f>+(Setup_and_Criteria!$K$31+(J40*Setup_and_Criteria!$F$20)+('M1_1-15th'!K40*Setup_and_Criteria!$F$21)+('M1_1-15th'!L40*Setup_and_Criteria!$F$20))+T43+(K43*Setup_and_Criteria!$F$21)+(Setup_and_Criteria!$F$22*'M1_1-15th'!L43)</f>
        <v>75</v>
      </c>
      <c r="P43" s="367">
        <f>+H43</f>
        <v>0</v>
      </c>
      <c r="Q43" s="367">
        <f>+O43-P43</f>
        <v>75</v>
      </c>
      <c r="R43" s="861" t="s">
        <v>252</v>
      </c>
      <c r="S43" s="861"/>
      <c r="T43" s="862"/>
      <c r="U43" s="863"/>
      <c r="V43" s="265" t="s">
        <v>156</v>
      </c>
      <c r="W43" s="854"/>
      <c r="X43" s="855"/>
      <c r="Y43" s="855"/>
      <c r="Z43" s="855"/>
      <c r="AA43" s="855"/>
      <c r="AB43" s="855"/>
      <c r="AC43" s="855"/>
      <c r="AD43" s="868"/>
      <c r="AE43" s="869"/>
      <c r="AF43" s="869"/>
      <c r="AG43" s="869"/>
      <c r="AH43" s="869"/>
      <c r="AI43" s="870"/>
    </row>
    <row r="44" spans="1:35" ht="15.75" thickBot="1" x14ac:dyDescent="0.3">
      <c r="A44" s="449" t="str">
        <f>+A31</f>
        <v>Password to enter data = "Enter Info"</v>
      </c>
      <c r="B44" s="450"/>
      <c r="C44" s="451"/>
      <c r="D44" s="451"/>
      <c r="E44" s="451"/>
      <c r="F44" s="451"/>
      <c r="G44" s="451"/>
      <c r="H44" s="451"/>
      <c r="I44" s="450"/>
      <c r="J44" s="451"/>
      <c r="K44" s="451"/>
      <c r="L44" s="451"/>
      <c r="M44" s="451"/>
      <c r="N44" s="451"/>
      <c r="O44" s="451"/>
      <c r="P44" s="451"/>
      <c r="Q44" s="450"/>
      <c r="R44" s="451"/>
      <c r="S44" s="451"/>
      <c r="T44" s="451"/>
      <c r="U44" s="451"/>
      <c r="V44" s="451"/>
      <c r="W44" s="451"/>
      <c r="X44" s="451"/>
      <c r="Y44" s="451"/>
      <c r="Z44" s="451"/>
      <c r="AA44" s="451"/>
      <c r="AB44" s="450"/>
      <c r="AC44" s="450"/>
      <c r="AD44" s="871"/>
      <c r="AE44" s="872"/>
      <c r="AF44" s="872"/>
      <c r="AG44" s="872"/>
      <c r="AH44" s="872"/>
      <c r="AI44" s="873"/>
    </row>
    <row r="45" spans="1:35" ht="35.25" customHeight="1" x14ac:dyDescent="0.4">
      <c r="A45" s="434" t="str">
        <f>+A32</f>
        <v>June</v>
      </c>
      <c r="B45" s="624">
        <f>+B32+1</f>
        <v>19</v>
      </c>
      <c r="C45" s="884" t="s">
        <v>128</v>
      </c>
      <c r="D45" s="884"/>
      <c r="E45" s="884"/>
      <c r="F45" s="884"/>
      <c r="G45" s="377"/>
      <c r="H45" s="377"/>
      <c r="I45" s="21"/>
      <c r="J45" s="874" t="s">
        <v>129</v>
      </c>
      <c r="K45" s="875"/>
      <c r="L45" s="875"/>
      <c r="M45" s="875"/>
      <c r="N45" s="876" t="s">
        <v>130</v>
      </c>
      <c r="O45" s="876"/>
      <c r="P45" s="876"/>
      <c r="Q45" s="876"/>
      <c r="R45" s="424" t="str">
        <f>+R32</f>
        <v xml:space="preserve"> Corrections Tracking - Check out rooms</v>
      </c>
      <c r="S45" s="424"/>
      <c r="T45" s="424"/>
      <c r="U45" s="424"/>
      <c r="V45" s="424"/>
      <c r="W45" s="424"/>
      <c r="X45" s="424"/>
      <c r="Y45" s="424"/>
      <c r="Z45" s="424"/>
      <c r="AA45" s="424"/>
      <c r="AB45" s="424"/>
      <c r="AC45" s="424"/>
      <c r="AD45" s="461" t="s">
        <v>132</v>
      </c>
      <c r="AE45" s="426"/>
      <c r="AF45" s="426"/>
      <c r="AG45" s="426"/>
      <c r="AH45" s="426"/>
      <c r="AI45" s="427"/>
    </row>
    <row r="46" spans="1:35" ht="59.25" customHeight="1" x14ac:dyDescent="0.25">
      <c r="A46" s="378" t="s">
        <v>133</v>
      </c>
      <c r="C46" s="435" t="s">
        <v>134</v>
      </c>
      <c r="D46" s="435" t="s">
        <v>135</v>
      </c>
      <c r="E46" s="435" t="s">
        <v>134</v>
      </c>
      <c r="F46" s="435" t="s">
        <v>135</v>
      </c>
      <c r="G46" s="1" t="s">
        <v>136</v>
      </c>
      <c r="H46" s="1" t="s">
        <v>108</v>
      </c>
      <c r="I46" s="436"/>
      <c r="J46" s="437" t="str">
        <f>+Setup_and_Criteria!$B$13</f>
        <v>Checkouts</v>
      </c>
      <c r="K46" s="437" t="str">
        <f>+Setup_and_Criteria!$B$14</f>
        <v>Pet Rooms</v>
      </c>
      <c r="L46" s="437" t="str">
        <f>+Setup_and_Criteria!$B$15</f>
        <v>2 Rm &amp; Jac Stes</v>
      </c>
      <c r="M46" s="438" t="str">
        <f>+Setup_and_Criteria!$B$16</f>
        <v>Stayovers</v>
      </c>
      <c r="N46" s="269" t="s">
        <v>137</v>
      </c>
      <c r="O46" s="269" t="s">
        <v>138</v>
      </c>
      <c r="P46" s="439" t="s">
        <v>139</v>
      </c>
      <c r="Q46" s="439" t="s">
        <v>140</v>
      </c>
      <c r="R46" s="440" t="str">
        <f>+Corrections!$C$8</f>
        <v>Vanity</v>
      </c>
      <c r="S46" s="440" t="str">
        <f>+Corrections!$I$8</f>
        <v>Toilet</v>
      </c>
      <c r="T46" s="440" t="str">
        <f>+Corrections!$O$8</f>
        <v>Bed/Pillows</v>
      </c>
      <c r="U46" s="440" t="str">
        <f>+Corrections!$U$8</f>
        <v>Floor</v>
      </c>
      <c r="V46" s="440" t="str">
        <f>+Corrections!$AA$8</f>
        <v>Dusting</v>
      </c>
      <c r="W46" s="440" t="str">
        <f>+Corrections!$AG$8</f>
        <v>Fridge/Micro</v>
      </c>
      <c r="X46" s="440" t="str">
        <f>+Corrections!$AM$8</f>
        <v>Tub</v>
      </c>
      <c r="Y46" s="441" t="str">
        <f>+Corrections!$AS$8</f>
        <v>Mirrors/Glass</v>
      </c>
      <c r="Z46" s="440" t="str">
        <f>+Corrections!$AY$8</f>
        <v>Stocking</v>
      </c>
      <c r="AA46" s="440" t="str">
        <f>+Corrections!$BE$8</f>
        <v>Other</v>
      </c>
      <c r="AB46" s="269" t="s">
        <v>141</v>
      </c>
      <c r="AC46" s="269" t="str">
        <f>+$AC$7</f>
        <v>Daily Corr / Inspected Checkout</v>
      </c>
      <c r="AD46" s="889" t="s">
        <v>143</v>
      </c>
      <c r="AE46" s="890"/>
      <c r="AF46" s="890"/>
      <c r="AG46" s="890"/>
      <c r="AH46" s="890"/>
      <c r="AI46" s="891"/>
    </row>
    <row r="47" spans="1:35" x14ac:dyDescent="0.25">
      <c r="A47" s="638"/>
      <c r="C47" s="369"/>
      <c r="D47" s="369"/>
      <c r="E47" s="369"/>
      <c r="F47" s="369"/>
      <c r="G47" s="264">
        <f t="shared" ref="G47:G52" si="24">+(D47-C47)+(F47-E47)</f>
        <v>0</v>
      </c>
      <c r="H47" s="442">
        <f t="shared" ref="H47:H52" si="25">+G47*1440</f>
        <v>0</v>
      </c>
      <c r="J47" s="630"/>
      <c r="K47" s="630"/>
      <c r="L47" s="630"/>
      <c r="M47" s="630"/>
      <c r="N47" s="1">
        <f>IF(C47&gt;0,((J47*Setup_and_Criteria!$F$13)+('M1_1-15th'!K47*Setup_and_Criteria!$F$14)+('M1_1-15th'!L47*Setup_and_Criteria!$F$15)+('M1_1-15th'!M47*Setup_and_Criteria!$F$16)+Setup_and_Criteria!$J$16),0)</f>
        <v>0</v>
      </c>
      <c r="O47" s="442">
        <f>+H47</f>
        <v>0</v>
      </c>
      <c r="P47" s="443">
        <f t="shared" ref="P47:P53" si="26">+N47-O47</f>
        <v>0</v>
      </c>
      <c r="Q47" s="357" t="e">
        <f t="shared" ref="Q47:Q53" si="27">O47/_xlfn.SINGLE(SUM(J47:M47))</f>
        <v>#DIV/0!</v>
      </c>
      <c r="R47" s="630"/>
      <c r="S47" s="630"/>
      <c r="T47" s="630"/>
      <c r="U47" s="630"/>
      <c r="V47" s="630"/>
      <c r="W47" s="630"/>
      <c r="X47" s="630"/>
      <c r="Y47" s="630"/>
      <c r="Z47" s="630"/>
      <c r="AA47" s="630"/>
      <c r="AB47" s="1">
        <f t="shared" ref="AB47:AB53" si="28">SUM(R47:AA47)</f>
        <v>0</v>
      </c>
      <c r="AC47" s="357" t="e">
        <f t="shared" ref="AC47:AC53" si="29">+AB47/(J47+K47+L47)</f>
        <v>#DIV/0!</v>
      </c>
      <c r="AD47" s="864" t="s">
        <v>144</v>
      </c>
      <c r="AE47" s="865"/>
      <c r="AF47" s="865"/>
      <c r="AG47" s="866"/>
      <c r="AH47" s="866"/>
      <c r="AI47" s="867"/>
    </row>
    <row r="48" spans="1:35" x14ac:dyDescent="0.25">
      <c r="A48" s="638"/>
      <c r="C48" s="630"/>
      <c r="D48" s="630"/>
      <c r="E48" s="630"/>
      <c r="F48" s="630"/>
      <c r="G48" s="264">
        <f t="shared" si="24"/>
        <v>0</v>
      </c>
      <c r="H48" s="442">
        <f t="shared" si="25"/>
        <v>0</v>
      </c>
      <c r="J48" s="630"/>
      <c r="K48" s="630"/>
      <c r="L48" s="630"/>
      <c r="M48" s="630"/>
      <c r="N48" s="1">
        <f>IF(C48&gt;0,((J48*Setup_and_Criteria!$F$13)+('M1_1-15th'!K48*Setup_and_Criteria!$F$14)+('M1_1-15th'!L48*Setup_and_Criteria!$F$15)+('M1_1-15th'!M48*Setup_and_Criteria!$F$16)+Setup_and_Criteria!$J$16),0)</f>
        <v>0</v>
      </c>
      <c r="O48" s="442">
        <f t="shared" ref="O48:O53" si="30">+H48</f>
        <v>0</v>
      </c>
      <c r="P48" s="443">
        <f t="shared" si="26"/>
        <v>0</v>
      </c>
      <c r="Q48" s="357" t="e">
        <f t="shared" si="27"/>
        <v>#DIV/0!</v>
      </c>
      <c r="R48" s="630"/>
      <c r="S48" s="630"/>
      <c r="T48" s="630"/>
      <c r="U48" s="630"/>
      <c r="V48" s="630"/>
      <c r="W48" s="630"/>
      <c r="X48" s="630"/>
      <c r="Y48" s="630"/>
      <c r="Z48" s="630"/>
      <c r="AA48" s="630"/>
      <c r="AB48" s="1">
        <f t="shared" si="28"/>
        <v>0</v>
      </c>
      <c r="AC48" s="357" t="e">
        <f t="shared" si="29"/>
        <v>#DIV/0!</v>
      </c>
      <c r="AD48" s="864"/>
      <c r="AE48" s="865"/>
      <c r="AF48" s="865"/>
      <c r="AG48" s="866"/>
      <c r="AH48" s="866"/>
      <c r="AI48" s="867"/>
    </row>
    <row r="49" spans="1:35" x14ac:dyDescent="0.25">
      <c r="A49" s="638"/>
      <c r="C49" s="630"/>
      <c r="D49" s="630"/>
      <c r="E49" s="630"/>
      <c r="F49" s="630"/>
      <c r="G49" s="264">
        <f t="shared" si="24"/>
        <v>0</v>
      </c>
      <c r="H49" s="442">
        <f t="shared" si="25"/>
        <v>0</v>
      </c>
      <c r="J49" s="630"/>
      <c r="K49" s="630"/>
      <c r="L49" s="630"/>
      <c r="M49" s="630"/>
      <c r="N49" s="1">
        <f>IF(C49&gt;0,((J49*Setup_and_Criteria!$F$13)+('M1_1-15th'!K49*Setup_and_Criteria!$F$14)+('M1_1-15th'!L49*Setup_and_Criteria!$F$15)+('M1_1-15th'!M49*Setup_and_Criteria!$F$16)+Setup_and_Criteria!$J$16),0)</f>
        <v>0</v>
      </c>
      <c r="O49" s="442">
        <f t="shared" si="30"/>
        <v>0</v>
      </c>
      <c r="P49" s="443">
        <f t="shared" si="26"/>
        <v>0</v>
      </c>
      <c r="Q49" s="357" t="e">
        <f t="shared" si="27"/>
        <v>#DIV/0!</v>
      </c>
      <c r="R49" s="630"/>
      <c r="S49" s="630"/>
      <c r="T49" s="630"/>
      <c r="U49" s="630"/>
      <c r="V49" s="630"/>
      <c r="W49" s="630"/>
      <c r="X49" s="630"/>
      <c r="Y49" s="630"/>
      <c r="Z49" s="630"/>
      <c r="AA49" s="630"/>
      <c r="AB49" s="1">
        <f t="shared" si="28"/>
        <v>0</v>
      </c>
      <c r="AC49" s="357" t="e">
        <f t="shared" si="29"/>
        <v>#DIV/0!</v>
      </c>
      <c r="AD49" s="864"/>
      <c r="AE49" s="865"/>
      <c r="AF49" s="865"/>
      <c r="AG49" s="866"/>
      <c r="AH49" s="866"/>
      <c r="AI49" s="867"/>
    </row>
    <row r="50" spans="1:35" x14ac:dyDescent="0.25">
      <c r="A50" s="638"/>
      <c r="C50" s="630"/>
      <c r="D50" s="630"/>
      <c r="E50" s="630"/>
      <c r="F50" s="630"/>
      <c r="G50" s="264">
        <f t="shared" si="24"/>
        <v>0</v>
      </c>
      <c r="H50" s="442">
        <f t="shared" si="25"/>
        <v>0</v>
      </c>
      <c r="J50" s="630"/>
      <c r="K50" s="630"/>
      <c r="L50" s="630"/>
      <c r="M50" s="630"/>
      <c r="N50" s="1">
        <f>IF(C50&gt;0,((J50*Setup_and_Criteria!$F$13)+('M1_1-15th'!K50*Setup_and_Criteria!$F$14)+('M1_1-15th'!L50*Setup_and_Criteria!$F$15)+('M1_1-15th'!M50*Setup_and_Criteria!$F$16)+Setup_and_Criteria!$J$16),0)</f>
        <v>0</v>
      </c>
      <c r="O50" s="442">
        <f t="shared" si="30"/>
        <v>0</v>
      </c>
      <c r="P50" s="443">
        <f t="shared" si="26"/>
        <v>0</v>
      </c>
      <c r="Q50" s="357" t="e">
        <f t="shared" si="27"/>
        <v>#DIV/0!</v>
      </c>
      <c r="R50" s="630"/>
      <c r="S50" s="630"/>
      <c r="T50" s="630"/>
      <c r="U50" s="630"/>
      <c r="V50" s="630"/>
      <c r="W50" s="630"/>
      <c r="X50" s="630"/>
      <c r="Y50" s="630"/>
      <c r="Z50" s="630"/>
      <c r="AA50" s="630"/>
      <c r="AB50" s="1">
        <f t="shared" si="28"/>
        <v>0</v>
      </c>
      <c r="AC50" s="357" t="e">
        <f t="shared" si="29"/>
        <v>#DIV/0!</v>
      </c>
      <c r="AD50" s="864"/>
      <c r="AE50" s="865"/>
      <c r="AF50" s="865"/>
      <c r="AG50" s="866"/>
      <c r="AH50" s="866"/>
      <c r="AI50" s="867"/>
    </row>
    <row r="51" spans="1:35" x14ac:dyDescent="0.25">
      <c r="A51" s="638"/>
      <c r="C51" s="630"/>
      <c r="D51" s="630"/>
      <c r="E51" s="630"/>
      <c r="F51" s="630"/>
      <c r="G51" s="264">
        <f t="shared" si="24"/>
        <v>0</v>
      </c>
      <c r="H51" s="442">
        <f t="shared" si="25"/>
        <v>0</v>
      </c>
      <c r="J51" s="630"/>
      <c r="K51" s="630"/>
      <c r="L51" s="630"/>
      <c r="M51" s="630"/>
      <c r="N51" s="1">
        <f>IF(C51&gt;0,((J51*Setup_and_Criteria!$F$13)+('M1_1-15th'!K51*Setup_and_Criteria!$F$14)+('M1_1-15th'!L51*Setup_and_Criteria!$F$15)+('M1_1-15th'!M51*Setup_and_Criteria!$F$16)+Setup_and_Criteria!$J$16),0)</f>
        <v>0</v>
      </c>
      <c r="O51" s="442">
        <f t="shared" si="30"/>
        <v>0</v>
      </c>
      <c r="P51" s="443">
        <f t="shared" si="26"/>
        <v>0</v>
      </c>
      <c r="Q51" s="357" t="e">
        <f t="shared" si="27"/>
        <v>#DIV/0!</v>
      </c>
      <c r="R51" s="630"/>
      <c r="S51" s="630"/>
      <c r="T51" s="630"/>
      <c r="U51" s="630"/>
      <c r="V51" s="630"/>
      <c r="W51" s="630"/>
      <c r="X51" s="630"/>
      <c r="Y51" s="630"/>
      <c r="Z51" s="630"/>
      <c r="AA51" s="630"/>
      <c r="AB51" s="1">
        <f t="shared" si="28"/>
        <v>0</v>
      </c>
      <c r="AC51" s="357" t="e">
        <f t="shared" si="29"/>
        <v>#DIV/0!</v>
      </c>
      <c r="AD51" s="864"/>
      <c r="AE51" s="865"/>
      <c r="AF51" s="865"/>
      <c r="AG51" s="866"/>
      <c r="AH51" s="866"/>
      <c r="AI51" s="867"/>
    </row>
    <row r="52" spans="1:35" ht="15.75" thickBot="1" x14ac:dyDescent="0.3">
      <c r="A52" s="638"/>
      <c r="C52" s="370"/>
      <c r="D52" s="370"/>
      <c r="E52" s="630"/>
      <c r="F52" s="630"/>
      <c r="G52" s="264">
        <f t="shared" si="24"/>
        <v>0</v>
      </c>
      <c r="H52" s="442">
        <f t="shared" si="25"/>
        <v>0</v>
      </c>
      <c r="J52" s="371"/>
      <c r="K52" s="371"/>
      <c r="L52" s="371"/>
      <c r="M52" s="371"/>
      <c r="N52" s="358">
        <f>IF(C52&gt;0,((J52*Setup_and_Criteria!$F$13)+('M1_1-15th'!K52*Setup_and_Criteria!$F$14)+('M1_1-15th'!L52*Setup_and_Criteria!$F$15)+('M1_1-15th'!M52*Setup_and_Criteria!$F$16)+Setup_and_Criteria!$J$16),0)</f>
        <v>0</v>
      </c>
      <c r="O52" s="359">
        <f t="shared" si="30"/>
        <v>0</v>
      </c>
      <c r="P52" s="383">
        <f t="shared" si="26"/>
        <v>0</v>
      </c>
      <c r="Q52" s="360" t="e">
        <f t="shared" si="27"/>
        <v>#DIV/0!</v>
      </c>
      <c r="R52" s="511"/>
      <c r="S52" s="511"/>
      <c r="T52" s="511"/>
      <c r="U52" s="511"/>
      <c r="V52" s="511"/>
      <c r="W52" s="511"/>
      <c r="X52" s="511"/>
      <c r="Y52" s="511"/>
      <c r="Z52" s="511"/>
      <c r="AA52" s="511"/>
      <c r="AB52" s="1">
        <f t="shared" si="28"/>
        <v>0</v>
      </c>
      <c r="AC52" s="357" t="e">
        <f t="shared" si="29"/>
        <v>#DIV/0!</v>
      </c>
      <c r="AD52" s="864"/>
      <c r="AE52" s="865"/>
      <c r="AF52" s="865"/>
      <c r="AG52" s="866"/>
      <c r="AH52" s="866"/>
      <c r="AI52" s="867"/>
    </row>
    <row r="53" spans="1:35" ht="15.75" thickTop="1" x14ac:dyDescent="0.25">
      <c r="A53" s="58"/>
      <c r="H53" s="442">
        <f>SUM(H47:H52)</f>
        <v>0</v>
      </c>
      <c r="J53" s="1">
        <f>SUM(J47:J52)</f>
        <v>0</v>
      </c>
      <c r="K53" s="1">
        <f>SUM(K47:K52)</f>
        <v>0</v>
      </c>
      <c r="L53" s="1">
        <f>SUM(L47:L52)</f>
        <v>0</v>
      </c>
      <c r="M53" s="1">
        <f>SUM(M47:M52)</f>
        <v>0</v>
      </c>
      <c r="N53" s="1">
        <f>SUM(N47:N52)</f>
        <v>0</v>
      </c>
      <c r="O53" s="1">
        <f t="shared" si="30"/>
        <v>0</v>
      </c>
      <c r="P53" s="443">
        <f t="shared" si="26"/>
        <v>0</v>
      </c>
      <c r="Q53" s="357" t="e">
        <f t="shared" si="27"/>
        <v>#DIV/0!</v>
      </c>
      <c r="R53" s="1">
        <f t="shared" ref="R53:AA53" si="31">SUM(R47:R52)</f>
        <v>0</v>
      </c>
      <c r="S53" s="1">
        <f t="shared" si="31"/>
        <v>0</v>
      </c>
      <c r="T53" s="1">
        <f t="shared" si="31"/>
        <v>0</v>
      </c>
      <c r="U53" s="1">
        <f t="shared" si="31"/>
        <v>0</v>
      </c>
      <c r="V53" s="1">
        <f t="shared" si="31"/>
        <v>0</v>
      </c>
      <c r="W53" s="1">
        <f t="shared" si="31"/>
        <v>0</v>
      </c>
      <c r="X53" s="1">
        <f t="shared" si="31"/>
        <v>0</v>
      </c>
      <c r="Y53" s="1">
        <f t="shared" si="31"/>
        <v>0</v>
      </c>
      <c r="Z53" s="1">
        <f t="shared" si="31"/>
        <v>0</v>
      </c>
      <c r="AA53" s="1">
        <f t="shared" si="31"/>
        <v>0</v>
      </c>
      <c r="AB53" s="1">
        <f t="shared" si="28"/>
        <v>0</v>
      </c>
      <c r="AC53" s="357" t="e">
        <f t="shared" si="29"/>
        <v>#DIV/0!</v>
      </c>
      <c r="AD53" s="877"/>
      <c r="AE53" s="878"/>
      <c r="AF53" s="878"/>
      <c r="AG53" s="749"/>
      <c r="AH53" s="749"/>
      <c r="AI53" s="879"/>
    </row>
    <row r="54" spans="1:35" ht="21" customHeight="1" x14ac:dyDescent="0.35">
      <c r="A54" s="58"/>
      <c r="H54" s="442"/>
      <c r="N54" s="888" t="s">
        <v>145</v>
      </c>
      <c r="O54" s="888"/>
      <c r="P54" s="888"/>
      <c r="Q54" s="888"/>
      <c r="R54" s="431" t="s">
        <v>146</v>
      </c>
      <c r="S54" s="431"/>
      <c r="T54" s="431"/>
      <c r="U54" s="431"/>
      <c r="V54" s="431"/>
      <c r="W54" s="431"/>
      <c r="X54" s="431"/>
      <c r="Y54" s="431"/>
      <c r="Z54" s="431"/>
      <c r="AA54" s="431"/>
      <c r="AB54" s="431"/>
      <c r="AC54" s="431"/>
      <c r="AD54" s="880" t="s">
        <v>132</v>
      </c>
      <c r="AE54" s="881"/>
      <c r="AF54" s="881"/>
      <c r="AG54" s="881"/>
      <c r="AH54" s="881"/>
      <c r="AI54" s="882"/>
    </row>
    <row r="55" spans="1:35" ht="31.5" customHeight="1" x14ac:dyDescent="0.35">
      <c r="A55" s="378" t="s">
        <v>147</v>
      </c>
      <c r="C55" s="885" t="s">
        <v>128</v>
      </c>
      <c r="D55" s="885"/>
      <c r="E55" s="885"/>
      <c r="F55" s="885"/>
      <c r="H55" s="442"/>
      <c r="J55" s="444"/>
      <c r="K55" s="445" t="s">
        <v>35</v>
      </c>
      <c r="L55" s="445" t="s">
        <v>148</v>
      </c>
      <c r="N55" s="446" t="s">
        <v>149</v>
      </c>
      <c r="O55" s="447" t="s">
        <v>150</v>
      </c>
      <c r="P55" s="447" t="s">
        <v>138</v>
      </c>
      <c r="Q55" s="447" t="s">
        <v>151</v>
      </c>
      <c r="R55" s="749" t="s">
        <v>152</v>
      </c>
      <c r="S55" s="749"/>
      <c r="T55" s="883" t="s">
        <v>153</v>
      </c>
      <c r="U55" s="883"/>
      <c r="W55" s="425" t="s">
        <v>154</v>
      </c>
      <c r="X55" s="425"/>
      <c r="Y55" s="425"/>
      <c r="Z55" s="425"/>
      <c r="AA55" s="425"/>
      <c r="AB55" s="425"/>
      <c r="AC55" s="425"/>
      <c r="AD55" s="868" t="s">
        <v>160</v>
      </c>
      <c r="AE55" s="869"/>
      <c r="AF55" s="869"/>
      <c r="AG55" s="869"/>
      <c r="AH55" s="869"/>
      <c r="AI55" s="870"/>
    </row>
    <row r="56" spans="1:35" ht="18" customHeight="1" thickBot="1" x14ac:dyDescent="0.3">
      <c r="A56" s="639"/>
      <c r="B56" s="375"/>
      <c r="C56" s="372"/>
      <c r="D56" s="372"/>
      <c r="E56" s="372"/>
      <c r="F56" s="372"/>
      <c r="G56" s="366">
        <f>+(D56-C56)+(F56-E56)</f>
        <v>0</v>
      </c>
      <c r="H56" s="367">
        <f>+G56*1440</f>
        <v>0</v>
      </c>
      <c r="I56" s="859" t="s">
        <v>155</v>
      </c>
      <c r="J56" s="860"/>
      <c r="K56" s="373"/>
      <c r="L56" s="374"/>
      <c r="M56" s="423"/>
      <c r="N56" s="629">
        <f>+J53+L53+K53+K56+L56</f>
        <v>0</v>
      </c>
      <c r="O56" s="368">
        <f>+(Setup_and_Criteria!$K$31+(J53*Setup_and_Criteria!$F$20)+('M1_1-15th'!K53*Setup_and_Criteria!$F$21)+('M1_1-15th'!L53*Setup_and_Criteria!$F$20))+T56+(K56*Setup_and_Criteria!$F$21)+(Setup_and_Criteria!$F$22*'M1_1-15th'!L56)</f>
        <v>75</v>
      </c>
      <c r="P56" s="367">
        <f>+H56</f>
        <v>0</v>
      </c>
      <c r="Q56" s="367">
        <f>+O56-P56</f>
        <v>75</v>
      </c>
      <c r="R56" s="861" t="s">
        <v>252</v>
      </c>
      <c r="S56" s="861"/>
      <c r="T56" s="862"/>
      <c r="U56" s="863"/>
      <c r="V56" s="265" t="s">
        <v>156</v>
      </c>
      <c r="W56" s="854"/>
      <c r="X56" s="855"/>
      <c r="Y56" s="855"/>
      <c r="Z56" s="855"/>
      <c r="AA56" s="855"/>
      <c r="AB56" s="855"/>
      <c r="AC56" s="855"/>
      <c r="AD56" s="868"/>
      <c r="AE56" s="869"/>
      <c r="AF56" s="869"/>
      <c r="AG56" s="869"/>
      <c r="AH56" s="869"/>
      <c r="AI56" s="870"/>
    </row>
    <row r="57" spans="1:35" ht="15.75" thickBot="1" x14ac:dyDescent="0.3">
      <c r="A57" s="449" t="str">
        <f>+A44</f>
        <v>Password to enter data = "Enter Info"</v>
      </c>
      <c r="B57" s="450"/>
      <c r="C57" s="451"/>
      <c r="D57" s="451"/>
      <c r="E57" s="451"/>
      <c r="F57" s="451"/>
      <c r="G57" s="451"/>
      <c r="H57" s="451"/>
      <c r="I57" s="450"/>
      <c r="J57" s="451"/>
      <c r="K57" s="451"/>
      <c r="L57" s="451"/>
      <c r="M57" s="451"/>
      <c r="N57" s="451"/>
      <c r="O57" s="451"/>
      <c r="P57" s="451"/>
      <c r="Q57" s="450"/>
      <c r="R57" s="451"/>
      <c r="S57" s="451"/>
      <c r="T57" s="451"/>
      <c r="U57" s="451"/>
      <c r="V57" s="451"/>
      <c r="W57" s="451"/>
      <c r="X57" s="451"/>
      <c r="Y57" s="451"/>
      <c r="Z57" s="451"/>
      <c r="AA57" s="451"/>
      <c r="AB57" s="450"/>
      <c r="AC57" s="450"/>
      <c r="AD57" s="871"/>
      <c r="AE57" s="872"/>
      <c r="AF57" s="872"/>
      <c r="AG57" s="872"/>
      <c r="AH57" s="872"/>
      <c r="AI57" s="873"/>
    </row>
    <row r="58" spans="1:35" ht="35.25" customHeight="1" x14ac:dyDescent="0.4">
      <c r="A58" s="434" t="str">
        <f>+A45</f>
        <v>June</v>
      </c>
      <c r="B58" s="624">
        <f>+B45+1</f>
        <v>20</v>
      </c>
      <c r="C58" s="884" t="s">
        <v>128</v>
      </c>
      <c r="D58" s="884"/>
      <c r="E58" s="884"/>
      <c r="F58" s="884"/>
      <c r="G58" s="377"/>
      <c r="H58" s="377"/>
      <c r="I58" s="21"/>
      <c r="J58" s="874" t="s">
        <v>129</v>
      </c>
      <c r="K58" s="875"/>
      <c r="L58" s="875"/>
      <c r="M58" s="875"/>
      <c r="N58" s="876" t="s">
        <v>130</v>
      </c>
      <c r="O58" s="876"/>
      <c r="P58" s="876"/>
      <c r="Q58" s="876"/>
      <c r="R58" s="424" t="str">
        <f>+R45</f>
        <v xml:space="preserve"> Corrections Tracking - Check out rooms</v>
      </c>
      <c r="S58" s="424"/>
      <c r="T58" s="424"/>
      <c r="U58" s="424"/>
      <c r="V58" s="424"/>
      <c r="W58" s="424"/>
      <c r="X58" s="424"/>
      <c r="Y58" s="424"/>
      <c r="Z58" s="424"/>
      <c r="AA58" s="424"/>
      <c r="AB58" s="424"/>
      <c r="AC58" s="424"/>
      <c r="AD58" s="461" t="s">
        <v>132</v>
      </c>
      <c r="AE58" s="426"/>
      <c r="AF58" s="426"/>
      <c r="AG58" s="426"/>
      <c r="AH58" s="426"/>
      <c r="AI58" s="427"/>
    </row>
    <row r="59" spans="1:35" ht="59.25" customHeight="1" x14ac:dyDescent="0.25">
      <c r="A59" s="378" t="s">
        <v>133</v>
      </c>
      <c r="C59" s="435" t="s">
        <v>134</v>
      </c>
      <c r="D59" s="435" t="s">
        <v>135</v>
      </c>
      <c r="E59" s="435" t="s">
        <v>134</v>
      </c>
      <c r="F59" s="435" t="s">
        <v>135</v>
      </c>
      <c r="G59" s="1" t="s">
        <v>136</v>
      </c>
      <c r="H59" s="1" t="s">
        <v>108</v>
      </c>
      <c r="I59" s="436"/>
      <c r="J59" s="437" t="str">
        <f>+Setup_and_Criteria!$B$13</f>
        <v>Checkouts</v>
      </c>
      <c r="K59" s="437" t="str">
        <f>+Setup_and_Criteria!$B$14</f>
        <v>Pet Rooms</v>
      </c>
      <c r="L59" s="437" t="str">
        <f>+Setup_and_Criteria!$B$15</f>
        <v>2 Rm &amp; Jac Stes</v>
      </c>
      <c r="M59" s="438" t="str">
        <f>+Setup_and_Criteria!$B$16</f>
        <v>Stayovers</v>
      </c>
      <c r="N59" s="269" t="s">
        <v>137</v>
      </c>
      <c r="O59" s="269" t="s">
        <v>138</v>
      </c>
      <c r="P59" s="439" t="s">
        <v>139</v>
      </c>
      <c r="Q59" s="439" t="s">
        <v>140</v>
      </c>
      <c r="R59" s="440" t="str">
        <f>+Corrections!$C$8</f>
        <v>Vanity</v>
      </c>
      <c r="S59" s="440" t="str">
        <f>+Corrections!$I$8</f>
        <v>Toilet</v>
      </c>
      <c r="T59" s="440" t="str">
        <f>+Corrections!$O$8</f>
        <v>Bed/Pillows</v>
      </c>
      <c r="U59" s="440" t="str">
        <f>+Corrections!$U$8</f>
        <v>Floor</v>
      </c>
      <c r="V59" s="440" t="str">
        <f>+Corrections!$AA$8</f>
        <v>Dusting</v>
      </c>
      <c r="W59" s="440" t="str">
        <f>+Corrections!$AG$8</f>
        <v>Fridge/Micro</v>
      </c>
      <c r="X59" s="440" t="str">
        <f>+Corrections!$AM$8</f>
        <v>Tub</v>
      </c>
      <c r="Y59" s="441" t="str">
        <f>+Corrections!$AS$8</f>
        <v>Mirrors/Glass</v>
      </c>
      <c r="Z59" s="440" t="str">
        <f>+Corrections!$AY$8</f>
        <v>Stocking</v>
      </c>
      <c r="AA59" s="440" t="str">
        <f>+Corrections!$BE$8</f>
        <v>Other</v>
      </c>
      <c r="AB59" s="269" t="s">
        <v>141</v>
      </c>
      <c r="AC59" s="269" t="str">
        <f>+$AC$7</f>
        <v>Daily Corr / Inspected Checkout</v>
      </c>
      <c r="AD59" s="889" t="s">
        <v>143</v>
      </c>
      <c r="AE59" s="890"/>
      <c r="AF59" s="890"/>
      <c r="AG59" s="890"/>
      <c r="AH59" s="890"/>
      <c r="AI59" s="891"/>
    </row>
    <row r="60" spans="1:35" x14ac:dyDescent="0.25">
      <c r="A60" s="638"/>
      <c r="C60" s="369"/>
      <c r="D60" s="369"/>
      <c r="E60" s="369"/>
      <c r="F60" s="369"/>
      <c r="G60" s="264">
        <f t="shared" ref="G60:G65" si="32">+(D60-C60)+(F60-E60)</f>
        <v>0</v>
      </c>
      <c r="H60" s="442">
        <f t="shared" ref="H60:H65" si="33">+G60*1440</f>
        <v>0</v>
      </c>
      <c r="J60" s="630"/>
      <c r="K60" s="630"/>
      <c r="L60" s="630"/>
      <c r="M60" s="630"/>
      <c r="N60" s="1">
        <f>IF(C60&gt;0,((J60*Setup_and_Criteria!$F$13)+('M1_1-15th'!K60*Setup_and_Criteria!$F$14)+('M1_1-15th'!L60*Setup_and_Criteria!$F$15)+('M1_1-15th'!M60*Setup_and_Criteria!$F$16)+Setup_and_Criteria!$J$16),0)</f>
        <v>0</v>
      </c>
      <c r="O60" s="442">
        <f>+H60</f>
        <v>0</v>
      </c>
      <c r="P60" s="443">
        <f t="shared" ref="P60:P66" si="34">+N60-O60</f>
        <v>0</v>
      </c>
      <c r="Q60" s="357" t="e">
        <f t="shared" ref="Q60:Q66" si="35">O60/_xlfn.SINGLE(SUM(J60:M60))</f>
        <v>#DIV/0!</v>
      </c>
      <c r="R60" s="630"/>
      <c r="S60" s="630"/>
      <c r="T60" s="630"/>
      <c r="U60" s="630"/>
      <c r="V60" s="630"/>
      <c r="W60" s="630"/>
      <c r="X60" s="630"/>
      <c r="Y60" s="630"/>
      <c r="Z60" s="630"/>
      <c r="AA60" s="630"/>
      <c r="AB60" s="1">
        <f t="shared" ref="AB60:AB66" si="36">SUM(R60:AA60)</f>
        <v>0</v>
      </c>
      <c r="AC60" s="357" t="e">
        <f t="shared" ref="AC60:AC65" si="37">+AB60/(J60+K60+L60)</f>
        <v>#DIV/0!</v>
      </c>
      <c r="AD60" s="864" t="s">
        <v>144</v>
      </c>
      <c r="AE60" s="865"/>
      <c r="AF60" s="865"/>
      <c r="AG60" s="866"/>
      <c r="AH60" s="866"/>
      <c r="AI60" s="867"/>
    </row>
    <row r="61" spans="1:35" x14ac:dyDescent="0.25">
      <c r="A61" s="638"/>
      <c r="C61" s="630"/>
      <c r="D61" s="630"/>
      <c r="E61" s="630"/>
      <c r="F61" s="630"/>
      <c r="G61" s="264">
        <f t="shared" si="32"/>
        <v>0</v>
      </c>
      <c r="H61" s="442">
        <f t="shared" si="33"/>
        <v>0</v>
      </c>
      <c r="J61" s="630"/>
      <c r="K61" s="630"/>
      <c r="L61" s="630"/>
      <c r="M61" s="630"/>
      <c r="N61" s="1">
        <f>IF(C61&gt;0,((J61*Setup_and_Criteria!$F$13)+('M1_1-15th'!K61*Setup_and_Criteria!$F$14)+('M1_1-15th'!L61*Setup_and_Criteria!$F$15)+('M1_1-15th'!M61*Setup_and_Criteria!$F$16)+Setup_and_Criteria!$J$16),0)</f>
        <v>0</v>
      </c>
      <c r="O61" s="442">
        <f t="shared" ref="O61:O66" si="38">+H61</f>
        <v>0</v>
      </c>
      <c r="P61" s="443">
        <f t="shared" si="34"/>
        <v>0</v>
      </c>
      <c r="Q61" s="357" t="e">
        <f t="shared" si="35"/>
        <v>#DIV/0!</v>
      </c>
      <c r="R61" s="630"/>
      <c r="S61" s="630"/>
      <c r="T61" s="630"/>
      <c r="U61" s="630"/>
      <c r="V61" s="630"/>
      <c r="W61" s="630"/>
      <c r="X61" s="630"/>
      <c r="Y61" s="630"/>
      <c r="Z61" s="630"/>
      <c r="AA61" s="630"/>
      <c r="AB61" s="1">
        <f t="shared" si="36"/>
        <v>0</v>
      </c>
      <c r="AC61" s="357" t="e">
        <f t="shared" si="37"/>
        <v>#DIV/0!</v>
      </c>
      <c r="AD61" s="864"/>
      <c r="AE61" s="865"/>
      <c r="AF61" s="865"/>
      <c r="AG61" s="866"/>
      <c r="AH61" s="866"/>
      <c r="AI61" s="867"/>
    </row>
    <row r="62" spans="1:35" x14ac:dyDescent="0.25">
      <c r="A62" s="638"/>
      <c r="C62" s="630"/>
      <c r="D62" s="630"/>
      <c r="E62" s="630"/>
      <c r="F62" s="630"/>
      <c r="G62" s="264">
        <f t="shared" si="32"/>
        <v>0</v>
      </c>
      <c r="H62" s="442">
        <f t="shared" si="33"/>
        <v>0</v>
      </c>
      <c r="J62" s="630"/>
      <c r="K62" s="630"/>
      <c r="L62" s="630"/>
      <c r="M62" s="630"/>
      <c r="N62" s="1">
        <f>IF(C62&gt;0,((J62*Setup_and_Criteria!$F$13)+('M1_1-15th'!K62*Setup_and_Criteria!$F$14)+('M1_1-15th'!L62*Setup_and_Criteria!$F$15)+('M1_1-15th'!M62*Setup_and_Criteria!$F$16)+Setup_and_Criteria!$J$16),0)</f>
        <v>0</v>
      </c>
      <c r="O62" s="442">
        <f t="shared" si="38"/>
        <v>0</v>
      </c>
      <c r="P62" s="443">
        <f t="shared" si="34"/>
        <v>0</v>
      </c>
      <c r="Q62" s="357" t="e">
        <f t="shared" si="35"/>
        <v>#DIV/0!</v>
      </c>
      <c r="R62" s="630"/>
      <c r="S62" s="630"/>
      <c r="T62" s="630"/>
      <c r="U62" s="630"/>
      <c r="V62" s="630"/>
      <c r="W62" s="630"/>
      <c r="X62" s="630"/>
      <c r="Y62" s="630"/>
      <c r="Z62" s="630"/>
      <c r="AA62" s="630"/>
      <c r="AB62" s="1">
        <f t="shared" si="36"/>
        <v>0</v>
      </c>
      <c r="AC62" s="357" t="e">
        <f t="shared" si="37"/>
        <v>#DIV/0!</v>
      </c>
      <c r="AD62" s="864"/>
      <c r="AE62" s="865"/>
      <c r="AF62" s="865"/>
      <c r="AG62" s="866"/>
      <c r="AH62" s="866"/>
      <c r="AI62" s="867"/>
    </row>
    <row r="63" spans="1:35" x14ac:dyDescent="0.25">
      <c r="A63" s="638"/>
      <c r="C63" s="630"/>
      <c r="D63" s="630"/>
      <c r="E63" s="630"/>
      <c r="F63" s="630"/>
      <c r="G63" s="264">
        <f t="shared" si="32"/>
        <v>0</v>
      </c>
      <c r="H63" s="442">
        <f t="shared" si="33"/>
        <v>0</v>
      </c>
      <c r="J63" s="630"/>
      <c r="K63" s="630"/>
      <c r="L63" s="630"/>
      <c r="M63" s="630"/>
      <c r="N63" s="1">
        <f>IF(C63&gt;0,((J63*Setup_and_Criteria!$F$13)+('M1_1-15th'!K63*Setup_and_Criteria!$F$14)+('M1_1-15th'!L63*Setup_and_Criteria!$F$15)+('M1_1-15th'!M63*Setup_and_Criteria!$F$16)+Setup_and_Criteria!$J$16),0)</f>
        <v>0</v>
      </c>
      <c r="O63" s="442">
        <f t="shared" si="38"/>
        <v>0</v>
      </c>
      <c r="P63" s="443">
        <f t="shared" si="34"/>
        <v>0</v>
      </c>
      <c r="Q63" s="357" t="e">
        <f t="shared" si="35"/>
        <v>#DIV/0!</v>
      </c>
      <c r="R63" s="630"/>
      <c r="S63" s="630"/>
      <c r="T63" s="630"/>
      <c r="U63" s="630"/>
      <c r="V63" s="630"/>
      <c r="W63" s="630"/>
      <c r="X63" s="630"/>
      <c r="Y63" s="630"/>
      <c r="Z63" s="630"/>
      <c r="AA63" s="630"/>
      <c r="AB63" s="1">
        <f t="shared" si="36"/>
        <v>0</v>
      </c>
      <c r="AC63" s="357" t="e">
        <f t="shared" si="37"/>
        <v>#DIV/0!</v>
      </c>
      <c r="AD63" s="864"/>
      <c r="AE63" s="865"/>
      <c r="AF63" s="865"/>
      <c r="AG63" s="866"/>
      <c r="AH63" s="866"/>
      <c r="AI63" s="867"/>
    </row>
    <row r="64" spans="1:35" x14ac:dyDescent="0.25">
      <c r="A64" s="638"/>
      <c r="C64" s="630"/>
      <c r="D64" s="630"/>
      <c r="E64" s="630"/>
      <c r="F64" s="630"/>
      <c r="G64" s="264">
        <f t="shared" si="32"/>
        <v>0</v>
      </c>
      <c r="H64" s="442">
        <f t="shared" si="33"/>
        <v>0</v>
      </c>
      <c r="J64" s="630"/>
      <c r="K64" s="630"/>
      <c r="L64" s="630"/>
      <c r="M64" s="630"/>
      <c r="N64" s="1">
        <f>IF(C64&gt;0,((J64*Setup_and_Criteria!$F$13)+('M1_1-15th'!K64*Setup_and_Criteria!$F$14)+('M1_1-15th'!L64*Setup_and_Criteria!$F$15)+('M1_1-15th'!M64*Setup_and_Criteria!$F$16)+Setup_and_Criteria!$J$16),0)</f>
        <v>0</v>
      </c>
      <c r="O64" s="442">
        <f t="shared" si="38"/>
        <v>0</v>
      </c>
      <c r="P64" s="443">
        <f t="shared" si="34"/>
        <v>0</v>
      </c>
      <c r="Q64" s="357" t="e">
        <f t="shared" si="35"/>
        <v>#DIV/0!</v>
      </c>
      <c r="R64" s="630"/>
      <c r="S64" s="630"/>
      <c r="T64" s="630"/>
      <c r="U64" s="630"/>
      <c r="V64" s="630"/>
      <c r="W64" s="630"/>
      <c r="X64" s="630"/>
      <c r="Y64" s="630"/>
      <c r="Z64" s="630"/>
      <c r="AA64" s="630"/>
      <c r="AB64" s="1">
        <f t="shared" si="36"/>
        <v>0</v>
      </c>
      <c r="AC64" s="357" t="e">
        <f t="shared" si="37"/>
        <v>#DIV/0!</v>
      </c>
      <c r="AD64" s="864"/>
      <c r="AE64" s="865"/>
      <c r="AF64" s="865"/>
      <c r="AG64" s="866"/>
      <c r="AH64" s="866"/>
      <c r="AI64" s="867"/>
    </row>
    <row r="65" spans="1:35" ht="15.75" thickBot="1" x14ac:dyDescent="0.3">
      <c r="A65" s="638"/>
      <c r="C65" s="370"/>
      <c r="D65" s="370"/>
      <c r="E65" s="630"/>
      <c r="F65" s="630"/>
      <c r="G65" s="264">
        <f t="shared" si="32"/>
        <v>0</v>
      </c>
      <c r="H65" s="442">
        <f t="shared" si="33"/>
        <v>0</v>
      </c>
      <c r="J65" s="371"/>
      <c r="K65" s="371"/>
      <c r="L65" s="371"/>
      <c r="M65" s="371"/>
      <c r="N65" s="358">
        <f>IF(C65&gt;0,((J65*Setup_and_Criteria!$F$13)+('M1_1-15th'!K65*Setup_and_Criteria!$F$14)+('M1_1-15th'!L65*Setup_and_Criteria!$F$15)+('M1_1-15th'!M65*Setup_and_Criteria!$F$16)+Setup_and_Criteria!$J$16),0)</f>
        <v>0</v>
      </c>
      <c r="O65" s="359">
        <f t="shared" si="38"/>
        <v>0</v>
      </c>
      <c r="P65" s="383">
        <f t="shared" si="34"/>
        <v>0</v>
      </c>
      <c r="Q65" s="360" t="e">
        <f t="shared" si="35"/>
        <v>#DIV/0!</v>
      </c>
      <c r="R65" s="511"/>
      <c r="S65" s="511"/>
      <c r="T65" s="511"/>
      <c r="U65" s="511"/>
      <c r="V65" s="511"/>
      <c r="W65" s="511"/>
      <c r="X65" s="511"/>
      <c r="Y65" s="511"/>
      <c r="Z65" s="511"/>
      <c r="AA65" s="511"/>
      <c r="AB65" s="1">
        <f t="shared" si="36"/>
        <v>0</v>
      </c>
      <c r="AC65" s="357" t="e">
        <f t="shared" si="37"/>
        <v>#DIV/0!</v>
      </c>
      <c r="AD65" s="864"/>
      <c r="AE65" s="865"/>
      <c r="AF65" s="865"/>
      <c r="AG65" s="866"/>
      <c r="AH65" s="866"/>
      <c r="AI65" s="867"/>
    </row>
    <row r="66" spans="1:35" ht="15.75" thickTop="1" x14ac:dyDescent="0.25">
      <c r="A66" s="58"/>
      <c r="H66" s="442">
        <f>SUM(H60:H65)</f>
        <v>0</v>
      </c>
      <c r="J66" s="1">
        <f>SUM(J60:J65)</f>
        <v>0</v>
      </c>
      <c r="K66" s="1">
        <f>SUM(K60:K65)</f>
        <v>0</v>
      </c>
      <c r="L66" s="1">
        <f>SUM(L60:L65)</f>
        <v>0</v>
      </c>
      <c r="M66" s="1">
        <f>SUM(M60:M65)</f>
        <v>0</v>
      </c>
      <c r="N66" s="1">
        <f>SUM(N60:N65)</f>
        <v>0</v>
      </c>
      <c r="O66" s="1">
        <f t="shared" si="38"/>
        <v>0</v>
      </c>
      <c r="P66" s="443">
        <f t="shared" si="34"/>
        <v>0</v>
      </c>
      <c r="Q66" s="357" t="e">
        <f t="shared" si="35"/>
        <v>#DIV/0!</v>
      </c>
      <c r="R66" s="1">
        <f t="shared" ref="R66:AA66" si="39">SUM(R60:R65)</f>
        <v>0</v>
      </c>
      <c r="S66" s="1">
        <f t="shared" si="39"/>
        <v>0</v>
      </c>
      <c r="T66" s="1">
        <f t="shared" si="39"/>
        <v>0</v>
      </c>
      <c r="U66" s="1">
        <f t="shared" si="39"/>
        <v>0</v>
      </c>
      <c r="V66" s="1">
        <f t="shared" si="39"/>
        <v>0</v>
      </c>
      <c r="W66" s="1">
        <f t="shared" si="39"/>
        <v>0</v>
      </c>
      <c r="X66" s="1">
        <f t="shared" si="39"/>
        <v>0</v>
      </c>
      <c r="Y66" s="1">
        <f t="shared" si="39"/>
        <v>0</v>
      </c>
      <c r="Z66" s="1">
        <f t="shared" si="39"/>
        <v>0</v>
      </c>
      <c r="AA66" s="1">
        <f t="shared" si="39"/>
        <v>0</v>
      </c>
      <c r="AB66" s="1">
        <f t="shared" si="36"/>
        <v>0</v>
      </c>
      <c r="AC66" s="357" t="e">
        <f>+AB66/(J66+K66+L66+M66)</f>
        <v>#DIV/0!</v>
      </c>
      <c r="AD66" s="877"/>
      <c r="AE66" s="878"/>
      <c r="AF66" s="878"/>
      <c r="AG66" s="749"/>
      <c r="AH66" s="749"/>
      <c r="AI66" s="879"/>
    </row>
    <row r="67" spans="1:35" ht="21" customHeight="1" x14ac:dyDescent="0.35">
      <c r="A67" s="58"/>
      <c r="H67" s="442"/>
      <c r="N67" s="888" t="s">
        <v>145</v>
      </c>
      <c r="O67" s="888"/>
      <c r="P67" s="888"/>
      <c r="Q67" s="888"/>
      <c r="R67" s="431" t="s">
        <v>146</v>
      </c>
      <c r="S67" s="431"/>
      <c r="T67" s="431"/>
      <c r="U67" s="431"/>
      <c r="V67" s="431"/>
      <c r="W67" s="431"/>
      <c r="X67" s="431"/>
      <c r="Y67" s="431"/>
      <c r="Z67" s="431"/>
      <c r="AA67" s="431"/>
      <c r="AB67" s="431"/>
      <c r="AC67" s="431"/>
      <c r="AD67" s="880" t="s">
        <v>132</v>
      </c>
      <c r="AE67" s="881"/>
      <c r="AF67" s="881"/>
      <c r="AG67" s="881"/>
      <c r="AH67" s="881"/>
      <c r="AI67" s="882"/>
    </row>
    <row r="68" spans="1:35" ht="31.5" customHeight="1" x14ac:dyDescent="0.35">
      <c r="A68" s="378" t="s">
        <v>147</v>
      </c>
      <c r="C68" s="885" t="s">
        <v>128</v>
      </c>
      <c r="D68" s="885"/>
      <c r="E68" s="885"/>
      <c r="F68" s="885"/>
      <c r="H68" s="442"/>
      <c r="J68" s="444"/>
      <c r="K68" s="445" t="s">
        <v>35</v>
      </c>
      <c r="L68" s="445" t="s">
        <v>148</v>
      </c>
      <c r="N68" s="446" t="s">
        <v>149</v>
      </c>
      <c r="O68" s="447" t="s">
        <v>150</v>
      </c>
      <c r="P68" s="447" t="s">
        <v>138</v>
      </c>
      <c r="Q68" s="447" t="s">
        <v>151</v>
      </c>
      <c r="R68" s="749" t="s">
        <v>152</v>
      </c>
      <c r="S68" s="749"/>
      <c r="T68" s="883" t="s">
        <v>153</v>
      </c>
      <c r="U68" s="883"/>
      <c r="W68" s="425" t="s">
        <v>154</v>
      </c>
      <c r="X68" s="425"/>
      <c r="Y68" s="425"/>
      <c r="Z68" s="425"/>
      <c r="AA68" s="425"/>
      <c r="AB68" s="425"/>
      <c r="AC68" s="425"/>
      <c r="AD68" s="868" t="s">
        <v>160</v>
      </c>
      <c r="AE68" s="869"/>
      <c r="AF68" s="869"/>
      <c r="AG68" s="869"/>
      <c r="AH68" s="869"/>
      <c r="AI68" s="870"/>
    </row>
    <row r="69" spans="1:35" ht="18" customHeight="1" thickBot="1" x14ac:dyDescent="0.3">
      <c r="A69" s="639"/>
      <c r="B69" s="375"/>
      <c r="C69" s="372"/>
      <c r="D69" s="372"/>
      <c r="E69" s="372"/>
      <c r="F69" s="372"/>
      <c r="G69" s="366">
        <f>+(D69-C69)+(F69-E69)</f>
        <v>0</v>
      </c>
      <c r="H69" s="367">
        <f>+G69*1440</f>
        <v>0</v>
      </c>
      <c r="I69" s="859" t="s">
        <v>155</v>
      </c>
      <c r="J69" s="860"/>
      <c r="K69" s="373"/>
      <c r="L69" s="374"/>
      <c r="M69" s="423"/>
      <c r="N69" s="629">
        <f>+J66+L66+K66+K69+L69</f>
        <v>0</v>
      </c>
      <c r="O69" s="368">
        <f>+(Setup_and_Criteria!$K$31+(J66*Setup_and_Criteria!$F$20)+('M1_1-15th'!K66*Setup_and_Criteria!$F$21)+('M1_1-15th'!L66*Setup_and_Criteria!$F$20))+T69+(K69*Setup_and_Criteria!$F$21)+(Setup_and_Criteria!$F$22*'M1_1-15th'!L69)</f>
        <v>75</v>
      </c>
      <c r="P69" s="367">
        <f>+H69</f>
        <v>0</v>
      </c>
      <c r="Q69" s="367">
        <f>+O69-P69</f>
        <v>75</v>
      </c>
      <c r="R69" s="861" t="s">
        <v>252</v>
      </c>
      <c r="S69" s="861"/>
      <c r="T69" s="862"/>
      <c r="U69" s="863"/>
      <c r="V69" s="265" t="s">
        <v>156</v>
      </c>
      <c r="W69" s="854"/>
      <c r="X69" s="855"/>
      <c r="Y69" s="855"/>
      <c r="Z69" s="855"/>
      <c r="AA69" s="855"/>
      <c r="AB69" s="855"/>
      <c r="AC69" s="855"/>
      <c r="AD69" s="868"/>
      <c r="AE69" s="869"/>
      <c r="AF69" s="869"/>
      <c r="AG69" s="869"/>
      <c r="AH69" s="869"/>
      <c r="AI69" s="870"/>
    </row>
    <row r="70" spans="1:35" ht="15.75" thickBot="1" x14ac:dyDescent="0.3">
      <c r="A70" s="449" t="str">
        <f>+A57</f>
        <v>Password to enter data = "Enter Info"</v>
      </c>
      <c r="B70" s="450"/>
      <c r="C70" s="451"/>
      <c r="D70" s="451"/>
      <c r="E70" s="451"/>
      <c r="F70" s="451"/>
      <c r="G70" s="451"/>
      <c r="H70" s="451"/>
      <c r="I70" s="450"/>
      <c r="J70" s="451"/>
      <c r="K70" s="451"/>
      <c r="L70" s="451"/>
      <c r="M70" s="451"/>
      <c r="N70" s="451"/>
      <c r="O70" s="451"/>
      <c r="P70" s="451"/>
      <c r="Q70" s="450"/>
      <c r="R70" s="451"/>
      <c r="S70" s="451"/>
      <c r="T70" s="451"/>
      <c r="U70" s="451"/>
      <c r="V70" s="451"/>
      <c r="W70" s="451"/>
      <c r="X70" s="451"/>
      <c r="Y70" s="451"/>
      <c r="Z70" s="451"/>
      <c r="AA70" s="451"/>
      <c r="AB70" s="450"/>
      <c r="AC70" s="450"/>
      <c r="AD70" s="871"/>
      <c r="AE70" s="872"/>
      <c r="AF70" s="872"/>
      <c r="AG70" s="872"/>
      <c r="AH70" s="872"/>
      <c r="AI70" s="873"/>
    </row>
    <row r="71" spans="1:35" ht="35.25" customHeight="1" thickBot="1" x14ac:dyDescent="0.45">
      <c r="A71" s="428" t="str">
        <f>+A58</f>
        <v>June</v>
      </c>
      <c r="B71" s="429">
        <f>+B58+1</f>
        <v>21</v>
      </c>
      <c r="C71" s="885" t="s">
        <v>128</v>
      </c>
      <c r="D71" s="885"/>
      <c r="E71" s="885"/>
      <c r="F71" s="885"/>
      <c r="G71" s="430"/>
      <c r="H71" s="430"/>
      <c r="J71" s="895" t="s">
        <v>129</v>
      </c>
      <c r="K71" s="896"/>
      <c r="L71" s="896"/>
      <c r="M71" s="896"/>
      <c r="N71" s="888" t="s">
        <v>130</v>
      </c>
      <c r="O71" s="888"/>
      <c r="P71" s="888"/>
      <c r="Q71" s="888"/>
      <c r="R71" s="431" t="str">
        <f>+R58</f>
        <v xml:space="preserve"> Corrections Tracking - Check out rooms</v>
      </c>
      <c r="S71" s="431"/>
      <c r="T71" s="431"/>
      <c r="U71" s="431"/>
      <c r="V71" s="431"/>
      <c r="W71" s="431"/>
      <c r="X71" s="431"/>
      <c r="Y71" s="431"/>
      <c r="Z71" s="431"/>
      <c r="AA71" s="431"/>
      <c r="AB71" s="431"/>
      <c r="AC71" s="431"/>
      <c r="AD71" s="462" t="s">
        <v>132</v>
      </c>
      <c r="AE71" s="432"/>
      <c r="AF71" s="432"/>
      <c r="AG71" s="432"/>
      <c r="AH71" s="432"/>
      <c r="AI71" s="433"/>
    </row>
    <row r="72" spans="1:35" ht="59.25" customHeight="1" x14ac:dyDescent="0.25">
      <c r="A72" s="623" t="s">
        <v>133</v>
      </c>
      <c r="B72" s="21"/>
      <c r="C72" s="453" t="s">
        <v>134</v>
      </c>
      <c r="D72" s="453" t="s">
        <v>135</v>
      </c>
      <c r="E72" s="453" t="s">
        <v>134</v>
      </c>
      <c r="F72" s="453" t="s">
        <v>135</v>
      </c>
      <c r="G72" s="635" t="s">
        <v>136</v>
      </c>
      <c r="H72" s="635" t="s">
        <v>108</v>
      </c>
      <c r="I72" s="454"/>
      <c r="J72" s="455" t="str">
        <f>+Setup_and_Criteria!$B$13</f>
        <v>Checkouts</v>
      </c>
      <c r="K72" s="455" t="str">
        <f>+Setup_and_Criteria!$B$14</f>
        <v>Pet Rooms</v>
      </c>
      <c r="L72" s="455" t="str">
        <f>+Setup_and_Criteria!$B$15</f>
        <v>2 Rm &amp; Jac Stes</v>
      </c>
      <c r="M72" s="456" t="str">
        <f>+Setup_and_Criteria!$B$16</f>
        <v>Stayovers</v>
      </c>
      <c r="N72" s="457" t="s">
        <v>137</v>
      </c>
      <c r="O72" s="457" t="s">
        <v>138</v>
      </c>
      <c r="P72" s="458" t="s">
        <v>139</v>
      </c>
      <c r="Q72" s="458" t="s">
        <v>140</v>
      </c>
      <c r="R72" s="459" t="str">
        <f>+Corrections!$C$8</f>
        <v>Vanity</v>
      </c>
      <c r="S72" s="459" t="str">
        <f>+Corrections!$I$8</f>
        <v>Toilet</v>
      </c>
      <c r="T72" s="459" t="str">
        <f>+Corrections!$O$8</f>
        <v>Bed/Pillows</v>
      </c>
      <c r="U72" s="459" t="str">
        <f>+Corrections!$U$8</f>
        <v>Floor</v>
      </c>
      <c r="V72" s="459" t="str">
        <f>+Corrections!$AA$8</f>
        <v>Dusting</v>
      </c>
      <c r="W72" s="459" t="str">
        <f>+Corrections!$AG$8</f>
        <v>Fridge/Micro</v>
      </c>
      <c r="X72" s="459" t="str">
        <f>+Corrections!$AM$8</f>
        <v>Tub</v>
      </c>
      <c r="Y72" s="460" t="str">
        <f>+Corrections!$AS$8</f>
        <v>Mirrors/Glass</v>
      </c>
      <c r="Z72" s="459" t="str">
        <f>+Corrections!$AY$8</f>
        <v>Stocking</v>
      </c>
      <c r="AA72" s="459" t="str">
        <f>+Corrections!$BE$8</f>
        <v>Other</v>
      </c>
      <c r="AB72" s="457" t="s">
        <v>141</v>
      </c>
      <c r="AC72" s="269" t="str">
        <f>+$AC$7</f>
        <v>Daily Corr / Inspected Checkout</v>
      </c>
      <c r="AD72" s="892" t="s">
        <v>143</v>
      </c>
      <c r="AE72" s="893"/>
      <c r="AF72" s="893"/>
      <c r="AG72" s="893"/>
      <c r="AH72" s="893"/>
      <c r="AI72" s="894"/>
    </row>
    <row r="73" spans="1:35" x14ac:dyDescent="0.25">
      <c r="A73" s="638"/>
      <c r="C73" s="369"/>
      <c r="D73" s="369"/>
      <c r="E73" s="369"/>
      <c r="F73" s="369"/>
      <c r="G73" s="264">
        <f t="shared" ref="G73:G78" si="40">+(D73-C73)+(F73-E73)</f>
        <v>0</v>
      </c>
      <c r="H73" s="442">
        <f t="shared" ref="H73:H78" si="41">+G73*1440</f>
        <v>0</v>
      </c>
      <c r="J73" s="630"/>
      <c r="K73" s="630"/>
      <c r="L73" s="630"/>
      <c r="M73" s="630"/>
      <c r="N73" s="1">
        <f>IF(C73&gt;0,((J73*Setup_and_Criteria!$F$13)+('M1_1-15th'!K73*Setup_and_Criteria!$F$14)+('M1_1-15th'!L73*Setup_and_Criteria!$F$15)+('M1_1-15th'!M73*Setup_and_Criteria!$F$16)+Setup_and_Criteria!$J$16),0)</f>
        <v>0</v>
      </c>
      <c r="O73" s="442">
        <f>+H73</f>
        <v>0</v>
      </c>
      <c r="P73" s="443">
        <f t="shared" ref="P73:P79" si="42">+N73-O73</f>
        <v>0</v>
      </c>
      <c r="Q73" s="357" t="e">
        <f t="shared" ref="Q73:Q79" si="43">O73/_xlfn.SINGLE(SUM(J73:M73))</f>
        <v>#DIV/0!</v>
      </c>
      <c r="R73" s="630"/>
      <c r="S73" s="630"/>
      <c r="T73" s="630"/>
      <c r="U73" s="630"/>
      <c r="V73" s="630"/>
      <c r="W73" s="630"/>
      <c r="X73" s="630"/>
      <c r="Y73" s="630"/>
      <c r="Z73" s="630"/>
      <c r="AA73" s="630"/>
      <c r="AB73" s="1">
        <f t="shared" ref="AB73:AB79" si="44">SUM(R73:AA73)</f>
        <v>0</v>
      </c>
      <c r="AC73" s="357" t="e">
        <f t="shared" ref="AC73:AC79" si="45">+AB73/(J73+K73+L73)</f>
        <v>#DIV/0!</v>
      </c>
      <c r="AD73" s="864" t="s">
        <v>144</v>
      </c>
      <c r="AE73" s="865"/>
      <c r="AF73" s="865"/>
      <c r="AG73" s="866"/>
      <c r="AH73" s="866"/>
      <c r="AI73" s="867"/>
    </row>
    <row r="74" spans="1:35" x14ac:dyDescent="0.25">
      <c r="A74" s="638"/>
      <c r="C74" s="630"/>
      <c r="D74" s="630"/>
      <c r="E74" s="630"/>
      <c r="F74" s="630"/>
      <c r="G74" s="264">
        <f t="shared" si="40"/>
        <v>0</v>
      </c>
      <c r="H74" s="442">
        <f t="shared" si="41"/>
        <v>0</v>
      </c>
      <c r="J74" s="630"/>
      <c r="K74" s="630"/>
      <c r="L74" s="630"/>
      <c r="M74" s="630"/>
      <c r="N74" s="1">
        <f>IF(C74&gt;0,((J74*Setup_and_Criteria!$F$13)+('M1_1-15th'!K74*Setup_and_Criteria!$F$14)+('M1_1-15th'!L74*Setup_and_Criteria!$F$15)+('M1_1-15th'!M74*Setup_and_Criteria!$F$16)+Setup_and_Criteria!$J$16),0)</f>
        <v>0</v>
      </c>
      <c r="O74" s="442">
        <f t="shared" ref="O74:O79" si="46">+H74</f>
        <v>0</v>
      </c>
      <c r="P74" s="443">
        <f t="shared" si="42"/>
        <v>0</v>
      </c>
      <c r="Q74" s="357" t="e">
        <f t="shared" si="43"/>
        <v>#DIV/0!</v>
      </c>
      <c r="R74" s="630"/>
      <c r="S74" s="630"/>
      <c r="T74" s="630"/>
      <c r="U74" s="630"/>
      <c r="V74" s="630"/>
      <c r="W74" s="630"/>
      <c r="X74" s="630"/>
      <c r="Y74" s="630"/>
      <c r="Z74" s="630"/>
      <c r="AA74" s="630"/>
      <c r="AB74" s="1">
        <f t="shared" si="44"/>
        <v>0</v>
      </c>
      <c r="AC74" s="357" t="e">
        <f t="shared" si="45"/>
        <v>#DIV/0!</v>
      </c>
      <c r="AD74" s="864"/>
      <c r="AE74" s="865"/>
      <c r="AF74" s="865"/>
      <c r="AG74" s="866"/>
      <c r="AH74" s="866"/>
      <c r="AI74" s="867"/>
    </row>
    <row r="75" spans="1:35" x14ac:dyDescent="0.25">
      <c r="A75" s="638"/>
      <c r="C75" s="630"/>
      <c r="D75" s="630"/>
      <c r="E75" s="630"/>
      <c r="F75" s="630"/>
      <c r="G75" s="264">
        <f t="shared" si="40"/>
        <v>0</v>
      </c>
      <c r="H75" s="442">
        <f t="shared" si="41"/>
        <v>0</v>
      </c>
      <c r="J75" s="630"/>
      <c r="K75" s="630"/>
      <c r="L75" s="630"/>
      <c r="M75" s="630"/>
      <c r="N75" s="1">
        <f>IF(C75&gt;0,((J75*Setup_and_Criteria!$F$13)+('M1_1-15th'!K75*Setup_and_Criteria!$F$14)+('M1_1-15th'!L75*Setup_and_Criteria!$F$15)+('M1_1-15th'!M75*Setup_and_Criteria!$F$16)+Setup_and_Criteria!$J$16),0)</f>
        <v>0</v>
      </c>
      <c r="O75" s="442">
        <f t="shared" si="46"/>
        <v>0</v>
      </c>
      <c r="P75" s="443">
        <f t="shared" si="42"/>
        <v>0</v>
      </c>
      <c r="Q75" s="357" t="e">
        <f t="shared" si="43"/>
        <v>#DIV/0!</v>
      </c>
      <c r="R75" s="630"/>
      <c r="S75" s="630"/>
      <c r="T75" s="630"/>
      <c r="U75" s="630"/>
      <c r="V75" s="630"/>
      <c r="W75" s="630"/>
      <c r="X75" s="630"/>
      <c r="Y75" s="630"/>
      <c r="Z75" s="630"/>
      <c r="AA75" s="630"/>
      <c r="AB75" s="1">
        <f t="shared" si="44"/>
        <v>0</v>
      </c>
      <c r="AC75" s="357" t="e">
        <f t="shared" si="45"/>
        <v>#DIV/0!</v>
      </c>
      <c r="AD75" s="864"/>
      <c r="AE75" s="865"/>
      <c r="AF75" s="865"/>
      <c r="AG75" s="866"/>
      <c r="AH75" s="866"/>
      <c r="AI75" s="867"/>
    </row>
    <row r="76" spans="1:35" x14ac:dyDescent="0.25">
      <c r="A76" s="638"/>
      <c r="C76" s="630"/>
      <c r="D76" s="630"/>
      <c r="E76" s="630"/>
      <c r="F76" s="630"/>
      <c r="G76" s="264">
        <f t="shared" si="40"/>
        <v>0</v>
      </c>
      <c r="H76" s="442">
        <f t="shared" si="41"/>
        <v>0</v>
      </c>
      <c r="J76" s="630"/>
      <c r="K76" s="630"/>
      <c r="L76" s="630"/>
      <c r="M76" s="630"/>
      <c r="N76" s="1">
        <f>IF(C76&gt;0,((J76*Setup_and_Criteria!$F$13)+('M1_1-15th'!K76*Setup_and_Criteria!$F$14)+('M1_1-15th'!L76*Setup_and_Criteria!$F$15)+('M1_1-15th'!M76*Setup_and_Criteria!$F$16)+Setup_and_Criteria!$J$16),0)</f>
        <v>0</v>
      </c>
      <c r="O76" s="442">
        <f t="shared" si="46"/>
        <v>0</v>
      </c>
      <c r="P76" s="443">
        <f t="shared" si="42"/>
        <v>0</v>
      </c>
      <c r="Q76" s="357" t="e">
        <f t="shared" si="43"/>
        <v>#DIV/0!</v>
      </c>
      <c r="R76" s="630"/>
      <c r="S76" s="630"/>
      <c r="T76" s="630"/>
      <c r="U76" s="630"/>
      <c r="V76" s="630"/>
      <c r="W76" s="630"/>
      <c r="X76" s="630"/>
      <c r="Y76" s="630"/>
      <c r="Z76" s="630"/>
      <c r="AA76" s="630"/>
      <c r="AB76" s="1">
        <f t="shared" si="44"/>
        <v>0</v>
      </c>
      <c r="AC76" s="357" t="e">
        <f t="shared" si="45"/>
        <v>#DIV/0!</v>
      </c>
      <c r="AD76" s="864"/>
      <c r="AE76" s="865"/>
      <c r="AF76" s="865"/>
      <c r="AG76" s="866"/>
      <c r="AH76" s="866"/>
      <c r="AI76" s="867"/>
    </row>
    <row r="77" spans="1:35" x14ac:dyDescent="0.25">
      <c r="A77" s="638"/>
      <c r="C77" s="630"/>
      <c r="D77" s="630"/>
      <c r="E77" s="630"/>
      <c r="F77" s="630"/>
      <c r="G77" s="264">
        <f t="shared" si="40"/>
        <v>0</v>
      </c>
      <c r="H77" s="442">
        <f t="shared" si="41"/>
        <v>0</v>
      </c>
      <c r="J77" s="630"/>
      <c r="K77" s="630"/>
      <c r="L77" s="630"/>
      <c r="M77" s="630"/>
      <c r="N77" s="1">
        <f>IF(C77&gt;0,((J77*Setup_and_Criteria!$F$13)+('M1_1-15th'!K77*Setup_and_Criteria!$F$14)+('M1_1-15th'!L77*Setup_and_Criteria!$F$15)+('M1_1-15th'!M77*Setup_and_Criteria!$F$16)+Setup_and_Criteria!$J$16),0)</f>
        <v>0</v>
      </c>
      <c r="O77" s="442">
        <f t="shared" si="46"/>
        <v>0</v>
      </c>
      <c r="P77" s="443">
        <f t="shared" si="42"/>
        <v>0</v>
      </c>
      <c r="Q77" s="357" t="e">
        <f t="shared" si="43"/>
        <v>#DIV/0!</v>
      </c>
      <c r="R77" s="630"/>
      <c r="S77" s="630"/>
      <c r="T77" s="630"/>
      <c r="U77" s="630"/>
      <c r="V77" s="630"/>
      <c r="W77" s="630"/>
      <c r="X77" s="630"/>
      <c r="Y77" s="630"/>
      <c r="Z77" s="630"/>
      <c r="AA77" s="630"/>
      <c r="AB77" s="1">
        <f t="shared" si="44"/>
        <v>0</v>
      </c>
      <c r="AC77" s="357" t="e">
        <f t="shared" si="45"/>
        <v>#DIV/0!</v>
      </c>
      <c r="AD77" s="864"/>
      <c r="AE77" s="865"/>
      <c r="AF77" s="865"/>
      <c r="AG77" s="866"/>
      <c r="AH77" s="866"/>
      <c r="AI77" s="867"/>
    </row>
    <row r="78" spans="1:35" ht="15.75" thickBot="1" x14ac:dyDescent="0.3">
      <c r="A78" s="638"/>
      <c r="C78" s="370"/>
      <c r="D78" s="370"/>
      <c r="E78" s="630"/>
      <c r="F78" s="630"/>
      <c r="G78" s="264">
        <f t="shared" si="40"/>
        <v>0</v>
      </c>
      <c r="H78" s="442">
        <f t="shared" si="41"/>
        <v>0</v>
      </c>
      <c r="J78" s="371"/>
      <c r="K78" s="371"/>
      <c r="L78" s="371"/>
      <c r="M78" s="371"/>
      <c r="N78" s="358">
        <f>IF(C78&gt;0,((J78*Setup_and_Criteria!$F$13)+('M1_1-15th'!K78*Setup_and_Criteria!$F$14)+('M1_1-15th'!L78*Setup_and_Criteria!$F$15)+('M1_1-15th'!M78*Setup_and_Criteria!$F$16)+Setup_and_Criteria!$J$16),0)</f>
        <v>0</v>
      </c>
      <c r="O78" s="359">
        <f t="shared" si="46"/>
        <v>0</v>
      </c>
      <c r="P78" s="383">
        <f t="shared" si="42"/>
        <v>0</v>
      </c>
      <c r="Q78" s="360" t="e">
        <f t="shared" si="43"/>
        <v>#DIV/0!</v>
      </c>
      <c r="R78" s="511"/>
      <c r="S78" s="511"/>
      <c r="T78" s="511"/>
      <c r="U78" s="511"/>
      <c r="V78" s="511"/>
      <c r="W78" s="511"/>
      <c r="X78" s="511"/>
      <c r="Y78" s="511"/>
      <c r="Z78" s="511"/>
      <c r="AA78" s="511"/>
      <c r="AB78" s="1">
        <f t="shared" si="44"/>
        <v>0</v>
      </c>
      <c r="AC78" s="357" t="e">
        <f t="shared" si="45"/>
        <v>#DIV/0!</v>
      </c>
      <c r="AD78" s="864"/>
      <c r="AE78" s="865"/>
      <c r="AF78" s="865"/>
      <c r="AG78" s="866"/>
      <c r="AH78" s="866"/>
      <c r="AI78" s="867"/>
    </row>
    <row r="79" spans="1:35" ht="15.75" thickTop="1" x14ac:dyDescent="0.25">
      <c r="A79" s="58"/>
      <c r="H79" s="442">
        <f>SUM(H73:H78)</f>
        <v>0</v>
      </c>
      <c r="J79" s="1">
        <f>SUM(J73:J78)</f>
        <v>0</v>
      </c>
      <c r="K79" s="1">
        <f>SUM(K73:K78)</f>
        <v>0</v>
      </c>
      <c r="L79" s="1">
        <f>SUM(L73:L78)</f>
        <v>0</v>
      </c>
      <c r="M79" s="1">
        <f>SUM(M73:M78)</f>
        <v>0</v>
      </c>
      <c r="N79" s="1">
        <f>SUM(N73:N78)</f>
        <v>0</v>
      </c>
      <c r="O79" s="1">
        <f t="shared" si="46"/>
        <v>0</v>
      </c>
      <c r="P79" s="443">
        <f t="shared" si="42"/>
        <v>0</v>
      </c>
      <c r="Q79" s="357" t="e">
        <f t="shared" si="43"/>
        <v>#DIV/0!</v>
      </c>
      <c r="R79" s="1">
        <f t="shared" ref="R79:AA79" si="47">SUM(R73:R78)</f>
        <v>0</v>
      </c>
      <c r="S79" s="1">
        <f t="shared" si="47"/>
        <v>0</v>
      </c>
      <c r="T79" s="1">
        <f t="shared" si="47"/>
        <v>0</v>
      </c>
      <c r="U79" s="1">
        <f t="shared" si="47"/>
        <v>0</v>
      </c>
      <c r="V79" s="1">
        <f t="shared" si="47"/>
        <v>0</v>
      </c>
      <c r="W79" s="1">
        <f t="shared" si="47"/>
        <v>0</v>
      </c>
      <c r="X79" s="1">
        <f t="shared" si="47"/>
        <v>0</v>
      </c>
      <c r="Y79" s="1">
        <f t="shared" si="47"/>
        <v>0</v>
      </c>
      <c r="Z79" s="1">
        <f t="shared" si="47"/>
        <v>0</v>
      </c>
      <c r="AA79" s="1">
        <f t="shared" si="47"/>
        <v>0</v>
      </c>
      <c r="AB79" s="1">
        <f t="shared" si="44"/>
        <v>0</v>
      </c>
      <c r="AC79" s="357" t="e">
        <f t="shared" si="45"/>
        <v>#DIV/0!</v>
      </c>
      <c r="AD79" s="877"/>
      <c r="AE79" s="878"/>
      <c r="AF79" s="878"/>
      <c r="AG79" s="749"/>
      <c r="AH79" s="749"/>
      <c r="AI79" s="879"/>
    </row>
    <row r="80" spans="1:35" ht="21" customHeight="1" x14ac:dyDescent="0.35">
      <c r="A80" s="58"/>
      <c r="H80" s="442"/>
      <c r="N80" s="888" t="s">
        <v>145</v>
      </c>
      <c r="O80" s="888"/>
      <c r="P80" s="888"/>
      <c r="Q80" s="888"/>
      <c r="R80" s="431" t="s">
        <v>146</v>
      </c>
      <c r="S80" s="431"/>
      <c r="T80" s="431"/>
      <c r="U80" s="431"/>
      <c r="V80" s="431"/>
      <c r="W80" s="431"/>
      <c r="X80" s="431"/>
      <c r="Y80" s="431"/>
      <c r="Z80" s="431"/>
      <c r="AA80" s="431"/>
      <c r="AB80" s="431"/>
      <c r="AC80" s="431"/>
      <c r="AD80" s="880" t="s">
        <v>132</v>
      </c>
      <c r="AE80" s="881"/>
      <c r="AF80" s="881"/>
      <c r="AG80" s="881"/>
      <c r="AH80" s="881"/>
      <c r="AI80" s="882"/>
    </row>
    <row r="81" spans="1:35" ht="31.5" customHeight="1" x14ac:dyDescent="0.35">
      <c r="A81" s="378" t="s">
        <v>147</v>
      </c>
      <c r="C81" s="885" t="s">
        <v>128</v>
      </c>
      <c r="D81" s="885"/>
      <c r="E81" s="885"/>
      <c r="F81" s="885"/>
      <c r="H81" s="442"/>
      <c r="J81" s="444"/>
      <c r="K81" s="445" t="s">
        <v>35</v>
      </c>
      <c r="L81" s="445" t="s">
        <v>148</v>
      </c>
      <c r="N81" s="446" t="s">
        <v>149</v>
      </c>
      <c r="O81" s="447" t="s">
        <v>150</v>
      </c>
      <c r="P81" s="447" t="s">
        <v>138</v>
      </c>
      <c r="Q81" s="447" t="s">
        <v>151</v>
      </c>
      <c r="R81" s="749" t="s">
        <v>152</v>
      </c>
      <c r="S81" s="749"/>
      <c r="T81" s="883" t="s">
        <v>153</v>
      </c>
      <c r="U81" s="883"/>
      <c r="W81" s="425" t="s">
        <v>154</v>
      </c>
      <c r="X81" s="425"/>
      <c r="Y81" s="425"/>
      <c r="Z81" s="425"/>
      <c r="AA81" s="425"/>
      <c r="AB81" s="425"/>
      <c r="AC81" s="425"/>
      <c r="AD81" s="868" t="s">
        <v>160</v>
      </c>
      <c r="AE81" s="869"/>
      <c r="AF81" s="869"/>
      <c r="AG81" s="869"/>
      <c r="AH81" s="869"/>
      <c r="AI81" s="870"/>
    </row>
    <row r="82" spans="1:35" ht="18" customHeight="1" thickBot="1" x14ac:dyDescent="0.3">
      <c r="A82" s="639"/>
      <c r="B82" s="375"/>
      <c r="C82" s="372"/>
      <c r="D82" s="372"/>
      <c r="E82" s="372"/>
      <c r="F82" s="372"/>
      <c r="G82" s="366">
        <f>+(D82-C82)+(F82-E82)</f>
        <v>0</v>
      </c>
      <c r="H82" s="367">
        <f>+G82*1440</f>
        <v>0</v>
      </c>
      <c r="I82" s="859" t="s">
        <v>155</v>
      </c>
      <c r="J82" s="860"/>
      <c r="K82" s="373"/>
      <c r="L82" s="374"/>
      <c r="M82" s="423"/>
      <c r="N82" s="629">
        <f>+J79+L79+K79+K82+L82</f>
        <v>0</v>
      </c>
      <c r="O82" s="368">
        <f>+(Setup_and_Criteria!$K$31+(J79*Setup_and_Criteria!$F$20)+('M1_1-15th'!K79*Setup_and_Criteria!$F$21)+('M1_1-15th'!L79*Setup_and_Criteria!$F$20))+T82+(K82*Setup_and_Criteria!$F$21)+(Setup_and_Criteria!$F$22*'M1_1-15th'!L82)</f>
        <v>75</v>
      </c>
      <c r="P82" s="367">
        <f>+H82</f>
        <v>0</v>
      </c>
      <c r="Q82" s="367">
        <f>+O82-P82</f>
        <v>75</v>
      </c>
      <c r="R82" s="861" t="s">
        <v>252</v>
      </c>
      <c r="S82" s="861"/>
      <c r="T82" s="862"/>
      <c r="U82" s="863"/>
      <c r="V82" s="265" t="s">
        <v>156</v>
      </c>
      <c r="W82" s="854"/>
      <c r="X82" s="855"/>
      <c r="Y82" s="855"/>
      <c r="Z82" s="855"/>
      <c r="AA82" s="855"/>
      <c r="AB82" s="855"/>
      <c r="AC82" s="855"/>
      <c r="AD82" s="868"/>
      <c r="AE82" s="869"/>
      <c r="AF82" s="869"/>
      <c r="AG82" s="869"/>
      <c r="AH82" s="869"/>
      <c r="AI82" s="870"/>
    </row>
    <row r="83" spans="1:35" ht="15.75" thickBot="1" x14ac:dyDescent="0.3">
      <c r="A83" s="449" t="str">
        <f>+A70</f>
        <v>Password to enter data = "Enter Info"</v>
      </c>
      <c r="B83" s="450"/>
      <c r="C83" s="451"/>
      <c r="D83" s="451"/>
      <c r="E83" s="451"/>
      <c r="F83" s="451"/>
      <c r="G83" s="451"/>
      <c r="H83" s="451"/>
      <c r="I83" s="450"/>
      <c r="J83" s="451"/>
      <c r="K83" s="451"/>
      <c r="L83" s="451"/>
      <c r="M83" s="451"/>
      <c r="N83" s="451"/>
      <c r="O83" s="451"/>
      <c r="P83" s="451"/>
      <c r="Q83" s="450"/>
      <c r="R83" s="451"/>
      <c r="S83" s="451"/>
      <c r="T83" s="451"/>
      <c r="U83" s="451"/>
      <c r="V83" s="451"/>
      <c r="W83" s="451"/>
      <c r="X83" s="451"/>
      <c r="Y83" s="451"/>
      <c r="Z83" s="451"/>
      <c r="AA83" s="451"/>
      <c r="AB83" s="450"/>
      <c r="AC83" s="450"/>
      <c r="AD83" s="871"/>
      <c r="AE83" s="872"/>
      <c r="AF83" s="872"/>
      <c r="AG83" s="872"/>
      <c r="AH83" s="872"/>
      <c r="AI83" s="873"/>
    </row>
    <row r="84" spans="1:35" ht="35.25" customHeight="1" x14ac:dyDescent="0.4">
      <c r="A84" s="434" t="str">
        <f>+A71</f>
        <v>June</v>
      </c>
      <c r="B84" s="624">
        <f>+B71+1</f>
        <v>22</v>
      </c>
      <c r="C84" s="884" t="s">
        <v>128</v>
      </c>
      <c r="D84" s="884"/>
      <c r="E84" s="884"/>
      <c r="F84" s="884"/>
      <c r="G84" s="377"/>
      <c r="H84" s="377"/>
      <c r="I84" s="21"/>
      <c r="J84" s="874" t="s">
        <v>129</v>
      </c>
      <c r="K84" s="875"/>
      <c r="L84" s="875"/>
      <c r="M84" s="875"/>
      <c r="N84" s="876" t="s">
        <v>130</v>
      </c>
      <c r="O84" s="876"/>
      <c r="P84" s="876"/>
      <c r="Q84" s="876"/>
      <c r="R84" s="424" t="str">
        <f>+R71</f>
        <v xml:space="preserve"> Corrections Tracking - Check out rooms</v>
      </c>
      <c r="S84" s="424"/>
      <c r="T84" s="424"/>
      <c r="U84" s="424"/>
      <c r="V84" s="424"/>
      <c r="W84" s="424"/>
      <c r="X84" s="424"/>
      <c r="Y84" s="424"/>
      <c r="Z84" s="424"/>
      <c r="AA84" s="424"/>
      <c r="AB84" s="424"/>
      <c r="AC84" s="424"/>
      <c r="AD84" s="461" t="s">
        <v>132</v>
      </c>
      <c r="AE84" s="426"/>
      <c r="AF84" s="426"/>
      <c r="AG84" s="426"/>
      <c r="AH84" s="426"/>
      <c r="AI84" s="427"/>
    </row>
    <row r="85" spans="1:35" ht="59.25" customHeight="1" x14ac:dyDescent="0.25">
      <c r="A85" s="378" t="s">
        <v>133</v>
      </c>
      <c r="C85" s="435" t="s">
        <v>134</v>
      </c>
      <c r="D85" s="435" t="s">
        <v>135</v>
      </c>
      <c r="E85" s="435" t="s">
        <v>134</v>
      </c>
      <c r="F85" s="435" t="s">
        <v>135</v>
      </c>
      <c r="G85" s="1" t="s">
        <v>136</v>
      </c>
      <c r="H85" s="1" t="s">
        <v>108</v>
      </c>
      <c r="I85" s="436"/>
      <c r="J85" s="437" t="str">
        <f>+Setup_and_Criteria!$B$13</f>
        <v>Checkouts</v>
      </c>
      <c r="K85" s="437" t="str">
        <f>+Setup_and_Criteria!$B$14</f>
        <v>Pet Rooms</v>
      </c>
      <c r="L85" s="437" t="str">
        <f>+Setup_and_Criteria!$B$15</f>
        <v>2 Rm &amp; Jac Stes</v>
      </c>
      <c r="M85" s="438" t="str">
        <f>+Setup_and_Criteria!$B$16</f>
        <v>Stayovers</v>
      </c>
      <c r="N85" s="269" t="s">
        <v>137</v>
      </c>
      <c r="O85" s="269" t="s">
        <v>138</v>
      </c>
      <c r="P85" s="439" t="s">
        <v>139</v>
      </c>
      <c r="Q85" s="439" t="s">
        <v>140</v>
      </c>
      <c r="R85" s="440" t="str">
        <f>+Corrections!$C$8</f>
        <v>Vanity</v>
      </c>
      <c r="S85" s="440" t="str">
        <f>+Corrections!$I$8</f>
        <v>Toilet</v>
      </c>
      <c r="T85" s="440" t="str">
        <f>+Corrections!$O$8</f>
        <v>Bed/Pillows</v>
      </c>
      <c r="U85" s="440" t="str">
        <f>+Corrections!$U$8</f>
        <v>Floor</v>
      </c>
      <c r="V85" s="440" t="str">
        <f>+Corrections!$AA$8</f>
        <v>Dusting</v>
      </c>
      <c r="W85" s="440" t="str">
        <f>+Corrections!$AG$8</f>
        <v>Fridge/Micro</v>
      </c>
      <c r="X85" s="440" t="str">
        <f>+Corrections!$AM$8</f>
        <v>Tub</v>
      </c>
      <c r="Y85" s="441" t="str">
        <f>+Corrections!$AS$8</f>
        <v>Mirrors/Glass</v>
      </c>
      <c r="Z85" s="440" t="str">
        <f>+Corrections!$AY$8</f>
        <v>Stocking</v>
      </c>
      <c r="AA85" s="440" t="str">
        <f>+Corrections!$BE$8</f>
        <v>Other</v>
      </c>
      <c r="AB85" s="269" t="s">
        <v>141</v>
      </c>
      <c r="AC85" s="269" t="str">
        <f>+$AC$7</f>
        <v>Daily Corr / Inspected Checkout</v>
      </c>
      <c r="AD85" s="889" t="s">
        <v>143</v>
      </c>
      <c r="AE85" s="890"/>
      <c r="AF85" s="890"/>
      <c r="AG85" s="890"/>
      <c r="AH85" s="890"/>
      <c r="AI85" s="891"/>
    </row>
    <row r="86" spans="1:35" x14ac:dyDescent="0.25">
      <c r="A86" s="638"/>
      <c r="C86" s="369"/>
      <c r="D86" s="369"/>
      <c r="E86" s="369"/>
      <c r="F86" s="369"/>
      <c r="G86" s="264">
        <f t="shared" ref="G86:G91" si="48">+(D86-C86)+(F86-E86)</f>
        <v>0</v>
      </c>
      <c r="H86" s="442">
        <f t="shared" ref="H86:H91" si="49">+G86*1440</f>
        <v>0</v>
      </c>
      <c r="J86" s="630"/>
      <c r="K86" s="630"/>
      <c r="L86" s="630"/>
      <c r="M86" s="630"/>
      <c r="N86" s="1">
        <f>IF(C86&gt;0,((J86*Setup_and_Criteria!$F$13)+('M1_1-15th'!K86*Setup_and_Criteria!$F$14)+('M1_1-15th'!L86*Setup_and_Criteria!$F$15)+('M1_1-15th'!M86*Setup_and_Criteria!$F$16)+Setup_and_Criteria!$J$16),0)</f>
        <v>0</v>
      </c>
      <c r="O86" s="442">
        <f>+H86</f>
        <v>0</v>
      </c>
      <c r="P86" s="443">
        <f t="shared" ref="P86:P92" si="50">+N86-O86</f>
        <v>0</v>
      </c>
      <c r="Q86" s="357" t="e">
        <f t="shared" ref="Q86:Q92" si="51">O86/_xlfn.SINGLE(SUM(J86:M86))</f>
        <v>#DIV/0!</v>
      </c>
      <c r="R86" s="630"/>
      <c r="S86" s="630"/>
      <c r="T86" s="630"/>
      <c r="U86" s="630"/>
      <c r="V86" s="630"/>
      <c r="W86" s="630"/>
      <c r="X86" s="630"/>
      <c r="Y86" s="630"/>
      <c r="Z86" s="630"/>
      <c r="AA86" s="630"/>
      <c r="AB86" s="1">
        <f t="shared" ref="AB86:AB92" si="52">SUM(R86:AA86)</f>
        <v>0</v>
      </c>
      <c r="AC86" s="357" t="e">
        <f t="shared" ref="AC86:AC92" si="53">+AB86/(J86+K86+L86)</f>
        <v>#DIV/0!</v>
      </c>
      <c r="AD86" s="864" t="s">
        <v>144</v>
      </c>
      <c r="AE86" s="865"/>
      <c r="AF86" s="865"/>
      <c r="AG86" s="866"/>
      <c r="AH86" s="866"/>
      <c r="AI86" s="867"/>
    </row>
    <row r="87" spans="1:35" x14ac:dyDescent="0.25">
      <c r="A87" s="638"/>
      <c r="C87" s="630"/>
      <c r="D87" s="630"/>
      <c r="E87" s="630"/>
      <c r="F87" s="630"/>
      <c r="G87" s="264">
        <f t="shared" si="48"/>
        <v>0</v>
      </c>
      <c r="H87" s="442">
        <f t="shared" si="49"/>
        <v>0</v>
      </c>
      <c r="J87" s="630"/>
      <c r="K87" s="630"/>
      <c r="L87" s="630"/>
      <c r="M87" s="630"/>
      <c r="N87" s="1">
        <f>IF(C87&gt;0,((J87*Setup_and_Criteria!$F$13)+('M1_1-15th'!K87*Setup_and_Criteria!$F$14)+('M1_1-15th'!L87*Setup_and_Criteria!$F$15)+('M1_1-15th'!M87*Setup_and_Criteria!$F$16)+Setup_and_Criteria!$J$16),0)</f>
        <v>0</v>
      </c>
      <c r="O87" s="442">
        <f t="shared" ref="O87:O92" si="54">+H87</f>
        <v>0</v>
      </c>
      <c r="P87" s="443">
        <f t="shared" si="50"/>
        <v>0</v>
      </c>
      <c r="Q87" s="357" t="e">
        <f t="shared" si="51"/>
        <v>#DIV/0!</v>
      </c>
      <c r="R87" s="630"/>
      <c r="S87" s="630"/>
      <c r="T87" s="630"/>
      <c r="U87" s="630"/>
      <c r="V87" s="630"/>
      <c r="W87" s="630"/>
      <c r="X87" s="630"/>
      <c r="Y87" s="630"/>
      <c r="Z87" s="630"/>
      <c r="AA87" s="630"/>
      <c r="AB87" s="1">
        <f t="shared" si="52"/>
        <v>0</v>
      </c>
      <c r="AC87" s="357" t="e">
        <f t="shared" si="53"/>
        <v>#DIV/0!</v>
      </c>
      <c r="AD87" s="864"/>
      <c r="AE87" s="865"/>
      <c r="AF87" s="865"/>
      <c r="AG87" s="866"/>
      <c r="AH87" s="866"/>
      <c r="AI87" s="867"/>
    </row>
    <row r="88" spans="1:35" x14ac:dyDescent="0.25">
      <c r="A88" s="638"/>
      <c r="C88" s="630"/>
      <c r="D88" s="630"/>
      <c r="E88" s="630"/>
      <c r="F88" s="630"/>
      <c r="G88" s="264">
        <f t="shared" si="48"/>
        <v>0</v>
      </c>
      <c r="H88" s="442">
        <f t="shared" si="49"/>
        <v>0</v>
      </c>
      <c r="J88" s="630"/>
      <c r="K88" s="630"/>
      <c r="L88" s="630"/>
      <c r="M88" s="630"/>
      <c r="N88" s="1">
        <f>IF(C88&gt;0,((J88*Setup_and_Criteria!$F$13)+('M1_1-15th'!K88*Setup_and_Criteria!$F$14)+('M1_1-15th'!L88*Setup_and_Criteria!$F$15)+('M1_1-15th'!M88*Setup_and_Criteria!$F$16)+Setup_and_Criteria!$J$16),0)</f>
        <v>0</v>
      </c>
      <c r="O88" s="442">
        <f t="shared" si="54"/>
        <v>0</v>
      </c>
      <c r="P88" s="443">
        <f t="shared" si="50"/>
        <v>0</v>
      </c>
      <c r="Q88" s="357" t="e">
        <f t="shared" si="51"/>
        <v>#DIV/0!</v>
      </c>
      <c r="R88" s="630"/>
      <c r="S88" s="630"/>
      <c r="T88" s="630"/>
      <c r="U88" s="630"/>
      <c r="V88" s="630"/>
      <c r="W88" s="630"/>
      <c r="X88" s="630"/>
      <c r="Y88" s="630"/>
      <c r="Z88" s="630"/>
      <c r="AA88" s="630"/>
      <c r="AB88" s="1">
        <f t="shared" si="52"/>
        <v>0</v>
      </c>
      <c r="AC88" s="357" t="e">
        <f t="shared" si="53"/>
        <v>#DIV/0!</v>
      </c>
      <c r="AD88" s="864"/>
      <c r="AE88" s="865"/>
      <c r="AF88" s="865"/>
      <c r="AG88" s="866"/>
      <c r="AH88" s="866"/>
      <c r="AI88" s="867"/>
    </row>
    <row r="89" spans="1:35" x14ac:dyDescent="0.25">
      <c r="A89" s="638"/>
      <c r="C89" s="630"/>
      <c r="D89" s="630"/>
      <c r="E89" s="630"/>
      <c r="F89" s="630"/>
      <c r="G89" s="264">
        <f t="shared" si="48"/>
        <v>0</v>
      </c>
      <c r="H89" s="442">
        <f t="shared" si="49"/>
        <v>0</v>
      </c>
      <c r="J89" s="630"/>
      <c r="K89" s="630"/>
      <c r="L89" s="630"/>
      <c r="M89" s="630"/>
      <c r="N89" s="1">
        <f>IF(C89&gt;0,((J89*Setup_and_Criteria!$F$13)+('M1_1-15th'!K89*Setup_and_Criteria!$F$14)+('M1_1-15th'!L89*Setup_and_Criteria!$F$15)+('M1_1-15th'!M89*Setup_and_Criteria!$F$16)+Setup_and_Criteria!$J$16),0)</f>
        <v>0</v>
      </c>
      <c r="O89" s="442">
        <f t="shared" si="54"/>
        <v>0</v>
      </c>
      <c r="P89" s="443">
        <f t="shared" si="50"/>
        <v>0</v>
      </c>
      <c r="Q89" s="357" t="e">
        <f t="shared" si="51"/>
        <v>#DIV/0!</v>
      </c>
      <c r="R89" s="630"/>
      <c r="S89" s="630"/>
      <c r="T89" s="630"/>
      <c r="U89" s="630"/>
      <c r="V89" s="630"/>
      <c r="W89" s="630"/>
      <c r="X89" s="630"/>
      <c r="Y89" s="630"/>
      <c r="Z89" s="630"/>
      <c r="AA89" s="630"/>
      <c r="AB89" s="1">
        <f t="shared" si="52"/>
        <v>0</v>
      </c>
      <c r="AC89" s="357" t="e">
        <f t="shared" si="53"/>
        <v>#DIV/0!</v>
      </c>
      <c r="AD89" s="864"/>
      <c r="AE89" s="865"/>
      <c r="AF89" s="865"/>
      <c r="AG89" s="866"/>
      <c r="AH89" s="866"/>
      <c r="AI89" s="867"/>
    </row>
    <row r="90" spans="1:35" x14ac:dyDescent="0.25">
      <c r="A90" s="638"/>
      <c r="C90" s="630"/>
      <c r="D90" s="630"/>
      <c r="E90" s="630"/>
      <c r="F90" s="630"/>
      <c r="G90" s="264">
        <f t="shared" si="48"/>
        <v>0</v>
      </c>
      <c r="H90" s="442">
        <f t="shared" si="49"/>
        <v>0</v>
      </c>
      <c r="J90" s="630"/>
      <c r="K90" s="630"/>
      <c r="L90" s="630"/>
      <c r="M90" s="630"/>
      <c r="N90" s="1">
        <f>IF(C90&gt;0,((J90*Setup_and_Criteria!$F$13)+('M1_1-15th'!K90*Setup_and_Criteria!$F$14)+('M1_1-15th'!L90*Setup_and_Criteria!$F$15)+('M1_1-15th'!M90*Setup_and_Criteria!$F$16)+Setup_and_Criteria!$J$16),0)</f>
        <v>0</v>
      </c>
      <c r="O90" s="442">
        <f t="shared" si="54"/>
        <v>0</v>
      </c>
      <c r="P90" s="443">
        <f t="shared" si="50"/>
        <v>0</v>
      </c>
      <c r="Q90" s="357" t="e">
        <f t="shared" si="51"/>
        <v>#DIV/0!</v>
      </c>
      <c r="R90" s="630"/>
      <c r="S90" s="630"/>
      <c r="T90" s="630"/>
      <c r="U90" s="630"/>
      <c r="V90" s="630"/>
      <c r="W90" s="630"/>
      <c r="X90" s="630"/>
      <c r="Y90" s="630"/>
      <c r="Z90" s="630"/>
      <c r="AA90" s="630"/>
      <c r="AB90" s="1">
        <f t="shared" si="52"/>
        <v>0</v>
      </c>
      <c r="AC90" s="357" t="e">
        <f t="shared" si="53"/>
        <v>#DIV/0!</v>
      </c>
      <c r="AD90" s="864"/>
      <c r="AE90" s="865"/>
      <c r="AF90" s="865"/>
      <c r="AG90" s="866"/>
      <c r="AH90" s="866"/>
      <c r="AI90" s="867"/>
    </row>
    <row r="91" spans="1:35" ht="15.75" thickBot="1" x14ac:dyDescent="0.3">
      <c r="A91" s="638"/>
      <c r="C91" s="370"/>
      <c r="D91" s="370"/>
      <c r="E91" s="630"/>
      <c r="F91" s="630"/>
      <c r="G91" s="264">
        <f t="shared" si="48"/>
        <v>0</v>
      </c>
      <c r="H91" s="442">
        <f t="shared" si="49"/>
        <v>0</v>
      </c>
      <c r="J91" s="371"/>
      <c r="K91" s="371"/>
      <c r="L91" s="371"/>
      <c r="M91" s="371"/>
      <c r="N91" s="358">
        <f>IF(C91&gt;0,((J91*Setup_and_Criteria!$F$13)+('M1_1-15th'!K91*Setup_and_Criteria!$F$14)+('M1_1-15th'!L91*Setup_and_Criteria!$F$15)+('M1_1-15th'!M91*Setup_and_Criteria!$F$16)+Setup_and_Criteria!$J$16),0)</f>
        <v>0</v>
      </c>
      <c r="O91" s="359">
        <f t="shared" si="54"/>
        <v>0</v>
      </c>
      <c r="P91" s="383">
        <f t="shared" si="50"/>
        <v>0</v>
      </c>
      <c r="Q91" s="360" t="e">
        <f t="shared" si="51"/>
        <v>#DIV/0!</v>
      </c>
      <c r="R91" s="511"/>
      <c r="S91" s="511"/>
      <c r="T91" s="511"/>
      <c r="U91" s="511"/>
      <c r="V91" s="511"/>
      <c r="W91" s="511"/>
      <c r="X91" s="511"/>
      <c r="Y91" s="511"/>
      <c r="Z91" s="511"/>
      <c r="AA91" s="511"/>
      <c r="AB91" s="1">
        <f t="shared" si="52"/>
        <v>0</v>
      </c>
      <c r="AC91" s="357" t="e">
        <f t="shared" si="53"/>
        <v>#DIV/0!</v>
      </c>
      <c r="AD91" s="864"/>
      <c r="AE91" s="865"/>
      <c r="AF91" s="865"/>
      <c r="AG91" s="866"/>
      <c r="AH91" s="866"/>
      <c r="AI91" s="867"/>
    </row>
    <row r="92" spans="1:35" ht="15.75" thickTop="1" x14ac:dyDescent="0.25">
      <c r="A92" s="58"/>
      <c r="H92" s="442">
        <f>SUM(H86:H91)</f>
        <v>0</v>
      </c>
      <c r="J92" s="1">
        <f>SUM(J86:J91)</f>
        <v>0</v>
      </c>
      <c r="K92" s="1">
        <f>SUM(K86:K91)</f>
        <v>0</v>
      </c>
      <c r="L92" s="1">
        <f>SUM(L86:L91)</f>
        <v>0</v>
      </c>
      <c r="M92" s="1">
        <f>SUM(M86:M91)</f>
        <v>0</v>
      </c>
      <c r="N92" s="1">
        <f>SUM(N86:N91)</f>
        <v>0</v>
      </c>
      <c r="O92" s="1">
        <f t="shared" si="54"/>
        <v>0</v>
      </c>
      <c r="P92" s="443">
        <f t="shared" si="50"/>
        <v>0</v>
      </c>
      <c r="Q92" s="357" t="e">
        <f t="shared" si="51"/>
        <v>#DIV/0!</v>
      </c>
      <c r="R92" s="1">
        <f t="shared" ref="R92:AA92" si="55">SUM(R86:R91)</f>
        <v>0</v>
      </c>
      <c r="S92" s="1">
        <f t="shared" si="55"/>
        <v>0</v>
      </c>
      <c r="T92" s="1">
        <f t="shared" si="55"/>
        <v>0</v>
      </c>
      <c r="U92" s="1">
        <f t="shared" si="55"/>
        <v>0</v>
      </c>
      <c r="V92" s="1">
        <f t="shared" si="55"/>
        <v>0</v>
      </c>
      <c r="W92" s="1">
        <f t="shared" si="55"/>
        <v>0</v>
      </c>
      <c r="X92" s="1">
        <f t="shared" si="55"/>
        <v>0</v>
      </c>
      <c r="Y92" s="1">
        <f t="shared" si="55"/>
        <v>0</v>
      </c>
      <c r="Z92" s="1">
        <f t="shared" si="55"/>
        <v>0</v>
      </c>
      <c r="AA92" s="1">
        <f t="shared" si="55"/>
        <v>0</v>
      </c>
      <c r="AB92" s="1">
        <f t="shared" si="52"/>
        <v>0</v>
      </c>
      <c r="AC92" s="357" t="e">
        <f t="shared" si="53"/>
        <v>#DIV/0!</v>
      </c>
      <c r="AD92" s="877"/>
      <c r="AE92" s="878"/>
      <c r="AF92" s="878"/>
      <c r="AG92" s="749"/>
      <c r="AH92" s="749"/>
      <c r="AI92" s="879"/>
    </row>
    <row r="93" spans="1:35" ht="21" customHeight="1" x14ac:dyDescent="0.35">
      <c r="A93" s="58"/>
      <c r="H93" s="442"/>
      <c r="N93" s="888" t="s">
        <v>145</v>
      </c>
      <c r="O93" s="888"/>
      <c r="P93" s="888"/>
      <c r="Q93" s="888"/>
      <c r="R93" s="431" t="s">
        <v>146</v>
      </c>
      <c r="S93" s="431"/>
      <c r="T93" s="431"/>
      <c r="U93" s="431"/>
      <c r="V93" s="431"/>
      <c r="W93" s="431"/>
      <c r="X93" s="431"/>
      <c r="Y93" s="431"/>
      <c r="Z93" s="431"/>
      <c r="AA93" s="431"/>
      <c r="AB93" s="431"/>
      <c r="AC93" s="431"/>
      <c r="AD93" s="880" t="s">
        <v>132</v>
      </c>
      <c r="AE93" s="881"/>
      <c r="AF93" s="881"/>
      <c r="AG93" s="881"/>
      <c r="AH93" s="881"/>
      <c r="AI93" s="882"/>
    </row>
    <row r="94" spans="1:35" ht="31.5" customHeight="1" x14ac:dyDescent="0.35">
      <c r="A94" s="378" t="s">
        <v>147</v>
      </c>
      <c r="C94" s="885" t="s">
        <v>128</v>
      </c>
      <c r="D94" s="885"/>
      <c r="E94" s="885"/>
      <c r="F94" s="885"/>
      <c r="H94" s="442"/>
      <c r="J94" s="444"/>
      <c r="K94" s="445" t="s">
        <v>35</v>
      </c>
      <c r="L94" s="445" t="s">
        <v>148</v>
      </c>
      <c r="N94" s="446" t="s">
        <v>149</v>
      </c>
      <c r="O94" s="447" t="s">
        <v>150</v>
      </c>
      <c r="P94" s="447" t="s">
        <v>138</v>
      </c>
      <c r="Q94" s="447" t="s">
        <v>151</v>
      </c>
      <c r="R94" s="749" t="s">
        <v>152</v>
      </c>
      <c r="S94" s="749"/>
      <c r="T94" s="883" t="s">
        <v>153</v>
      </c>
      <c r="U94" s="883"/>
      <c r="W94" s="425" t="s">
        <v>154</v>
      </c>
      <c r="X94" s="425"/>
      <c r="Y94" s="425"/>
      <c r="Z94" s="425"/>
      <c r="AA94" s="425"/>
      <c r="AB94" s="425"/>
      <c r="AC94" s="425"/>
      <c r="AD94" s="868" t="s">
        <v>160</v>
      </c>
      <c r="AE94" s="869"/>
      <c r="AF94" s="869"/>
      <c r="AG94" s="869"/>
      <c r="AH94" s="869"/>
      <c r="AI94" s="870"/>
    </row>
    <row r="95" spans="1:35" ht="18" customHeight="1" thickBot="1" x14ac:dyDescent="0.3">
      <c r="A95" s="639"/>
      <c r="B95" s="375"/>
      <c r="C95" s="372"/>
      <c r="D95" s="372"/>
      <c r="E95" s="372"/>
      <c r="F95" s="372"/>
      <c r="G95" s="366">
        <f>+(D95-C95)+(F95-E95)</f>
        <v>0</v>
      </c>
      <c r="H95" s="367">
        <f>+G95*1440</f>
        <v>0</v>
      </c>
      <c r="I95" s="859" t="s">
        <v>155</v>
      </c>
      <c r="J95" s="860"/>
      <c r="K95" s="373"/>
      <c r="L95" s="374"/>
      <c r="M95" s="423"/>
      <c r="N95" s="629">
        <f>+J92+L92+K92+K95+L95</f>
        <v>0</v>
      </c>
      <c r="O95" s="368">
        <f>+(Setup_and_Criteria!$K$31+(J92*Setup_and_Criteria!$F$20)+('M1_1-15th'!K92*Setup_and_Criteria!$F$21)+('M1_1-15th'!L92*Setup_and_Criteria!$F$20))+T95+(K95*Setup_and_Criteria!$F$21)+(Setup_and_Criteria!$F$22*'M1_1-15th'!L95)</f>
        <v>75</v>
      </c>
      <c r="P95" s="367">
        <f>+H95</f>
        <v>0</v>
      </c>
      <c r="Q95" s="367">
        <f>+O95-P95</f>
        <v>75</v>
      </c>
      <c r="R95" s="861" t="s">
        <v>252</v>
      </c>
      <c r="S95" s="861"/>
      <c r="T95" s="862"/>
      <c r="U95" s="863"/>
      <c r="V95" s="265" t="s">
        <v>156</v>
      </c>
      <c r="W95" s="854"/>
      <c r="X95" s="855"/>
      <c r="Y95" s="855"/>
      <c r="Z95" s="855"/>
      <c r="AA95" s="855"/>
      <c r="AB95" s="855"/>
      <c r="AC95" s="855"/>
      <c r="AD95" s="868"/>
      <c r="AE95" s="869"/>
      <c r="AF95" s="869"/>
      <c r="AG95" s="869"/>
      <c r="AH95" s="869"/>
      <c r="AI95" s="870"/>
    </row>
    <row r="96" spans="1:35" ht="15.75" thickBot="1" x14ac:dyDescent="0.3">
      <c r="A96" s="449" t="str">
        <f>+A83</f>
        <v>Password to enter data = "Enter Info"</v>
      </c>
      <c r="B96" s="450"/>
      <c r="C96" s="451"/>
      <c r="D96" s="451"/>
      <c r="E96" s="451"/>
      <c r="F96" s="451"/>
      <c r="G96" s="451"/>
      <c r="H96" s="451"/>
      <c r="I96" s="450"/>
      <c r="J96" s="451"/>
      <c r="K96" s="451"/>
      <c r="L96" s="451"/>
      <c r="M96" s="451"/>
      <c r="N96" s="451"/>
      <c r="O96" s="451"/>
      <c r="P96" s="451"/>
      <c r="Q96" s="450"/>
      <c r="R96" s="451"/>
      <c r="S96" s="451"/>
      <c r="T96" s="451"/>
      <c r="U96" s="451"/>
      <c r="V96" s="451"/>
      <c r="W96" s="451"/>
      <c r="X96" s="451"/>
      <c r="Y96" s="451"/>
      <c r="Z96" s="451"/>
      <c r="AA96" s="451"/>
      <c r="AB96" s="450"/>
      <c r="AC96" s="450"/>
      <c r="AD96" s="871"/>
      <c r="AE96" s="872"/>
      <c r="AF96" s="872"/>
      <c r="AG96" s="872"/>
      <c r="AH96" s="872"/>
      <c r="AI96" s="873"/>
    </row>
    <row r="97" spans="1:35" ht="35.25" customHeight="1" x14ac:dyDescent="0.4">
      <c r="A97" s="434" t="str">
        <f>+A84</f>
        <v>June</v>
      </c>
      <c r="B97" s="624">
        <f>+B84+1</f>
        <v>23</v>
      </c>
      <c r="C97" s="884" t="s">
        <v>128</v>
      </c>
      <c r="D97" s="884"/>
      <c r="E97" s="884"/>
      <c r="F97" s="884"/>
      <c r="G97" s="377"/>
      <c r="H97" s="377"/>
      <c r="I97" s="21"/>
      <c r="J97" s="874" t="s">
        <v>129</v>
      </c>
      <c r="K97" s="875"/>
      <c r="L97" s="875"/>
      <c r="M97" s="875"/>
      <c r="N97" s="876" t="s">
        <v>130</v>
      </c>
      <c r="O97" s="876"/>
      <c r="P97" s="876"/>
      <c r="Q97" s="876"/>
      <c r="R97" s="424" t="str">
        <f>+R84</f>
        <v xml:space="preserve"> Corrections Tracking - Check out rooms</v>
      </c>
      <c r="S97" s="424"/>
      <c r="T97" s="424"/>
      <c r="U97" s="424"/>
      <c r="V97" s="424"/>
      <c r="W97" s="424"/>
      <c r="X97" s="424"/>
      <c r="Y97" s="424"/>
      <c r="Z97" s="424"/>
      <c r="AA97" s="424"/>
      <c r="AB97" s="424"/>
      <c r="AC97" s="424"/>
      <c r="AD97" s="461" t="s">
        <v>132</v>
      </c>
      <c r="AE97" s="426"/>
      <c r="AF97" s="426"/>
      <c r="AG97" s="426"/>
      <c r="AH97" s="426"/>
      <c r="AI97" s="427"/>
    </row>
    <row r="98" spans="1:35" ht="59.25" customHeight="1" x14ac:dyDescent="0.25">
      <c r="A98" s="378" t="s">
        <v>133</v>
      </c>
      <c r="C98" s="435" t="s">
        <v>134</v>
      </c>
      <c r="D98" s="435" t="s">
        <v>135</v>
      </c>
      <c r="E98" s="435" t="s">
        <v>134</v>
      </c>
      <c r="F98" s="435" t="s">
        <v>135</v>
      </c>
      <c r="G98" s="1" t="s">
        <v>136</v>
      </c>
      <c r="H98" s="1" t="s">
        <v>108</v>
      </c>
      <c r="I98" s="436"/>
      <c r="J98" s="437" t="str">
        <f>+Setup_and_Criteria!$B$13</f>
        <v>Checkouts</v>
      </c>
      <c r="K98" s="437" t="str">
        <f>+Setup_and_Criteria!$B$14</f>
        <v>Pet Rooms</v>
      </c>
      <c r="L98" s="437" t="str">
        <f>+Setup_and_Criteria!$B$15</f>
        <v>2 Rm &amp; Jac Stes</v>
      </c>
      <c r="M98" s="438" t="str">
        <f>+Setup_and_Criteria!$B$16</f>
        <v>Stayovers</v>
      </c>
      <c r="N98" s="269" t="s">
        <v>137</v>
      </c>
      <c r="O98" s="269" t="s">
        <v>138</v>
      </c>
      <c r="P98" s="439" t="s">
        <v>139</v>
      </c>
      <c r="Q98" s="439" t="s">
        <v>140</v>
      </c>
      <c r="R98" s="440" t="str">
        <f>+Corrections!$C$8</f>
        <v>Vanity</v>
      </c>
      <c r="S98" s="440" t="str">
        <f>+Corrections!$I$8</f>
        <v>Toilet</v>
      </c>
      <c r="T98" s="440" t="str">
        <f>+Corrections!$O$8</f>
        <v>Bed/Pillows</v>
      </c>
      <c r="U98" s="440" t="str">
        <f>+Corrections!$U$8</f>
        <v>Floor</v>
      </c>
      <c r="V98" s="440" t="str">
        <f>+Corrections!$AA$8</f>
        <v>Dusting</v>
      </c>
      <c r="W98" s="440" t="str">
        <f>+Corrections!$AG$8</f>
        <v>Fridge/Micro</v>
      </c>
      <c r="X98" s="440" t="str">
        <f>+Corrections!$AM$8</f>
        <v>Tub</v>
      </c>
      <c r="Y98" s="441" t="str">
        <f>+Corrections!$AS$8</f>
        <v>Mirrors/Glass</v>
      </c>
      <c r="Z98" s="440" t="str">
        <f>+Corrections!$AY$8</f>
        <v>Stocking</v>
      </c>
      <c r="AA98" s="440" t="str">
        <f>+Corrections!$BE$8</f>
        <v>Other</v>
      </c>
      <c r="AB98" s="269" t="s">
        <v>141</v>
      </c>
      <c r="AC98" s="269" t="str">
        <f>+$AC$7</f>
        <v>Daily Corr / Inspected Checkout</v>
      </c>
      <c r="AD98" s="889" t="s">
        <v>143</v>
      </c>
      <c r="AE98" s="890"/>
      <c r="AF98" s="890"/>
      <c r="AG98" s="890"/>
      <c r="AH98" s="890"/>
      <c r="AI98" s="891"/>
    </row>
    <row r="99" spans="1:35" x14ac:dyDescent="0.25">
      <c r="A99" s="638"/>
      <c r="C99" s="369"/>
      <c r="D99" s="369"/>
      <c r="E99" s="369"/>
      <c r="F99" s="369"/>
      <c r="G99" s="264">
        <f t="shared" ref="G99:G104" si="56">+(D99-C99)+(F99-E99)</f>
        <v>0</v>
      </c>
      <c r="H99" s="442">
        <f t="shared" ref="H99:H104" si="57">+G99*1440</f>
        <v>0</v>
      </c>
      <c r="J99" s="630"/>
      <c r="K99" s="630"/>
      <c r="L99" s="630"/>
      <c r="M99" s="630"/>
      <c r="N99" s="1">
        <f>IF(C99&gt;0,((J99*Setup_and_Criteria!$F$13)+('M1_1-15th'!K99*Setup_and_Criteria!$F$14)+('M1_1-15th'!L99*Setup_and_Criteria!$F$15)+('M1_1-15th'!M99*Setup_and_Criteria!$F$16)+Setup_and_Criteria!$J$16),0)</f>
        <v>0</v>
      </c>
      <c r="O99" s="442">
        <f>+H99</f>
        <v>0</v>
      </c>
      <c r="P99" s="443">
        <f t="shared" ref="P99:P105" si="58">+N99-O99</f>
        <v>0</v>
      </c>
      <c r="Q99" s="357" t="e">
        <f t="shared" ref="Q99:Q105" si="59">O99/_xlfn.SINGLE(SUM(J99:M99))</f>
        <v>#DIV/0!</v>
      </c>
      <c r="R99" s="630"/>
      <c r="S99" s="630"/>
      <c r="T99" s="630"/>
      <c r="U99" s="630"/>
      <c r="V99" s="630"/>
      <c r="W99" s="630"/>
      <c r="X99" s="630"/>
      <c r="Y99" s="630"/>
      <c r="Z99" s="630"/>
      <c r="AA99" s="630"/>
      <c r="AB99" s="1">
        <f t="shared" ref="AB99:AB105" si="60">SUM(R99:AA99)</f>
        <v>0</v>
      </c>
      <c r="AC99" s="357" t="e">
        <f t="shared" ref="AC99:AC105" si="61">+AB99/(J99+K99+L99)</f>
        <v>#DIV/0!</v>
      </c>
      <c r="AD99" s="864" t="s">
        <v>144</v>
      </c>
      <c r="AE99" s="865"/>
      <c r="AF99" s="865"/>
      <c r="AG99" s="866"/>
      <c r="AH99" s="866"/>
      <c r="AI99" s="867"/>
    </row>
    <row r="100" spans="1:35" x14ac:dyDescent="0.25">
      <c r="A100" s="638"/>
      <c r="C100" s="630"/>
      <c r="D100" s="630"/>
      <c r="E100" s="630"/>
      <c r="F100" s="630"/>
      <c r="G100" s="264">
        <f t="shared" si="56"/>
        <v>0</v>
      </c>
      <c r="H100" s="442">
        <f t="shared" si="57"/>
        <v>0</v>
      </c>
      <c r="J100" s="630"/>
      <c r="K100" s="630"/>
      <c r="L100" s="630"/>
      <c r="M100" s="630"/>
      <c r="N100" s="1">
        <f>IF(C100&gt;0,((J100*Setup_and_Criteria!$F$13)+('M1_1-15th'!K100*Setup_and_Criteria!$F$14)+('M1_1-15th'!L100*Setup_and_Criteria!$F$15)+('M1_1-15th'!M100*Setup_and_Criteria!$F$16)+Setup_and_Criteria!$J$16),0)</f>
        <v>0</v>
      </c>
      <c r="O100" s="442">
        <f t="shared" ref="O100:O105" si="62">+H100</f>
        <v>0</v>
      </c>
      <c r="P100" s="443">
        <f t="shared" si="58"/>
        <v>0</v>
      </c>
      <c r="Q100" s="357" t="e">
        <f t="shared" si="59"/>
        <v>#DIV/0!</v>
      </c>
      <c r="R100" s="630"/>
      <c r="S100" s="630"/>
      <c r="T100" s="630"/>
      <c r="U100" s="630"/>
      <c r="V100" s="630"/>
      <c r="W100" s="630"/>
      <c r="X100" s="630"/>
      <c r="Y100" s="630"/>
      <c r="Z100" s="630"/>
      <c r="AA100" s="630"/>
      <c r="AB100" s="1">
        <f t="shared" si="60"/>
        <v>0</v>
      </c>
      <c r="AC100" s="357" t="e">
        <f t="shared" si="61"/>
        <v>#DIV/0!</v>
      </c>
      <c r="AD100" s="864"/>
      <c r="AE100" s="865"/>
      <c r="AF100" s="865"/>
      <c r="AG100" s="866"/>
      <c r="AH100" s="866"/>
      <c r="AI100" s="867"/>
    </row>
    <row r="101" spans="1:35" x14ac:dyDescent="0.25">
      <c r="A101" s="638"/>
      <c r="C101" s="630"/>
      <c r="D101" s="630"/>
      <c r="E101" s="630"/>
      <c r="F101" s="630"/>
      <c r="G101" s="264">
        <f t="shared" si="56"/>
        <v>0</v>
      </c>
      <c r="H101" s="442">
        <f t="shared" si="57"/>
        <v>0</v>
      </c>
      <c r="J101" s="630"/>
      <c r="K101" s="630"/>
      <c r="L101" s="630"/>
      <c r="M101" s="630"/>
      <c r="N101" s="1">
        <f>IF(C101&gt;0,((J101*Setup_and_Criteria!$F$13)+('M1_1-15th'!K101*Setup_and_Criteria!$F$14)+('M1_1-15th'!L101*Setup_and_Criteria!$F$15)+('M1_1-15th'!M101*Setup_and_Criteria!$F$16)+Setup_and_Criteria!$J$16),0)</f>
        <v>0</v>
      </c>
      <c r="O101" s="442">
        <f t="shared" si="62"/>
        <v>0</v>
      </c>
      <c r="P101" s="443">
        <f t="shared" si="58"/>
        <v>0</v>
      </c>
      <c r="Q101" s="357" t="e">
        <f t="shared" si="59"/>
        <v>#DIV/0!</v>
      </c>
      <c r="R101" s="630"/>
      <c r="S101" s="630"/>
      <c r="T101" s="630"/>
      <c r="U101" s="630"/>
      <c r="V101" s="630"/>
      <c r="W101" s="630"/>
      <c r="X101" s="630"/>
      <c r="Y101" s="630"/>
      <c r="Z101" s="630"/>
      <c r="AA101" s="630"/>
      <c r="AB101" s="1">
        <f t="shared" si="60"/>
        <v>0</v>
      </c>
      <c r="AC101" s="357" t="e">
        <f t="shared" si="61"/>
        <v>#DIV/0!</v>
      </c>
      <c r="AD101" s="864"/>
      <c r="AE101" s="865"/>
      <c r="AF101" s="865"/>
      <c r="AG101" s="866"/>
      <c r="AH101" s="866"/>
      <c r="AI101" s="867"/>
    </row>
    <row r="102" spans="1:35" x14ac:dyDescent="0.25">
      <c r="A102" s="638"/>
      <c r="C102" s="630"/>
      <c r="D102" s="630"/>
      <c r="E102" s="630"/>
      <c r="F102" s="630"/>
      <c r="G102" s="264">
        <f t="shared" si="56"/>
        <v>0</v>
      </c>
      <c r="H102" s="442">
        <f t="shared" si="57"/>
        <v>0</v>
      </c>
      <c r="J102" s="630"/>
      <c r="K102" s="630"/>
      <c r="L102" s="630"/>
      <c r="M102" s="630"/>
      <c r="N102" s="1">
        <f>IF(C102&gt;0,((J102*Setup_and_Criteria!$F$13)+('M1_1-15th'!K102*Setup_and_Criteria!$F$14)+('M1_1-15th'!L102*Setup_and_Criteria!$F$15)+('M1_1-15th'!M102*Setup_and_Criteria!$F$16)+Setup_and_Criteria!$J$16),0)</f>
        <v>0</v>
      </c>
      <c r="O102" s="442">
        <f t="shared" si="62"/>
        <v>0</v>
      </c>
      <c r="P102" s="443">
        <f t="shared" si="58"/>
        <v>0</v>
      </c>
      <c r="Q102" s="357" t="e">
        <f t="shared" si="59"/>
        <v>#DIV/0!</v>
      </c>
      <c r="R102" s="630"/>
      <c r="S102" s="630"/>
      <c r="T102" s="630"/>
      <c r="U102" s="630"/>
      <c r="V102" s="630"/>
      <c r="W102" s="630"/>
      <c r="X102" s="630"/>
      <c r="Y102" s="630"/>
      <c r="Z102" s="630"/>
      <c r="AA102" s="630"/>
      <c r="AB102" s="1">
        <f t="shared" si="60"/>
        <v>0</v>
      </c>
      <c r="AC102" s="357" t="e">
        <f t="shared" si="61"/>
        <v>#DIV/0!</v>
      </c>
      <c r="AD102" s="864"/>
      <c r="AE102" s="865"/>
      <c r="AF102" s="865"/>
      <c r="AG102" s="866"/>
      <c r="AH102" s="866"/>
      <c r="AI102" s="867"/>
    </row>
    <row r="103" spans="1:35" x14ac:dyDescent="0.25">
      <c r="A103" s="638"/>
      <c r="C103" s="630"/>
      <c r="D103" s="630"/>
      <c r="E103" s="630"/>
      <c r="F103" s="630"/>
      <c r="G103" s="264">
        <f t="shared" si="56"/>
        <v>0</v>
      </c>
      <c r="H103" s="442">
        <f t="shared" si="57"/>
        <v>0</v>
      </c>
      <c r="J103" s="630"/>
      <c r="K103" s="630"/>
      <c r="L103" s="630"/>
      <c r="M103" s="630"/>
      <c r="N103" s="1">
        <f>IF(C103&gt;0,((J103*Setup_and_Criteria!$F$13)+('M1_1-15th'!K103*Setup_and_Criteria!$F$14)+('M1_1-15th'!L103*Setup_and_Criteria!$F$15)+('M1_1-15th'!M103*Setup_and_Criteria!$F$16)+Setup_and_Criteria!$J$16),0)</f>
        <v>0</v>
      </c>
      <c r="O103" s="442">
        <f t="shared" si="62"/>
        <v>0</v>
      </c>
      <c r="P103" s="443">
        <f t="shared" si="58"/>
        <v>0</v>
      </c>
      <c r="Q103" s="357" t="e">
        <f t="shared" si="59"/>
        <v>#DIV/0!</v>
      </c>
      <c r="R103" s="630"/>
      <c r="S103" s="630"/>
      <c r="T103" s="630"/>
      <c r="U103" s="630"/>
      <c r="V103" s="630"/>
      <c r="W103" s="630"/>
      <c r="X103" s="630"/>
      <c r="Y103" s="630"/>
      <c r="Z103" s="630"/>
      <c r="AA103" s="630"/>
      <c r="AB103" s="1">
        <f t="shared" si="60"/>
        <v>0</v>
      </c>
      <c r="AC103" s="357" t="e">
        <f t="shared" si="61"/>
        <v>#DIV/0!</v>
      </c>
      <c r="AD103" s="864"/>
      <c r="AE103" s="865"/>
      <c r="AF103" s="865"/>
      <c r="AG103" s="866"/>
      <c r="AH103" s="866"/>
      <c r="AI103" s="867"/>
    </row>
    <row r="104" spans="1:35" ht="15.75" thickBot="1" x14ac:dyDescent="0.3">
      <c r="A104" s="638"/>
      <c r="C104" s="370"/>
      <c r="D104" s="370"/>
      <c r="E104" s="630"/>
      <c r="F104" s="630"/>
      <c r="G104" s="264">
        <f t="shared" si="56"/>
        <v>0</v>
      </c>
      <c r="H104" s="442">
        <f t="shared" si="57"/>
        <v>0</v>
      </c>
      <c r="J104" s="371"/>
      <c r="K104" s="371"/>
      <c r="L104" s="371"/>
      <c r="M104" s="371"/>
      <c r="N104" s="358">
        <f>IF(C104&gt;0,((J104*Setup_and_Criteria!$F$13)+('M1_1-15th'!K104*Setup_and_Criteria!$F$14)+('M1_1-15th'!L104*Setup_and_Criteria!$F$15)+('M1_1-15th'!M104*Setup_and_Criteria!$F$16)+Setup_and_Criteria!$J$16),0)</f>
        <v>0</v>
      </c>
      <c r="O104" s="359">
        <f t="shared" si="62"/>
        <v>0</v>
      </c>
      <c r="P104" s="383">
        <f t="shared" si="58"/>
        <v>0</v>
      </c>
      <c r="Q104" s="360" t="e">
        <f t="shared" si="59"/>
        <v>#DIV/0!</v>
      </c>
      <c r="R104" s="511"/>
      <c r="S104" s="511"/>
      <c r="T104" s="511"/>
      <c r="U104" s="511"/>
      <c r="V104" s="511"/>
      <c r="W104" s="511"/>
      <c r="X104" s="511"/>
      <c r="Y104" s="511"/>
      <c r="Z104" s="511"/>
      <c r="AA104" s="511"/>
      <c r="AB104" s="1">
        <f t="shared" si="60"/>
        <v>0</v>
      </c>
      <c r="AC104" s="357" t="e">
        <f t="shared" si="61"/>
        <v>#DIV/0!</v>
      </c>
      <c r="AD104" s="864"/>
      <c r="AE104" s="865"/>
      <c r="AF104" s="865"/>
      <c r="AG104" s="866"/>
      <c r="AH104" s="866"/>
      <c r="AI104" s="867"/>
    </row>
    <row r="105" spans="1:35" ht="15.75" thickTop="1" x14ac:dyDescent="0.25">
      <c r="A105" s="58"/>
      <c r="H105" s="442">
        <f>SUM(H99:H104)</f>
        <v>0</v>
      </c>
      <c r="J105" s="1">
        <f>SUM(J99:J104)</f>
        <v>0</v>
      </c>
      <c r="K105" s="1">
        <f>SUM(K99:K104)</f>
        <v>0</v>
      </c>
      <c r="L105" s="1">
        <f>SUM(L99:L104)</f>
        <v>0</v>
      </c>
      <c r="M105" s="1">
        <f>SUM(M99:M104)</f>
        <v>0</v>
      </c>
      <c r="N105" s="1">
        <f>SUM(N99:N104)</f>
        <v>0</v>
      </c>
      <c r="O105" s="1">
        <f t="shared" si="62"/>
        <v>0</v>
      </c>
      <c r="P105" s="443">
        <f t="shared" si="58"/>
        <v>0</v>
      </c>
      <c r="Q105" s="357" t="e">
        <f t="shared" si="59"/>
        <v>#DIV/0!</v>
      </c>
      <c r="R105" s="1">
        <f t="shared" ref="R105:AA105" si="63">SUM(R99:R104)</f>
        <v>0</v>
      </c>
      <c r="S105" s="1">
        <f t="shared" si="63"/>
        <v>0</v>
      </c>
      <c r="T105" s="1">
        <f t="shared" si="63"/>
        <v>0</v>
      </c>
      <c r="U105" s="1">
        <f t="shared" si="63"/>
        <v>0</v>
      </c>
      <c r="V105" s="1">
        <f t="shared" si="63"/>
        <v>0</v>
      </c>
      <c r="W105" s="1">
        <f t="shared" si="63"/>
        <v>0</v>
      </c>
      <c r="X105" s="1">
        <f t="shared" si="63"/>
        <v>0</v>
      </c>
      <c r="Y105" s="1">
        <f t="shared" si="63"/>
        <v>0</v>
      </c>
      <c r="Z105" s="1">
        <f t="shared" si="63"/>
        <v>0</v>
      </c>
      <c r="AA105" s="1">
        <f t="shared" si="63"/>
        <v>0</v>
      </c>
      <c r="AB105" s="1">
        <f t="shared" si="60"/>
        <v>0</v>
      </c>
      <c r="AC105" s="357" t="e">
        <f t="shared" si="61"/>
        <v>#DIV/0!</v>
      </c>
      <c r="AD105" s="877"/>
      <c r="AE105" s="878"/>
      <c r="AF105" s="878"/>
      <c r="AG105" s="749"/>
      <c r="AH105" s="749"/>
      <c r="AI105" s="879"/>
    </row>
    <row r="106" spans="1:35" ht="21" customHeight="1" x14ac:dyDescent="0.35">
      <c r="A106" s="58"/>
      <c r="H106" s="442"/>
      <c r="N106" s="888" t="s">
        <v>145</v>
      </c>
      <c r="O106" s="888"/>
      <c r="P106" s="888"/>
      <c r="Q106" s="888"/>
      <c r="R106" s="431" t="s">
        <v>146</v>
      </c>
      <c r="S106" s="431"/>
      <c r="T106" s="431"/>
      <c r="U106" s="431"/>
      <c r="V106" s="431"/>
      <c r="W106" s="431"/>
      <c r="X106" s="431"/>
      <c r="Y106" s="431"/>
      <c r="Z106" s="431"/>
      <c r="AA106" s="431"/>
      <c r="AB106" s="431"/>
      <c r="AC106" s="431"/>
      <c r="AD106" s="880" t="s">
        <v>132</v>
      </c>
      <c r="AE106" s="881"/>
      <c r="AF106" s="881"/>
      <c r="AG106" s="881"/>
      <c r="AH106" s="881"/>
      <c r="AI106" s="882"/>
    </row>
    <row r="107" spans="1:35" ht="31.5" customHeight="1" x14ac:dyDescent="0.35">
      <c r="A107" s="378" t="s">
        <v>147</v>
      </c>
      <c r="C107" s="885" t="s">
        <v>128</v>
      </c>
      <c r="D107" s="885"/>
      <c r="E107" s="885"/>
      <c r="F107" s="885"/>
      <c r="H107" s="442"/>
      <c r="J107" s="444"/>
      <c r="K107" s="445" t="s">
        <v>35</v>
      </c>
      <c r="L107" s="445" t="s">
        <v>148</v>
      </c>
      <c r="N107" s="446" t="s">
        <v>149</v>
      </c>
      <c r="O107" s="447" t="s">
        <v>150</v>
      </c>
      <c r="P107" s="447" t="s">
        <v>138</v>
      </c>
      <c r="Q107" s="447" t="s">
        <v>151</v>
      </c>
      <c r="R107" s="749" t="s">
        <v>152</v>
      </c>
      <c r="S107" s="749"/>
      <c r="T107" s="883" t="s">
        <v>153</v>
      </c>
      <c r="U107" s="883"/>
      <c r="W107" s="425" t="s">
        <v>154</v>
      </c>
      <c r="X107" s="425"/>
      <c r="Y107" s="425"/>
      <c r="Z107" s="425"/>
      <c r="AA107" s="425"/>
      <c r="AB107" s="425"/>
      <c r="AC107" s="425"/>
      <c r="AD107" s="868" t="s">
        <v>160</v>
      </c>
      <c r="AE107" s="869"/>
      <c r="AF107" s="869"/>
      <c r="AG107" s="869"/>
      <c r="AH107" s="869"/>
      <c r="AI107" s="870"/>
    </row>
    <row r="108" spans="1:35" ht="18" customHeight="1" thickBot="1" x14ac:dyDescent="0.3">
      <c r="A108" s="639"/>
      <c r="B108" s="364"/>
      <c r="C108" s="372"/>
      <c r="D108" s="372"/>
      <c r="E108" s="372"/>
      <c r="F108" s="372"/>
      <c r="G108" s="366">
        <f>+(D108-C108)+(F108-E108)</f>
        <v>0</v>
      </c>
      <c r="H108" s="367">
        <f>+G108*1440</f>
        <v>0</v>
      </c>
      <c r="I108" s="859" t="s">
        <v>155</v>
      </c>
      <c r="J108" s="860"/>
      <c r="K108" s="373"/>
      <c r="L108" s="374"/>
      <c r="M108" s="423"/>
      <c r="N108" s="629">
        <f>+J105+L105+K105+K108+L108</f>
        <v>0</v>
      </c>
      <c r="O108" s="368">
        <f>+(Setup_and_Criteria!$K$31+(J105*Setup_and_Criteria!$F$20)+('M1_1-15th'!K105*Setup_and_Criteria!$F$21)+('M1_1-15th'!L105*Setup_and_Criteria!$F$20))+T108+(K108*Setup_and_Criteria!$F$21)+(Setup_and_Criteria!$F$22*'M1_1-15th'!L108)</f>
        <v>75</v>
      </c>
      <c r="P108" s="367">
        <f>+H108</f>
        <v>0</v>
      </c>
      <c r="Q108" s="367">
        <f>+O108-P108</f>
        <v>75</v>
      </c>
      <c r="R108" s="861" t="s">
        <v>252</v>
      </c>
      <c r="S108" s="861"/>
      <c r="T108" s="862"/>
      <c r="U108" s="863"/>
      <c r="V108" s="265" t="s">
        <v>156</v>
      </c>
      <c r="W108" s="854"/>
      <c r="X108" s="855"/>
      <c r="Y108" s="855"/>
      <c r="Z108" s="855"/>
      <c r="AA108" s="855"/>
      <c r="AB108" s="855"/>
      <c r="AC108" s="855"/>
      <c r="AD108" s="868"/>
      <c r="AE108" s="869"/>
      <c r="AF108" s="869"/>
      <c r="AG108" s="869"/>
      <c r="AH108" s="869"/>
      <c r="AI108" s="870"/>
    </row>
    <row r="109" spans="1:35" ht="15.75" thickBot="1" x14ac:dyDescent="0.3">
      <c r="A109" s="449" t="str">
        <f>+A96</f>
        <v>Password to enter data = "Enter Info"</v>
      </c>
      <c r="B109" s="450"/>
      <c r="C109" s="451"/>
      <c r="D109" s="451"/>
      <c r="E109" s="451"/>
      <c r="F109" s="451"/>
      <c r="G109" s="451"/>
      <c r="H109" s="451"/>
      <c r="I109" s="450"/>
      <c r="J109" s="451"/>
      <c r="K109" s="451"/>
      <c r="L109" s="451"/>
      <c r="M109" s="451"/>
      <c r="N109" s="451"/>
      <c r="O109" s="451"/>
      <c r="P109" s="451"/>
      <c r="Q109" s="450"/>
      <c r="R109" s="451"/>
      <c r="S109" s="451"/>
      <c r="T109" s="451"/>
      <c r="U109" s="451"/>
      <c r="V109" s="451"/>
      <c r="W109" s="451"/>
      <c r="X109" s="451"/>
      <c r="Y109" s="451"/>
      <c r="Z109" s="451"/>
      <c r="AA109" s="451"/>
      <c r="AB109" s="450"/>
      <c r="AC109" s="450"/>
      <c r="AD109" s="871"/>
      <c r="AE109" s="872"/>
      <c r="AF109" s="872"/>
      <c r="AG109" s="872"/>
      <c r="AH109" s="872"/>
      <c r="AI109" s="873"/>
    </row>
    <row r="110" spans="1:35" ht="35.25" customHeight="1" x14ac:dyDescent="0.4">
      <c r="A110" s="434" t="str">
        <f>+A97</f>
        <v>June</v>
      </c>
      <c r="B110" s="624">
        <f>+B97+1</f>
        <v>24</v>
      </c>
      <c r="C110" s="884" t="s">
        <v>128</v>
      </c>
      <c r="D110" s="884"/>
      <c r="E110" s="884"/>
      <c r="F110" s="884"/>
      <c r="G110" s="377"/>
      <c r="H110" s="377"/>
      <c r="I110" s="21"/>
      <c r="J110" s="874" t="s">
        <v>129</v>
      </c>
      <c r="K110" s="875"/>
      <c r="L110" s="875"/>
      <c r="M110" s="875"/>
      <c r="N110" s="876" t="s">
        <v>130</v>
      </c>
      <c r="O110" s="876"/>
      <c r="P110" s="876"/>
      <c r="Q110" s="876"/>
      <c r="R110" s="424" t="str">
        <f>+R97</f>
        <v xml:space="preserve"> Corrections Tracking - Check out rooms</v>
      </c>
      <c r="S110" s="424"/>
      <c r="T110" s="424"/>
      <c r="U110" s="424"/>
      <c r="V110" s="424"/>
      <c r="W110" s="424"/>
      <c r="X110" s="424"/>
      <c r="Y110" s="424"/>
      <c r="Z110" s="424"/>
      <c r="AA110" s="424"/>
      <c r="AB110" s="424"/>
      <c r="AC110" s="424"/>
      <c r="AD110" s="461" t="s">
        <v>132</v>
      </c>
      <c r="AE110" s="426"/>
      <c r="AF110" s="426"/>
      <c r="AG110" s="426"/>
      <c r="AH110" s="426"/>
      <c r="AI110" s="427"/>
    </row>
    <row r="111" spans="1:35" ht="59.25" customHeight="1" x14ac:dyDescent="0.25">
      <c r="A111" s="378" t="s">
        <v>133</v>
      </c>
      <c r="C111" s="435" t="s">
        <v>134</v>
      </c>
      <c r="D111" s="435" t="s">
        <v>135</v>
      </c>
      <c r="E111" s="435" t="s">
        <v>134</v>
      </c>
      <c r="F111" s="435" t="s">
        <v>135</v>
      </c>
      <c r="G111" s="1" t="s">
        <v>136</v>
      </c>
      <c r="H111" s="1" t="s">
        <v>108</v>
      </c>
      <c r="I111" s="436"/>
      <c r="J111" s="437" t="str">
        <f>+Setup_and_Criteria!$B$13</f>
        <v>Checkouts</v>
      </c>
      <c r="K111" s="437" t="str">
        <f>+Setup_and_Criteria!$B$14</f>
        <v>Pet Rooms</v>
      </c>
      <c r="L111" s="437" t="str">
        <f>+Setup_and_Criteria!$B$15</f>
        <v>2 Rm &amp; Jac Stes</v>
      </c>
      <c r="M111" s="438" t="str">
        <f>+Setup_and_Criteria!$B$16</f>
        <v>Stayovers</v>
      </c>
      <c r="N111" s="269" t="s">
        <v>137</v>
      </c>
      <c r="O111" s="269" t="s">
        <v>138</v>
      </c>
      <c r="P111" s="439" t="s">
        <v>139</v>
      </c>
      <c r="Q111" s="439" t="s">
        <v>140</v>
      </c>
      <c r="R111" s="440" t="str">
        <f>+Corrections!$C$8</f>
        <v>Vanity</v>
      </c>
      <c r="S111" s="440" t="str">
        <f>+Corrections!$I$8</f>
        <v>Toilet</v>
      </c>
      <c r="T111" s="440" t="str">
        <f>+Corrections!$O$8</f>
        <v>Bed/Pillows</v>
      </c>
      <c r="U111" s="440" t="str">
        <f>+Corrections!$U$8</f>
        <v>Floor</v>
      </c>
      <c r="V111" s="440" t="str">
        <f>+Corrections!$AA$8</f>
        <v>Dusting</v>
      </c>
      <c r="W111" s="440" t="str">
        <f>+Corrections!$AG$8</f>
        <v>Fridge/Micro</v>
      </c>
      <c r="X111" s="440" t="str">
        <f>+Corrections!$AM$8</f>
        <v>Tub</v>
      </c>
      <c r="Y111" s="441" t="str">
        <f>+Corrections!$AS$8</f>
        <v>Mirrors/Glass</v>
      </c>
      <c r="Z111" s="440" t="str">
        <f>+Corrections!$AY$8</f>
        <v>Stocking</v>
      </c>
      <c r="AA111" s="440" t="str">
        <f>+Corrections!$BE$8</f>
        <v>Other</v>
      </c>
      <c r="AB111" s="269" t="s">
        <v>141</v>
      </c>
      <c r="AC111" s="269" t="str">
        <f>+$AC$7</f>
        <v>Daily Corr / Inspected Checkout</v>
      </c>
      <c r="AD111" s="889" t="s">
        <v>143</v>
      </c>
      <c r="AE111" s="890"/>
      <c r="AF111" s="890"/>
      <c r="AG111" s="890"/>
      <c r="AH111" s="890"/>
      <c r="AI111" s="891"/>
    </row>
    <row r="112" spans="1:35" x14ac:dyDescent="0.25">
      <c r="A112" s="638"/>
      <c r="C112" s="369"/>
      <c r="D112" s="369"/>
      <c r="E112" s="369"/>
      <c r="F112" s="369"/>
      <c r="G112" s="264">
        <f t="shared" ref="G112:G117" si="64">+(D112-C112)+(F112-E112)</f>
        <v>0</v>
      </c>
      <c r="H112" s="442">
        <f t="shared" ref="H112:H117" si="65">+G112*1440</f>
        <v>0</v>
      </c>
      <c r="J112" s="630"/>
      <c r="K112" s="630"/>
      <c r="L112" s="630"/>
      <c r="M112" s="630"/>
      <c r="N112" s="1">
        <f>IF(C112&gt;0,((J112*Setup_and_Criteria!$F$13)+('M1_1-15th'!K112*Setup_and_Criteria!$F$14)+('M1_1-15th'!L112*Setup_and_Criteria!$F$15)+('M1_1-15th'!M112*Setup_and_Criteria!$F$16)+Setup_and_Criteria!$J$16),0)</f>
        <v>0</v>
      </c>
      <c r="O112" s="442">
        <f>+H112</f>
        <v>0</v>
      </c>
      <c r="P112" s="443">
        <f t="shared" ref="P112:P118" si="66">+N112-O112</f>
        <v>0</v>
      </c>
      <c r="Q112" s="357" t="e">
        <f t="shared" ref="Q112:Q118" si="67">O112/_xlfn.SINGLE(SUM(J112:M112))</f>
        <v>#DIV/0!</v>
      </c>
      <c r="R112" s="630"/>
      <c r="S112" s="630"/>
      <c r="T112" s="630"/>
      <c r="U112" s="630"/>
      <c r="V112" s="630"/>
      <c r="W112" s="630"/>
      <c r="X112" s="630"/>
      <c r="Y112" s="630"/>
      <c r="Z112" s="630"/>
      <c r="AA112" s="630"/>
      <c r="AB112" s="1">
        <f t="shared" ref="AB112:AB118" si="68">SUM(R112:AA112)</f>
        <v>0</v>
      </c>
      <c r="AC112" s="357" t="e">
        <f t="shared" ref="AC112:AC118" si="69">+AB112/(J112+K112+L112)</f>
        <v>#DIV/0!</v>
      </c>
      <c r="AD112" s="864" t="s">
        <v>144</v>
      </c>
      <c r="AE112" s="865"/>
      <c r="AF112" s="865"/>
      <c r="AG112" s="866"/>
      <c r="AH112" s="866"/>
      <c r="AI112" s="867"/>
    </row>
    <row r="113" spans="1:35" x14ac:dyDescent="0.25">
      <c r="A113" s="638"/>
      <c r="C113" s="630"/>
      <c r="D113" s="630"/>
      <c r="E113" s="630"/>
      <c r="F113" s="630"/>
      <c r="G113" s="264">
        <f t="shared" si="64"/>
        <v>0</v>
      </c>
      <c r="H113" s="442">
        <f t="shared" si="65"/>
        <v>0</v>
      </c>
      <c r="J113" s="630"/>
      <c r="K113" s="630"/>
      <c r="L113" s="630"/>
      <c r="M113" s="630"/>
      <c r="N113" s="1">
        <f>IF(C113&gt;0,((J113*Setup_and_Criteria!$F$13)+('M1_1-15th'!K113*Setup_and_Criteria!$F$14)+('M1_1-15th'!L113*Setup_and_Criteria!$F$15)+('M1_1-15th'!M113*Setup_and_Criteria!$F$16)+Setup_and_Criteria!$J$16),0)</f>
        <v>0</v>
      </c>
      <c r="O113" s="442">
        <f t="shared" ref="O113:O118" si="70">+H113</f>
        <v>0</v>
      </c>
      <c r="P113" s="443">
        <f t="shared" si="66"/>
        <v>0</v>
      </c>
      <c r="Q113" s="357" t="e">
        <f t="shared" si="67"/>
        <v>#DIV/0!</v>
      </c>
      <c r="R113" s="630"/>
      <c r="S113" s="630"/>
      <c r="T113" s="630"/>
      <c r="U113" s="630"/>
      <c r="V113" s="630"/>
      <c r="W113" s="630"/>
      <c r="X113" s="630"/>
      <c r="Y113" s="630"/>
      <c r="Z113" s="630"/>
      <c r="AA113" s="630"/>
      <c r="AB113" s="1">
        <f t="shared" si="68"/>
        <v>0</v>
      </c>
      <c r="AC113" s="357" t="e">
        <f t="shared" si="69"/>
        <v>#DIV/0!</v>
      </c>
      <c r="AD113" s="864"/>
      <c r="AE113" s="865"/>
      <c r="AF113" s="865"/>
      <c r="AG113" s="866"/>
      <c r="AH113" s="866"/>
      <c r="AI113" s="867"/>
    </row>
    <row r="114" spans="1:35" x14ac:dyDescent="0.25">
      <c r="A114" s="638"/>
      <c r="C114" s="630"/>
      <c r="D114" s="630"/>
      <c r="E114" s="630"/>
      <c r="F114" s="630"/>
      <c r="G114" s="264">
        <f t="shared" si="64"/>
        <v>0</v>
      </c>
      <c r="H114" s="442">
        <f t="shared" si="65"/>
        <v>0</v>
      </c>
      <c r="J114" s="630"/>
      <c r="K114" s="630"/>
      <c r="L114" s="630"/>
      <c r="M114" s="630"/>
      <c r="N114" s="1">
        <f>IF(C114&gt;0,((J114*Setup_and_Criteria!$F$13)+('M1_1-15th'!K114*Setup_and_Criteria!$F$14)+('M1_1-15th'!L114*Setup_and_Criteria!$F$15)+('M1_1-15th'!M114*Setup_and_Criteria!$F$16)+Setup_and_Criteria!$J$16),0)</f>
        <v>0</v>
      </c>
      <c r="O114" s="442">
        <f t="shared" si="70"/>
        <v>0</v>
      </c>
      <c r="P114" s="443">
        <f t="shared" si="66"/>
        <v>0</v>
      </c>
      <c r="Q114" s="357" t="e">
        <f t="shared" si="67"/>
        <v>#DIV/0!</v>
      </c>
      <c r="R114" s="630"/>
      <c r="S114" s="630"/>
      <c r="T114" s="630"/>
      <c r="U114" s="630"/>
      <c r="V114" s="630"/>
      <c r="W114" s="630"/>
      <c r="X114" s="630"/>
      <c r="Y114" s="630"/>
      <c r="Z114" s="630"/>
      <c r="AA114" s="630"/>
      <c r="AB114" s="1">
        <f t="shared" si="68"/>
        <v>0</v>
      </c>
      <c r="AC114" s="357" t="e">
        <f t="shared" si="69"/>
        <v>#DIV/0!</v>
      </c>
      <c r="AD114" s="864"/>
      <c r="AE114" s="865"/>
      <c r="AF114" s="865"/>
      <c r="AG114" s="866"/>
      <c r="AH114" s="866"/>
      <c r="AI114" s="867"/>
    </row>
    <row r="115" spans="1:35" x14ac:dyDescent="0.25">
      <c r="A115" s="638"/>
      <c r="C115" s="630"/>
      <c r="D115" s="630"/>
      <c r="E115" s="630"/>
      <c r="F115" s="630"/>
      <c r="G115" s="264">
        <f t="shared" si="64"/>
        <v>0</v>
      </c>
      <c r="H115" s="442">
        <f t="shared" si="65"/>
        <v>0</v>
      </c>
      <c r="J115" s="630"/>
      <c r="K115" s="630"/>
      <c r="L115" s="630"/>
      <c r="M115" s="630"/>
      <c r="N115" s="1">
        <f>IF(C115&gt;0,((J115*Setup_and_Criteria!$F$13)+('M1_1-15th'!K115*Setup_and_Criteria!$F$14)+('M1_1-15th'!L115*Setup_and_Criteria!$F$15)+('M1_1-15th'!M115*Setup_and_Criteria!$F$16)+Setup_and_Criteria!$J$16),0)</f>
        <v>0</v>
      </c>
      <c r="O115" s="442">
        <f t="shared" si="70"/>
        <v>0</v>
      </c>
      <c r="P115" s="443">
        <f t="shared" si="66"/>
        <v>0</v>
      </c>
      <c r="Q115" s="357" t="e">
        <f t="shared" si="67"/>
        <v>#DIV/0!</v>
      </c>
      <c r="R115" s="630"/>
      <c r="S115" s="630"/>
      <c r="T115" s="630"/>
      <c r="U115" s="630"/>
      <c r="V115" s="630"/>
      <c r="W115" s="630"/>
      <c r="X115" s="630"/>
      <c r="Y115" s="630"/>
      <c r="Z115" s="630"/>
      <c r="AA115" s="630"/>
      <c r="AB115" s="1">
        <f t="shared" si="68"/>
        <v>0</v>
      </c>
      <c r="AC115" s="357" t="e">
        <f t="shared" si="69"/>
        <v>#DIV/0!</v>
      </c>
      <c r="AD115" s="864"/>
      <c r="AE115" s="865"/>
      <c r="AF115" s="865"/>
      <c r="AG115" s="866"/>
      <c r="AH115" s="866"/>
      <c r="AI115" s="867"/>
    </row>
    <row r="116" spans="1:35" x14ac:dyDescent="0.25">
      <c r="A116" s="638"/>
      <c r="C116" s="630"/>
      <c r="D116" s="630"/>
      <c r="E116" s="630"/>
      <c r="F116" s="630"/>
      <c r="G116" s="264">
        <f t="shared" si="64"/>
        <v>0</v>
      </c>
      <c r="H116" s="442">
        <f t="shared" si="65"/>
        <v>0</v>
      </c>
      <c r="J116" s="630"/>
      <c r="K116" s="630"/>
      <c r="L116" s="630"/>
      <c r="M116" s="630"/>
      <c r="N116" s="1">
        <f>IF(C116&gt;0,((J116*Setup_and_Criteria!$F$13)+('M1_1-15th'!K116*Setup_and_Criteria!$F$14)+('M1_1-15th'!L116*Setup_and_Criteria!$F$15)+('M1_1-15th'!M116*Setup_and_Criteria!$F$16)+Setup_and_Criteria!$J$16),0)</f>
        <v>0</v>
      </c>
      <c r="O116" s="442">
        <f t="shared" si="70"/>
        <v>0</v>
      </c>
      <c r="P116" s="443">
        <f t="shared" si="66"/>
        <v>0</v>
      </c>
      <c r="Q116" s="357" t="e">
        <f t="shared" si="67"/>
        <v>#DIV/0!</v>
      </c>
      <c r="R116" s="630"/>
      <c r="S116" s="630"/>
      <c r="T116" s="630"/>
      <c r="U116" s="630"/>
      <c r="V116" s="630"/>
      <c r="W116" s="630"/>
      <c r="X116" s="630"/>
      <c r="Y116" s="630"/>
      <c r="Z116" s="630"/>
      <c r="AA116" s="630"/>
      <c r="AB116" s="1">
        <f t="shared" si="68"/>
        <v>0</v>
      </c>
      <c r="AC116" s="357" t="e">
        <f t="shared" si="69"/>
        <v>#DIV/0!</v>
      </c>
      <c r="AD116" s="864"/>
      <c r="AE116" s="865"/>
      <c r="AF116" s="865"/>
      <c r="AG116" s="866"/>
      <c r="AH116" s="866"/>
      <c r="AI116" s="867"/>
    </row>
    <row r="117" spans="1:35" ht="15.75" thickBot="1" x14ac:dyDescent="0.3">
      <c r="A117" s="638"/>
      <c r="C117" s="370"/>
      <c r="D117" s="370"/>
      <c r="E117" s="630"/>
      <c r="F117" s="630"/>
      <c r="G117" s="264">
        <f t="shared" si="64"/>
        <v>0</v>
      </c>
      <c r="H117" s="442">
        <f t="shared" si="65"/>
        <v>0</v>
      </c>
      <c r="J117" s="371"/>
      <c r="K117" s="371"/>
      <c r="L117" s="371"/>
      <c r="M117" s="371"/>
      <c r="N117" s="358">
        <f>IF(C117&gt;0,((J117*Setup_and_Criteria!$F$13)+('M1_1-15th'!K117*Setup_and_Criteria!$F$14)+('M1_1-15th'!L117*Setup_and_Criteria!$F$15)+('M1_1-15th'!M117*Setup_and_Criteria!$F$16)+Setup_and_Criteria!$J$16),0)</f>
        <v>0</v>
      </c>
      <c r="O117" s="359">
        <f t="shared" si="70"/>
        <v>0</v>
      </c>
      <c r="P117" s="383">
        <f t="shared" si="66"/>
        <v>0</v>
      </c>
      <c r="Q117" s="360" t="e">
        <f t="shared" si="67"/>
        <v>#DIV/0!</v>
      </c>
      <c r="R117" s="511"/>
      <c r="S117" s="511"/>
      <c r="T117" s="511"/>
      <c r="U117" s="511"/>
      <c r="V117" s="511"/>
      <c r="W117" s="511"/>
      <c r="X117" s="511"/>
      <c r="Y117" s="511"/>
      <c r="Z117" s="511"/>
      <c r="AA117" s="511"/>
      <c r="AB117" s="1">
        <f t="shared" si="68"/>
        <v>0</v>
      </c>
      <c r="AC117" s="357" t="e">
        <f t="shared" si="69"/>
        <v>#DIV/0!</v>
      </c>
      <c r="AD117" s="864"/>
      <c r="AE117" s="865"/>
      <c r="AF117" s="865"/>
      <c r="AG117" s="866"/>
      <c r="AH117" s="866"/>
      <c r="AI117" s="867"/>
    </row>
    <row r="118" spans="1:35" ht="15.75" thickTop="1" x14ac:dyDescent="0.25">
      <c r="A118" s="58"/>
      <c r="H118" s="442">
        <f>SUM(H112:H117)</f>
        <v>0</v>
      </c>
      <c r="J118" s="1">
        <f>SUM(J112:J117)</f>
        <v>0</v>
      </c>
      <c r="K118" s="1">
        <f>SUM(K112:K117)</f>
        <v>0</v>
      </c>
      <c r="L118" s="1">
        <f>SUM(L112:L117)</f>
        <v>0</v>
      </c>
      <c r="M118" s="1">
        <f>SUM(M112:M117)</f>
        <v>0</v>
      </c>
      <c r="N118" s="1">
        <f>SUM(N112:N117)</f>
        <v>0</v>
      </c>
      <c r="O118" s="1">
        <f t="shared" si="70"/>
        <v>0</v>
      </c>
      <c r="P118" s="443">
        <f t="shared" si="66"/>
        <v>0</v>
      </c>
      <c r="Q118" s="357" t="e">
        <f t="shared" si="67"/>
        <v>#DIV/0!</v>
      </c>
      <c r="R118" s="1">
        <f t="shared" ref="R118:AA118" si="71">SUM(R112:R117)</f>
        <v>0</v>
      </c>
      <c r="S118" s="1">
        <f t="shared" si="71"/>
        <v>0</v>
      </c>
      <c r="T118" s="1">
        <f t="shared" si="71"/>
        <v>0</v>
      </c>
      <c r="U118" s="1">
        <f t="shared" si="71"/>
        <v>0</v>
      </c>
      <c r="V118" s="1">
        <f t="shared" si="71"/>
        <v>0</v>
      </c>
      <c r="W118" s="1">
        <f t="shared" si="71"/>
        <v>0</v>
      </c>
      <c r="X118" s="1">
        <f t="shared" si="71"/>
        <v>0</v>
      </c>
      <c r="Y118" s="1">
        <f t="shared" si="71"/>
        <v>0</v>
      </c>
      <c r="Z118" s="1">
        <f t="shared" si="71"/>
        <v>0</v>
      </c>
      <c r="AA118" s="1">
        <f t="shared" si="71"/>
        <v>0</v>
      </c>
      <c r="AB118" s="1">
        <f t="shared" si="68"/>
        <v>0</v>
      </c>
      <c r="AC118" s="357" t="e">
        <f t="shared" si="69"/>
        <v>#DIV/0!</v>
      </c>
      <c r="AD118" s="877"/>
      <c r="AE118" s="878"/>
      <c r="AF118" s="878"/>
      <c r="AG118" s="749"/>
      <c r="AH118" s="749"/>
      <c r="AI118" s="879"/>
    </row>
    <row r="119" spans="1:35" ht="21" customHeight="1" x14ac:dyDescent="0.35">
      <c r="A119" s="58"/>
      <c r="H119" s="442"/>
      <c r="N119" s="888" t="s">
        <v>145</v>
      </c>
      <c r="O119" s="888"/>
      <c r="P119" s="888"/>
      <c r="Q119" s="888"/>
      <c r="R119" s="431" t="s">
        <v>146</v>
      </c>
      <c r="S119" s="431"/>
      <c r="T119" s="431"/>
      <c r="U119" s="431"/>
      <c r="V119" s="431"/>
      <c r="W119" s="431"/>
      <c r="X119" s="431"/>
      <c r="Y119" s="431"/>
      <c r="Z119" s="431"/>
      <c r="AA119" s="431"/>
      <c r="AB119" s="431"/>
      <c r="AC119" s="431"/>
      <c r="AD119" s="880" t="s">
        <v>132</v>
      </c>
      <c r="AE119" s="881"/>
      <c r="AF119" s="881"/>
      <c r="AG119" s="881"/>
      <c r="AH119" s="881"/>
      <c r="AI119" s="882"/>
    </row>
    <row r="120" spans="1:35" ht="31.5" customHeight="1" x14ac:dyDescent="0.35">
      <c r="A120" s="378" t="s">
        <v>147</v>
      </c>
      <c r="C120" s="885" t="s">
        <v>128</v>
      </c>
      <c r="D120" s="885"/>
      <c r="E120" s="885"/>
      <c r="F120" s="885"/>
      <c r="H120" s="442"/>
      <c r="J120" s="444"/>
      <c r="K120" s="445" t="s">
        <v>35</v>
      </c>
      <c r="L120" s="445" t="s">
        <v>148</v>
      </c>
      <c r="N120" s="446" t="s">
        <v>149</v>
      </c>
      <c r="O120" s="447" t="s">
        <v>150</v>
      </c>
      <c r="P120" s="447" t="s">
        <v>138</v>
      </c>
      <c r="Q120" s="447" t="s">
        <v>151</v>
      </c>
      <c r="R120" s="749" t="s">
        <v>152</v>
      </c>
      <c r="S120" s="749"/>
      <c r="T120" s="883" t="s">
        <v>153</v>
      </c>
      <c r="U120" s="883"/>
      <c r="W120" s="425" t="s">
        <v>154</v>
      </c>
      <c r="X120" s="425"/>
      <c r="Y120" s="425"/>
      <c r="Z120" s="425"/>
      <c r="AA120" s="425"/>
      <c r="AB120" s="425"/>
      <c r="AC120" s="425"/>
      <c r="AD120" s="868" t="s">
        <v>160</v>
      </c>
      <c r="AE120" s="869"/>
      <c r="AF120" s="869"/>
      <c r="AG120" s="869"/>
      <c r="AH120" s="869"/>
      <c r="AI120" s="870"/>
    </row>
    <row r="121" spans="1:35" ht="18" customHeight="1" thickBot="1" x14ac:dyDescent="0.3">
      <c r="A121" s="639"/>
      <c r="B121" s="375"/>
      <c r="C121" s="372"/>
      <c r="D121" s="372"/>
      <c r="E121" s="372"/>
      <c r="F121" s="372"/>
      <c r="G121" s="366">
        <f>+(D121-C121)+(F121-E121)</f>
        <v>0</v>
      </c>
      <c r="H121" s="367">
        <f>+G121*1440</f>
        <v>0</v>
      </c>
      <c r="I121" s="859" t="s">
        <v>155</v>
      </c>
      <c r="J121" s="860"/>
      <c r="K121" s="373"/>
      <c r="L121" s="374"/>
      <c r="M121" s="423"/>
      <c r="N121" s="629">
        <f>+J118+L118+K118+K121+L121</f>
        <v>0</v>
      </c>
      <c r="O121" s="368">
        <f>+(Setup_and_Criteria!$K$31+(J118*Setup_and_Criteria!$F$20)+('M1_1-15th'!K118*Setup_and_Criteria!$F$21)+('M1_1-15th'!L118*Setup_and_Criteria!$F$20))+T121+(K121*Setup_and_Criteria!$F$21)+(Setup_and_Criteria!$F$22*'M1_1-15th'!L121)</f>
        <v>75</v>
      </c>
      <c r="P121" s="367">
        <f>+H121</f>
        <v>0</v>
      </c>
      <c r="Q121" s="367">
        <f>+O121-P121</f>
        <v>75</v>
      </c>
      <c r="R121" s="861" t="s">
        <v>252</v>
      </c>
      <c r="S121" s="861"/>
      <c r="T121" s="862"/>
      <c r="U121" s="863"/>
      <c r="V121" s="265" t="s">
        <v>156</v>
      </c>
      <c r="W121" s="854"/>
      <c r="X121" s="855"/>
      <c r="Y121" s="855"/>
      <c r="Z121" s="855"/>
      <c r="AA121" s="855"/>
      <c r="AB121" s="855"/>
      <c r="AC121" s="855"/>
      <c r="AD121" s="868"/>
      <c r="AE121" s="869"/>
      <c r="AF121" s="869"/>
      <c r="AG121" s="869"/>
      <c r="AH121" s="869"/>
      <c r="AI121" s="870"/>
    </row>
    <row r="122" spans="1:35" ht="15.75" thickBot="1" x14ac:dyDescent="0.3">
      <c r="A122" s="449" t="str">
        <f>+A109</f>
        <v>Password to enter data = "Enter Info"</v>
      </c>
      <c r="B122" s="450"/>
      <c r="C122" s="451"/>
      <c r="D122" s="451"/>
      <c r="E122" s="451"/>
      <c r="F122" s="451"/>
      <c r="G122" s="451"/>
      <c r="H122" s="451"/>
      <c r="I122" s="450"/>
      <c r="J122" s="451"/>
      <c r="K122" s="451"/>
      <c r="L122" s="451"/>
      <c r="M122" s="451"/>
      <c r="N122" s="451"/>
      <c r="O122" s="451"/>
      <c r="P122" s="451"/>
      <c r="Q122" s="450"/>
      <c r="R122" s="451"/>
      <c r="S122" s="451"/>
      <c r="T122" s="451"/>
      <c r="U122" s="451"/>
      <c r="V122" s="451"/>
      <c r="W122" s="451"/>
      <c r="X122" s="451"/>
      <c r="Y122" s="451"/>
      <c r="Z122" s="451"/>
      <c r="AA122" s="451"/>
      <c r="AB122" s="450"/>
      <c r="AC122" s="450"/>
      <c r="AD122" s="871"/>
      <c r="AE122" s="872"/>
      <c r="AF122" s="872"/>
      <c r="AG122" s="872"/>
      <c r="AH122" s="872"/>
      <c r="AI122" s="873"/>
    </row>
    <row r="123" spans="1:35" ht="35.25" customHeight="1" x14ac:dyDescent="0.4">
      <c r="A123" s="434" t="str">
        <f>+A110</f>
        <v>June</v>
      </c>
      <c r="B123" s="624">
        <f>+B110+1</f>
        <v>25</v>
      </c>
      <c r="C123" s="884" t="s">
        <v>128</v>
      </c>
      <c r="D123" s="884"/>
      <c r="E123" s="884"/>
      <c r="F123" s="884"/>
      <c r="G123" s="377"/>
      <c r="H123" s="377"/>
      <c r="I123" s="21"/>
      <c r="J123" s="874" t="s">
        <v>129</v>
      </c>
      <c r="K123" s="875"/>
      <c r="L123" s="875"/>
      <c r="M123" s="875"/>
      <c r="N123" s="876" t="s">
        <v>130</v>
      </c>
      <c r="O123" s="876"/>
      <c r="P123" s="876"/>
      <c r="Q123" s="876"/>
      <c r="R123" s="424" t="str">
        <f>+R110</f>
        <v xml:space="preserve"> Corrections Tracking - Check out rooms</v>
      </c>
      <c r="S123" s="424"/>
      <c r="T123" s="424"/>
      <c r="U123" s="424"/>
      <c r="V123" s="424"/>
      <c r="W123" s="424"/>
      <c r="X123" s="424"/>
      <c r="Y123" s="424"/>
      <c r="Z123" s="424"/>
      <c r="AA123" s="424"/>
      <c r="AB123" s="424"/>
      <c r="AC123" s="424"/>
      <c r="AD123" s="461" t="s">
        <v>132</v>
      </c>
      <c r="AE123" s="426"/>
      <c r="AF123" s="426"/>
      <c r="AG123" s="426"/>
      <c r="AH123" s="426"/>
      <c r="AI123" s="427"/>
    </row>
    <row r="124" spans="1:35" ht="59.25" customHeight="1" x14ac:dyDescent="0.25">
      <c r="A124" s="378" t="s">
        <v>133</v>
      </c>
      <c r="C124" s="435" t="s">
        <v>134</v>
      </c>
      <c r="D124" s="435" t="s">
        <v>135</v>
      </c>
      <c r="E124" s="435" t="s">
        <v>134</v>
      </c>
      <c r="F124" s="435" t="s">
        <v>135</v>
      </c>
      <c r="G124" s="1" t="s">
        <v>136</v>
      </c>
      <c r="H124" s="1" t="s">
        <v>108</v>
      </c>
      <c r="I124" s="436"/>
      <c r="J124" s="437" t="str">
        <f>+Setup_and_Criteria!$B$13</f>
        <v>Checkouts</v>
      </c>
      <c r="K124" s="437" t="str">
        <f>+Setup_and_Criteria!$B$14</f>
        <v>Pet Rooms</v>
      </c>
      <c r="L124" s="437" t="str">
        <f>+Setup_and_Criteria!$B$15</f>
        <v>2 Rm &amp; Jac Stes</v>
      </c>
      <c r="M124" s="438" t="str">
        <f>+Setup_and_Criteria!$B$16</f>
        <v>Stayovers</v>
      </c>
      <c r="N124" s="269" t="s">
        <v>137</v>
      </c>
      <c r="O124" s="269" t="s">
        <v>138</v>
      </c>
      <c r="P124" s="439" t="s">
        <v>139</v>
      </c>
      <c r="Q124" s="439" t="s">
        <v>140</v>
      </c>
      <c r="R124" s="440" t="str">
        <f>+Corrections!$C$8</f>
        <v>Vanity</v>
      </c>
      <c r="S124" s="440" t="str">
        <f>+Corrections!$I$8</f>
        <v>Toilet</v>
      </c>
      <c r="T124" s="440" t="str">
        <f>+Corrections!$O$8</f>
        <v>Bed/Pillows</v>
      </c>
      <c r="U124" s="440" t="str">
        <f>+Corrections!$U$8</f>
        <v>Floor</v>
      </c>
      <c r="V124" s="440" t="str">
        <f>+Corrections!$AA$8</f>
        <v>Dusting</v>
      </c>
      <c r="W124" s="440" t="str">
        <f>+Corrections!$AG$8</f>
        <v>Fridge/Micro</v>
      </c>
      <c r="X124" s="440" t="str">
        <f>+Corrections!$AM$8</f>
        <v>Tub</v>
      </c>
      <c r="Y124" s="441" t="str">
        <f>+Corrections!$AS$8</f>
        <v>Mirrors/Glass</v>
      </c>
      <c r="Z124" s="440" t="str">
        <f>+Corrections!$AY$8</f>
        <v>Stocking</v>
      </c>
      <c r="AA124" s="440" t="str">
        <f>+Corrections!$BE$8</f>
        <v>Other</v>
      </c>
      <c r="AB124" s="269" t="s">
        <v>141</v>
      </c>
      <c r="AC124" s="269" t="str">
        <f>+$AC$7</f>
        <v>Daily Corr / Inspected Checkout</v>
      </c>
      <c r="AD124" s="889" t="s">
        <v>143</v>
      </c>
      <c r="AE124" s="890"/>
      <c r="AF124" s="890"/>
      <c r="AG124" s="890"/>
      <c r="AH124" s="890"/>
      <c r="AI124" s="891"/>
    </row>
    <row r="125" spans="1:35" x14ac:dyDescent="0.25">
      <c r="A125" s="638"/>
      <c r="C125" s="369"/>
      <c r="D125" s="369"/>
      <c r="E125" s="369"/>
      <c r="F125" s="369"/>
      <c r="G125" s="264">
        <f t="shared" ref="G125:G130" si="72">+(D125-C125)+(F125-E125)</f>
        <v>0</v>
      </c>
      <c r="H125" s="442">
        <f t="shared" ref="H125:H130" si="73">+G125*1440</f>
        <v>0</v>
      </c>
      <c r="J125" s="630"/>
      <c r="K125" s="630"/>
      <c r="L125" s="630"/>
      <c r="M125" s="630"/>
      <c r="N125" s="1">
        <f>IF(C125&gt;0,((J125*Setup_and_Criteria!$F$13)+('M1_1-15th'!K125*Setup_and_Criteria!$F$14)+('M1_1-15th'!L125*Setup_and_Criteria!$F$15)+('M1_1-15th'!M125*Setup_and_Criteria!$F$16)+Setup_and_Criteria!$J$16),0)</f>
        <v>0</v>
      </c>
      <c r="O125" s="442">
        <f>+H125</f>
        <v>0</v>
      </c>
      <c r="P125" s="443">
        <f t="shared" ref="P125:P131" si="74">+N125-O125</f>
        <v>0</v>
      </c>
      <c r="Q125" s="357" t="e">
        <f t="shared" ref="Q125:Q131" si="75">O125/_xlfn.SINGLE(SUM(J125:M125))</f>
        <v>#DIV/0!</v>
      </c>
      <c r="R125" s="630"/>
      <c r="S125" s="630"/>
      <c r="T125" s="630"/>
      <c r="U125" s="630"/>
      <c r="V125" s="630"/>
      <c r="W125" s="630"/>
      <c r="X125" s="630"/>
      <c r="Y125" s="630"/>
      <c r="Z125" s="630"/>
      <c r="AA125" s="630"/>
      <c r="AB125" s="1">
        <f t="shared" ref="AB125:AB131" si="76">SUM(R125:AA125)</f>
        <v>0</v>
      </c>
      <c r="AC125" s="357" t="e">
        <f t="shared" ref="AC125:AC131" si="77">+AB125/(J125+K125+L125)</f>
        <v>#DIV/0!</v>
      </c>
      <c r="AD125" s="864" t="s">
        <v>144</v>
      </c>
      <c r="AE125" s="865"/>
      <c r="AF125" s="865"/>
      <c r="AG125" s="866"/>
      <c r="AH125" s="866"/>
      <c r="AI125" s="867"/>
    </row>
    <row r="126" spans="1:35" x14ac:dyDescent="0.25">
      <c r="A126" s="638"/>
      <c r="C126" s="630"/>
      <c r="D126" s="630"/>
      <c r="E126" s="630"/>
      <c r="F126" s="630"/>
      <c r="G126" s="264">
        <f t="shared" si="72"/>
        <v>0</v>
      </c>
      <c r="H126" s="442">
        <f t="shared" si="73"/>
        <v>0</v>
      </c>
      <c r="J126" s="630"/>
      <c r="K126" s="630"/>
      <c r="L126" s="630"/>
      <c r="M126" s="630"/>
      <c r="N126" s="1">
        <f>IF(C126&gt;0,((J126*Setup_and_Criteria!$F$13)+('M1_1-15th'!K126*Setup_and_Criteria!$F$14)+('M1_1-15th'!L126*Setup_and_Criteria!$F$15)+('M1_1-15th'!M126*Setup_and_Criteria!$F$16)+Setup_and_Criteria!$J$16),0)</f>
        <v>0</v>
      </c>
      <c r="O126" s="442">
        <f t="shared" ref="O126:O131" si="78">+H126</f>
        <v>0</v>
      </c>
      <c r="P126" s="443">
        <f t="shared" si="74"/>
        <v>0</v>
      </c>
      <c r="Q126" s="357" t="e">
        <f t="shared" si="75"/>
        <v>#DIV/0!</v>
      </c>
      <c r="R126" s="630"/>
      <c r="S126" s="630"/>
      <c r="T126" s="630"/>
      <c r="U126" s="630"/>
      <c r="V126" s="630"/>
      <c r="W126" s="630"/>
      <c r="X126" s="630"/>
      <c r="Y126" s="630"/>
      <c r="Z126" s="630"/>
      <c r="AA126" s="630"/>
      <c r="AB126" s="1">
        <f t="shared" si="76"/>
        <v>0</v>
      </c>
      <c r="AC126" s="357" t="e">
        <f t="shared" si="77"/>
        <v>#DIV/0!</v>
      </c>
      <c r="AD126" s="864"/>
      <c r="AE126" s="865"/>
      <c r="AF126" s="865"/>
      <c r="AG126" s="866"/>
      <c r="AH126" s="866"/>
      <c r="AI126" s="867"/>
    </row>
    <row r="127" spans="1:35" x14ac:dyDescent="0.25">
      <c r="A127" s="638"/>
      <c r="C127" s="630"/>
      <c r="D127" s="630"/>
      <c r="E127" s="630"/>
      <c r="F127" s="630"/>
      <c r="G127" s="264">
        <f t="shared" si="72"/>
        <v>0</v>
      </c>
      <c r="H127" s="442">
        <f t="shared" si="73"/>
        <v>0</v>
      </c>
      <c r="J127" s="630"/>
      <c r="K127" s="630"/>
      <c r="L127" s="630"/>
      <c r="M127" s="630"/>
      <c r="N127" s="1">
        <f>IF(C127&gt;0,((J127*Setup_and_Criteria!$F$13)+('M1_1-15th'!K127*Setup_and_Criteria!$F$14)+('M1_1-15th'!L127*Setup_and_Criteria!$F$15)+('M1_1-15th'!M127*Setup_and_Criteria!$F$16)+Setup_and_Criteria!$J$16),0)</f>
        <v>0</v>
      </c>
      <c r="O127" s="442">
        <f t="shared" si="78"/>
        <v>0</v>
      </c>
      <c r="P127" s="443">
        <f t="shared" si="74"/>
        <v>0</v>
      </c>
      <c r="Q127" s="357" t="e">
        <f t="shared" si="75"/>
        <v>#DIV/0!</v>
      </c>
      <c r="R127" s="630"/>
      <c r="S127" s="630"/>
      <c r="T127" s="630"/>
      <c r="U127" s="630"/>
      <c r="V127" s="630"/>
      <c r="W127" s="630"/>
      <c r="X127" s="630"/>
      <c r="Y127" s="630"/>
      <c r="Z127" s="630"/>
      <c r="AA127" s="630"/>
      <c r="AB127" s="1">
        <f t="shared" si="76"/>
        <v>0</v>
      </c>
      <c r="AC127" s="357" t="e">
        <f t="shared" si="77"/>
        <v>#DIV/0!</v>
      </c>
      <c r="AD127" s="864"/>
      <c r="AE127" s="865"/>
      <c r="AF127" s="865"/>
      <c r="AG127" s="866"/>
      <c r="AH127" s="866"/>
      <c r="AI127" s="867"/>
    </row>
    <row r="128" spans="1:35" x14ac:dyDescent="0.25">
      <c r="A128" s="638"/>
      <c r="C128" s="630"/>
      <c r="D128" s="630"/>
      <c r="E128" s="630"/>
      <c r="F128" s="630"/>
      <c r="G128" s="264">
        <f t="shared" si="72"/>
        <v>0</v>
      </c>
      <c r="H128" s="442">
        <f t="shared" si="73"/>
        <v>0</v>
      </c>
      <c r="J128" s="630"/>
      <c r="K128" s="630"/>
      <c r="L128" s="630"/>
      <c r="M128" s="630"/>
      <c r="N128" s="1">
        <f>IF(C128&gt;0,((J128*Setup_and_Criteria!$F$13)+('M1_1-15th'!K128*Setup_and_Criteria!$F$14)+('M1_1-15th'!L128*Setup_and_Criteria!$F$15)+('M1_1-15th'!M128*Setup_and_Criteria!$F$16)+Setup_and_Criteria!$J$16),0)</f>
        <v>0</v>
      </c>
      <c r="O128" s="442">
        <f t="shared" si="78"/>
        <v>0</v>
      </c>
      <c r="P128" s="443">
        <f t="shared" si="74"/>
        <v>0</v>
      </c>
      <c r="Q128" s="357" t="e">
        <f t="shared" si="75"/>
        <v>#DIV/0!</v>
      </c>
      <c r="R128" s="630"/>
      <c r="S128" s="630"/>
      <c r="T128" s="630"/>
      <c r="U128" s="630"/>
      <c r="V128" s="630"/>
      <c r="W128" s="630"/>
      <c r="X128" s="630"/>
      <c r="Y128" s="630"/>
      <c r="Z128" s="630"/>
      <c r="AA128" s="630"/>
      <c r="AB128" s="1">
        <f t="shared" si="76"/>
        <v>0</v>
      </c>
      <c r="AC128" s="357" t="e">
        <f t="shared" si="77"/>
        <v>#DIV/0!</v>
      </c>
      <c r="AD128" s="864"/>
      <c r="AE128" s="865"/>
      <c r="AF128" s="865"/>
      <c r="AG128" s="866"/>
      <c r="AH128" s="866"/>
      <c r="AI128" s="867"/>
    </row>
    <row r="129" spans="1:35" x14ac:dyDescent="0.25">
      <c r="A129" s="638"/>
      <c r="C129" s="630"/>
      <c r="D129" s="630"/>
      <c r="E129" s="630"/>
      <c r="F129" s="630"/>
      <c r="G129" s="264">
        <f t="shared" si="72"/>
        <v>0</v>
      </c>
      <c r="H129" s="442">
        <f t="shared" si="73"/>
        <v>0</v>
      </c>
      <c r="J129" s="630"/>
      <c r="K129" s="630"/>
      <c r="L129" s="630"/>
      <c r="M129" s="630"/>
      <c r="N129" s="1">
        <f>IF(C129&gt;0,((J129*Setup_and_Criteria!$F$13)+('M1_1-15th'!K129*Setup_and_Criteria!$F$14)+('M1_1-15th'!L129*Setup_and_Criteria!$F$15)+('M1_1-15th'!M129*Setup_and_Criteria!$F$16)+Setup_and_Criteria!$J$16),0)</f>
        <v>0</v>
      </c>
      <c r="O129" s="442">
        <f t="shared" si="78"/>
        <v>0</v>
      </c>
      <c r="P129" s="443">
        <f t="shared" si="74"/>
        <v>0</v>
      </c>
      <c r="Q129" s="357" t="e">
        <f t="shared" si="75"/>
        <v>#DIV/0!</v>
      </c>
      <c r="R129" s="630"/>
      <c r="S129" s="630"/>
      <c r="T129" s="630"/>
      <c r="U129" s="630"/>
      <c r="V129" s="630"/>
      <c r="W129" s="630"/>
      <c r="X129" s="630"/>
      <c r="Y129" s="630"/>
      <c r="Z129" s="630"/>
      <c r="AA129" s="630"/>
      <c r="AB129" s="1">
        <f t="shared" si="76"/>
        <v>0</v>
      </c>
      <c r="AC129" s="357" t="e">
        <f t="shared" si="77"/>
        <v>#DIV/0!</v>
      </c>
      <c r="AD129" s="864"/>
      <c r="AE129" s="865"/>
      <c r="AF129" s="865"/>
      <c r="AG129" s="866"/>
      <c r="AH129" s="866"/>
      <c r="AI129" s="867"/>
    </row>
    <row r="130" spans="1:35" ht="15.75" thickBot="1" x14ac:dyDescent="0.3">
      <c r="A130" s="638"/>
      <c r="C130" s="370"/>
      <c r="D130" s="370"/>
      <c r="E130" s="630"/>
      <c r="F130" s="630"/>
      <c r="G130" s="264">
        <f t="shared" si="72"/>
        <v>0</v>
      </c>
      <c r="H130" s="442">
        <f t="shared" si="73"/>
        <v>0</v>
      </c>
      <c r="J130" s="371"/>
      <c r="K130" s="371"/>
      <c r="L130" s="371"/>
      <c r="M130" s="371"/>
      <c r="N130" s="358">
        <f>IF(C130&gt;0,((J130*Setup_and_Criteria!$F$13)+('M1_1-15th'!K130*Setup_and_Criteria!$F$14)+('M1_1-15th'!L130*Setup_and_Criteria!$F$15)+('M1_1-15th'!M130*Setup_and_Criteria!$F$16)+Setup_and_Criteria!$J$16),0)</f>
        <v>0</v>
      </c>
      <c r="O130" s="359">
        <f t="shared" si="78"/>
        <v>0</v>
      </c>
      <c r="P130" s="383">
        <f t="shared" si="74"/>
        <v>0</v>
      </c>
      <c r="Q130" s="360" t="e">
        <f t="shared" si="75"/>
        <v>#DIV/0!</v>
      </c>
      <c r="R130" s="511"/>
      <c r="S130" s="511"/>
      <c r="T130" s="511"/>
      <c r="U130" s="511"/>
      <c r="V130" s="511"/>
      <c r="W130" s="511"/>
      <c r="X130" s="511"/>
      <c r="Y130" s="511"/>
      <c r="Z130" s="511"/>
      <c r="AA130" s="511"/>
      <c r="AB130" s="1">
        <f t="shared" si="76"/>
        <v>0</v>
      </c>
      <c r="AC130" s="357" t="e">
        <f t="shared" si="77"/>
        <v>#DIV/0!</v>
      </c>
      <c r="AD130" s="864"/>
      <c r="AE130" s="865"/>
      <c r="AF130" s="865"/>
      <c r="AG130" s="866"/>
      <c r="AH130" s="866"/>
      <c r="AI130" s="867"/>
    </row>
    <row r="131" spans="1:35" ht="15.75" thickTop="1" x14ac:dyDescent="0.25">
      <c r="A131" s="58"/>
      <c r="H131" s="442">
        <f>SUM(H125:H130)</f>
        <v>0</v>
      </c>
      <c r="J131" s="1">
        <f>SUM(J125:J130)</f>
        <v>0</v>
      </c>
      <c r="K131" s="1">
        <f>SUM(K125:K130)</f>
        <v>0</v>
      </c>
      <c r="L131" s="1">
        <f>SUM(L125:L130)</f>
        <v>0</v>
      </c>
      <c r="M131" s="1">
        <f>SUM(M125:M130)</f>
        <v>0</v>
      </c>
      <c r="N131" s="1">
        <f>SUM(N125:N130)</f>
        <v>0</v>
      </c>
      <c r="O131" s="1">
        <f t="shared" si="78"/>
        <v>0</v>
      </c>
      <c r="P131" s="443">
        <f t="shared" si="74"/>
        <v>0</v>
      </c>
      <c r="Q131" s="357" t="e">
        <f t="shared" si="75"/>
        <v>#DIV/0!</v>
      </c>
      <c r="R131" s="1">
        <f t="shared" ref="R131:AA131" si="79">SUM(R125:R130)</f>
        <v>0</v>
      </c>
      <c r="S131" s="1">
        <f t="shared" si="79"/>
        <v>0</v>
      </c>
      <c r="T131" s="1">
        <f t="shared" si="79"/>
        <v>0</v>
      </c>
      <c r="U131" s="1">
        <f t="shared" si="79"/>
        <v>0</v>
      </c>
      <c r="V131" s="1">
        <f t="shared" si="79"/>
        <v>0</v>
      </c>
      <c r="W131" s="1">
        <f t="shared" si="79"/>
        <v>0</v>
      </c>
      <c r="X131" s="1">
        <f t="shared" si="79"/>
        <v>0</v>
      </c>
      <c r="Y131" s="1">
        <f t="shared" si="79"/>
        <v>0</v>
      </c>
      <c r="Z131" s="1">
        <f t="shared" si="79"/>
        <v>0</v>
      </c>
      <c r="AA131" s="1">
        <f t="shared" si="79"/>
        <v>0</v>
      </c>
      <c r="AB131" s="1">
        <f t="shared" si="76"/>
        <v>0</v>
      </c>
      <c r="AC131" s="357" t="e">
        <f t="shared" si="77"/>
        <v>#DIV/0!</v>
      </c>
      <c r="AD131" s="877"/>
      <c r="AE131" s="878"/>
      <c r="AF131" s="878"/>
      <c r="AG131" s="749"/>
      <c r="AH131" s="749"/>
      <c r="AI131" s="879"/>
    </row>
    <row r="132" spans="1:35" ht="21" customHeight="1" x14ac:dyDescent="0.35">
      <c r="A132" s="58"/>
      <c r="H132" s="442"/>
      <c r="N132" s="888" t="s">
        <v>145</v>
      </c>
      <c r="O132" s="888"/>
      <c r="P132" s="888"/>
      <c r="Q132" s="888"/>
      <c r="R132" s="431" t="s">
        <v>146</v>
      </c>
      <c r="S132" s="431"/>
      <c r="T132" s="431"/>
      <c r="U132" s="431"/>
      <c r="V132" s="431"/>
      <c r="W132" s="431"/>
      <c r="X132" s="431"/>
      <c r="Y132" s="431"/>
      <c r="Z132" s="431"/>
      <c r="AA132" s="431"/>
      <c r="AB132" s="431"/>
      <c r="AC132" s="431"/>
      <c r="AD132" s="880" t="s">
        <v>132</v>
      </c>
      <c r="AE132" s="881"/>
      <c r="AF132" s="881"/>
      <c r="AG132" s="881"/>
      <c r="AH132" s="881"/>
      <c r="AI132" s="882"/>
    </row>
    <row r="133" spans="1:35" ht="31.5" customHeight="1" x14ac:dyDescent="0.35">
      <c r="A133" s="617" t="s">
        <v>147</v>
      </c>
      <c r="C133" s="885" t="s">
        <v>128</v>
      </c>
      <c r="D133" s="885"/>
      <c r="E133" s="885"/>
      <c r="F133" s="885"/>
      <c r="H133" s="442"/>
      <c r="J133" s="444"/>
      <c r="K133" s="445" t="s">
        <v>35</v>
      </c>
      <c r="L133" s="445" t="s">
        <v>148</v>
      </c>
      <c r="N133" s="446" t="s">
        <v>149</v>
      </c>
      <c r="O133" s="447" t="s">
        <v>150</v>
      </c>
      <c r="P133" s="447" t="s">
        <v>138</v>
      </c>
      <c r="Q133" s="447" t="s">
        <v>151</v>
      </c>
      <c r="R133" s="749" t="s">
        <v>152</v>
      </c>
      <c r="S133" s="749"/>
      <c r="T133" s="883" t="s">
        <v>153</v>
      </c>
      <c r="U133" s="883"/>
      <c r="W133" s="425" t="s">
        <v>154</v>
      </c>
      <c r="X133" s="425"/>
      <c r="Y133" s="425"/>
      <c r="Z133" s="425"/>
      <c r="AA133" s="425"/>
      <c r="AB133" s="425"/>
      <c r="AC133" s="425"/>
      <c r="AD133" s="868" t="s">
        <v>160</v>
      </c>
      <c r="AE133" s="869"/>
      <c r="AF133" s="869"/>
      <c r="AG133" s="869"/>
      <c r="AH133" s="869"/>
      <c r="AI133" s="870"/>
    </row>
    <row r="134" spans="1:35" ht="18" customHeight="1" thickBot="1" x14ac:dyDescent="0.3">
      <c r="A134" s="639"/>
      <c r="B134" s="375"/>
      <c r="C134" s="372"/>
      <c r="D134" s="372"/>
      <c r="E134" s="372"/>
      <c r="F134" s="372"/>
      <c r="G134" s="366">
        <f>+(D134-C134)+(F134-E134)</f>
        <v>0</v>
      </c>
      <c r="H134" s="367">
        <f>+G134*1440</f>
        <v>0</v>
      </c>
      <c r="I134" s="859" t="s">
        <v>155</v>
      </c>
      <c r="J134" s="860"/>
      <c r="K134" s="373"/>
      <c r="L134" s="374"/>
      <c r="M134" s="423"/>
      <c r="N134" s="629">
        <f>+J131+L131+K131+K134+L134</f>
        <v>0</v>
      </c>
      <c r="O134" s="368">
        <f>+(Setup_and_Criteria!$K$31+(J131*Setup_and_Criteria!$F$20)+('M1_1-15th'!K131*Setup_and_Criteria!$F$21)+('M1_1-15th'!L131*Setup_and_Criteria!$F$20))+T134+(K134*Setup_and_Criteria!$F$21)+(Setup_and_Criteria!$F$22*'M1_1-15th'!L134)</f>
        <v>75</v>
      </c>
      <c r="P134" s="367">
        <f>+H134</f>
        <v>0</v>
      </c>
      <c r="Q134" s="367">
        <f>+O134-P134</f>
        <v>75</v>
      </c>
      <c r="R134" s="861" t="s">
        <v>252</v>
      </c>
      <c r="S134" s="861"/>
      <c r="T134" s="862"/>
      <c r="U134" s="863"/>
      <c r="V134" s="265" t="s">
        <v>156</v>
      </c>
      <c r="W134" s="854"/>
      <c r="X134" s="855"/>
      <c r="Y134" s="855"/>
      <c r="Z134" s="855"/>
      <c r="AA134" s="855"/>
      <c r="AB134" s="855"/>
      <c r="AC134" s="855"/>
      <c r="AD134" s="868"/>
      <c r="AE134" s="869"/>
      <c r="AF134" s="869"/>
      <c r="AG134" s="869"/>
      <c r="AH134" s="869"/>
      <c r="AI134" s="870"/>
    </row>
    <row r="135" spans="1:35" ht="15.75" thickBot="1" x14ac:dyDescent="0.3">
      <c r="A135" s="449" t="str">
        <f>+A122</f>
        <v>Password to enter data = "Enter Info"</v>
      </c>
      <c r="B135" s="450"/>
      <c r="C135" s="451"/>
      <c r="D135" s="451"/>
      <c r="E135" s="451"/>
      <c r="F135" s="451"/>
      <c r="G135" s="451"/>
      <c r="H135" s="451"/>
      <c r="I135" s="450"/>
      <c r="J135" s="451"/>
      <c r="K135" s="451"/>
      <c r="L135" s="451"/>
      <c r="M135" s="451"/>
      <c r="N135" s="451"/>
      <c r="O135" s="451"/>
      <c r="P135" s="451"/>
      <c r="Q135" s="450"/>
      <c r="R135" s="451"/>
      <c r="S135" s="451"/>
      <c r="T135" s="451"/>
      <c r="U135" s="451"/>
      <c r="V135" s="451"/>
      <c r="W135" s="451"/>
      <c r="X135" s="451"/>
      <c r="Y135" s="451"/>
      <c r="Z135" s="451"/>
      <c r="AA135" s="451"/>
      <c r="AB135" s="450"/>
      <c r="AC135" s="450"/>
      <c r="AD135" s="871"/>
      <c r="AE135" s="872"/>
      <c r="AF135" s="872"/>
      <c r="AG135" s="872"/>
      <c r="AH135" s="872"/>
      <c r="AI135" s="873"/>
    </row>
    <row r="136" spans="1:35" ht="35.25" customHeight="1" x14ac:dyDescent="0.4">
      <c r="A136" s="434" t="str">
        <f>+A123</f>
        <v>June</v>
      </c>
      <c r="B136" s="624">
        <f>+B123+1</f>
        <v>26</v>
      </c>
      <c r="C136" s="884" t="s">
        <v>128</v>
      </c>
      <c r="D136" s="884"/>
      <c r="E136" s="884"/>
      <c r="F136" s="884"/>
      <c r="G136" s="377"/>
      <c r="H136" s="377"/>
      <c r="I136" s="21"/>
      <c r="J136" s="874" t="s">
        <v>129</v>
      </c>
      <c r="K136" s="875"/>
      <c r="L136" s="875"/>
      <c r="M136" s="875"/>
      <c r="N136" s="876" t="s">
        <v>130</v>
      </c>
      <c r="O136" s="876"/>
      <c r="P136" s="876"/>
      <c r="Q136" s="876"/>
      <c r="R136" s="424" t="str">
        <f>+R123</f>
        <v xml:space="preserve"> Corrections Tracking - Check out rooms</v>
      </c>
      <c r="S136" s="424"/>
      <c r="T136" s="424"/>
      <c r="U136" s="424"/>
      <c r="V136" s="424"/>
      <c r="W136" s="424"/>
      <c r="X136" s="424"/>
      <c r="Y136" s="424"/>
      <c r="Z136" s="424"/>
      <c r="AA136" s="424"/>
      <c r="AB136" s="424"/>
      <c r="AC136" s="424"/>
      <c r="AD136" s="461" t="s">
        <v>132</v>
      </c>
      <c r="AE136" s="426"/>
      <c r="AF136" s="426"/>
      <c r="AG136" s="426"/>
      <c r="AH136" s="426"/>
      <c r="AI136" s="427"/>
    </row>
    <row r="137" spans="1:35" ht="59.25" customHeight="1" x14ac:dyDescent="0.25">
      <c r="A137" s="378" t="s">
        <v>133</v>
      </c>
      <c r="C137" s="435" t="s">
        <v>134</v>
      </c>
      <c r="D137" s="435" t="s">
        <v>135</v>
      </c>
      <c r="E137" s="435" t="s">
        <v>134</v>
      </c>
      <c r="F137" s="435" t="s">
        <v>135</v>
      </c>
      <c r="G137" s="1" t="s">
        <v>136</v>
      </c>
      <c r="H137" s="1" t="s">
        <v>108</v>
      </c>
      <c r="I137" s="436"/>
      <c r="J137" s="437" t="str">
        <f>+Setup_and_Criteria!$B$13</f>
        <v>Checkouts</v>
      </c>
      <c r="K137" s="437" t="str">
        <f>+Setup_and_Criteria!$B$14</f>
        <v>Pet Rooms</v>
      </c>
      <c r="L137" s="437" t="str">
        <f>+Setup_and_Criteria!$B$15</f>
        <v>2 Rm &amp; Jac Stes</v>
      </c>
      <c r="M137" s="438" t="str">
        <f>+Setup_and_Criteria!$B$16</f>
        <v>Stayovers</v>
      </c>
      <c r="N137" s="269" t="s">
        <v>137</v>
      </c>
      <c r="O137" s="269" t="s">
        <v>138</v>
      </c>
      <c r="P137" s="439" t="s">
        <v>139</v>
      </c>
      <c r="Q137" s="439" t="s">
        <v>140</v>
      </c>
      <c r="R137" s="440" t="str">
        <f>+Corrections!$C$8</f>
        <v>Vanity</v>
      </c>
      <c r="S137" s="440" t="str">
        <f>+Corrections!$I$8</f>
        <v>Toilet</v>
      </c>
      <c r="T137" s="440" t="str">
        <f>+Corrections!$O$8</f>
        <v>Bed/Pillows</v>
      </c>
      <c r="U137" s="440" t="str">
        <f>+Corrections!$U$8</f>
        <v>Floor</v>
      </c>
      <c r="V137" s="440" t="str">
        <f>+Corrections!$AA$8</f>
        <v>Dusting</v>
      </c>
      <c r="W137" s="440" t="str">
        <f>+Corrections!$AG$8</f>
        <v>Fridge/Micro</v>
      </c>
      <c r="X137" s="440" t="str">
        <f>+Corrections!$AM$8</f>
        <v>Tub</v>
      </c>
      <c r="Y137" s="441" t="str">
        <f>+Corrections!$AS$8</f>
        <v>Mirrors/Glass</v>
      </c>
      <c r="Z137" s="440" t="str">
        <f>+Corrections!$AY$8</f>
        <v>Stocking</v>
      </c>
      <c r="AA137" s="440" t="str">
        <f>+Corrections!$BE$8</f>
        <v>Other</v>
      </c>
      <c r="AB137" s="269" t="s">
        <v>141</v>
      </c>
      <c r="AC137" s="269" t="str">
        <f>+$AC$7</f>
        <v>Daily Corr / Inspected Checkout</v>
      </c>
      <c r="AD137" s="889" t="s">
        <v>143</v>
      </c>
      <c r="AE137" s="890"/>
      <c r="AF137" s="890"/>
      <c r="AG137" s="890"/>
      <c r="AH137" s="890"/>
      <c r="AI137" s="891"/>
    </row>
    <row r="138" spans="1:35" x14ac:dyDescent="0.25">
      <c r="A138" s="638"/>
      <c r="C138" s="369"/>
      <c r="D138" s="369"/>
      <c r="E138" s="369"/>
      <c r="F138" s="369"/>
      <c r="G138" s="264">
        <f t="shared" ref="G138:G143" si="80">+(D138-C138)+(F138-E138)</f>
        <v>0</v>
      </c>
      <c r="H138" s="442">
        <f t="shared" ref="H138:H143" si="81">+G138*1440</f>
        <v>0</v>
      </c>
      <c r="J138" s="630"/>
      <c r="K138" s="630"/>
      <c r="L138" s="630"/>
      <c r="M138" s="630"/>
      <c r="N138" s="1">
        <f>IF(C138&gt;0,((J138*Setup_and_Criteria!$F$13)+('M1_1-15th'!K138*Setup_and_Criteria!$F$14)+('M1_1-15th'!L138*Setup_and_Criteria!$F$15)+('M1_1-15th'!M138*Setup_and_Criteria!$F$16)+Setup_and_Criteria!$J$16),0)</f>
        <v>0</v>
      </c>
      <c r="O138" s="442">
        <f>+H138</f>
        <v>0</v>
      </c>
      <c r="P138" s="443">
        <f t="shared" ref="P138:P144" si="82">+N138-O138</f>
        <v>0</v>
      </c>
      <c r="Q138" s="357" t="e">
        <f t="shared" ref="Q138:Q144" si="83">O138/_xlfn.SINGLE(SUM(J138:M138))</f>
        <v>#DIV/0!</v>
      </c>
      <c r="R138" s="630"/>
      <c r="S138" s="630"/>
      <c r="T138" s="630"/>
      <c r="U138" s="630"/>
      <c r="V138" s="630"/>
      <c r="W138" s="630"/>
      <c r="X138" s="630"/>
      <c r="Y138" s="630"/>
      <c r="Z138" s="630"/>
      <c r="AA138" s="630"/>
      <c r="AB138" s="1">
        <f t="shared" ref="AB138:AB144" si="84">SUM(R138:AA138)</f>
        <v>0</v>
      </c>
      <c r="AC138" s="357" t="e">
        <f t="shared" ref="AC138:AC144" si="85">+AB138/(J138+K138+L138)</f>
        <v>#DIV/0!</v>
      </c>
      <c r="AD138" s="864" t="s">
        <v>144</v>
      </c>
      <c r="AE138" s="865"/>
      <c r="AF138" s="865"/>
      <c r="AG138" s="866"/>
      <c r="AH138" s="866"/>
      <c r="AI138" s="867"/>
    </row>
    <row r="139" spans="1:35" x14ac:dyDescent="0.25">
      <c r="A139" s="638"/>
      <c r="C139" s="630"/>
      <c r="D139" s="630"/>
      <c r="E139" s="630"/>
      <c r="F139" s="630"/>
      <c r="G139" s="264">
        <f t="shared" si="80"/>
        <v>0</v>
      </c>
      <c r="H139" s="442">
        <f t="shared" si="81"/>
        <v>0</v>
      </c>
      <c r="J139" s="630"/>
      <c r="K139" s="630"/>
      <c r="L139" s="630"/>
      <c r="M139" s="630"/>
      <c r="N139" s="1">
        <f>IF(C139&gt;0,((J139*Setup_and_Criteria!$F$13)+('M1_1-15th'!K139*Setup_and_Criteria!$F$14)+('M1_1-15th'!L139*Setup_and_Criteria!$F$15)+('M1_1-15th'!M139*Setup_and_Criteria!$F$16)+Setup_and_Criteria!$J$16),0)</f>
        <v>0</v>
      </c>
      <c r="O139" s="442">
        <f t="shared" ref="O139:O144" si="86">+H139</f>
        <v>0</v>
      </c>
      <c r="P139" s="443">
        <f t="shared" si="82"/>
        <v>0</v>
      </c>
      <c r="Q139" s="357" t="e">
        <f t="shared" si="83"/>
        <v>#DIV/0!</v>
      </c>
      <c r="R139" s="630"/>
      <c r="S139" s="630"/>
      <c r="T139" s="630"/>
      <c r="U139" s="630"/>
      <c r="V139" s="630"/>
      <c r="W139" s="630"/>
      <c r="X139" s="630"/>
      <c r="Y139" s="630"/>
      <c r="Z139" s="630"/>
      <c r="AA139" s="630"/>
      <c r="AB139" s="1">
        <f t="shared" si="84"/>
        <v>0</v>
      </c>
      <c r="AC139" s="357" t="e">
        <f t="shared" si="85"/>
        <v>#DIV/0!</v>
      </c>
      <c r="AD139" s="864"/>
      <c r="AE139" s="865"/>
      <c r="AF139" s="865"/>
      <c r="AG139" s="866"/>
      <c r="AH139" s="866"/>
      <c r="AI139" s="867"/>
    </row>
    <row r="140" spans="1:35" x14ac:dyDescent="0.25">
      <c r="A140" s="638"/>
      <c r="C140" s="630"/>
      <c r="D140" s="630"/>
      <c r="E140" s="630"/>
      <c r="F140" s="630"/>
      <c r="G140" s="264">
        <f t="shared" si="80"/>
        <v>0</v>
      </c>
      <c r="H140" s="442">
        <f t="shared" si="81"/>
        <v>0</v>
      </c>
      <c r="J140" s="630"/>
      <c r="K140" s="630"/>
      <c r="L140" s="630"/>
      <c r="M140" s="630"/>
      <c r="N140" s="1">
        <f>IF(C140&gt;0,((J140*Setup_and_Criteria!$F$13)+('M1_1-15th'!K140*Setup_and_Criteria!$F$14)+('M1_1-15th'!L140*Setup_and_Criteria!$F$15)+('M1_1-15th'!M140*Setup_and_Criteria!$F$16)+Setup_and_Criteria!$J$16),0)</f>
        <v>0</v>
      </c>
      <c r="O140" s="442">
        <f t="shared" si="86"/>
        <v>0</v>
      </c>
      <c r="P140" s="443">
        <f t="shared" si="82"/>
        <v>0</v>
      </c>
      <c r="Q140" s="357" t="e">
        <f t="shared" si="83"/>
        <v>#DIV/0!</v>
      </c>
      <c r="R140" s="630"/>
      <c r="S140" s="630"/>
      <c r="T140" s="630"/>
      <c r="U140" s="630"/>
      <c r="V140" s="630"/>
      <c r="W140" s="630"/>
      <c r="X140" s="630"/>
      <c r="Y140" s="630"/>
      <c r="Z140" s="630"/>
      <c r="AA140" s="630"/>
      <c r="AB140" s="1">
        <f t="shared" si="84"/>
        <v>0</v>
      </c>
      <c r="AC140" s="357" t="e">
        <f t="shared" si="85"/>
        <v>#DIV/0!</v>
      </c>
      <c r="AD140" s="864"/>
      <c r="AE140" s="865"/>
      <c r="AF140" s="865"/>
      <c r="AG140" s="866"/>
      <c r="AH140" s="866"/>
      <c r="AI140" s="867"/>
    </row>
    <row r="141" spans="1:35" x14ac:dyDescent="0.25">
      <c r="A141" s="638"/>
      <c r="C141" s="630"/>
      <c r="D141" s="630"/>
      <c r="E141" s="630"/>
      <c r="F141" s="630"/>
      <c r="G141" s="264">
        <f t="shared" si="80"/>
        <v>0</v>
      </c>
      <c r="H141" s="442">
        <f t="shared" si="81"/>
        <v>0</v>
      </c>
      <c r="J141" s="630"/>
      <c r="K141" s="630"/>
      <c r="L141" s="630"/>
      <c r="M141" s="630"/>
      <c r="N141" s="1">
        <f>IF(C141&gt;0,((J141*Setup_and_Criteria!$F$13)+('M1_1-15th'!K141*Setup_and_Criteria!$F$14)+('M1_1-15th'!L141*Setup_and_Criteria!$F$15)+('M1_1-15th'!M141*Setup_and_Criteria!$F$16)+Setup_and_Criteria!$J$16),0)</f>
        <v>0</v>
      </c>
      <c r="O141" s="442">
        <f t="shared" si="86"/>
        <v>0</v>
      </c>
      <c r="P141" s="443">
        <f t="shared" si="82"/>
        <v>0</v>
      </c>
      <c r="Q141" s="357" t="e">
        <f t="shared" si="83"/>
        <v>#DIV/0!</v>
      </c>
      <c r="R141" s="630"/>
      <c r="S141" s="630"/>
      <c r="T141" s="630"/>
      <c r="U141" s="630"/>
      <c r="V141" s="630"/>
      <c r="W141" s="630"/>
      <c r="X141" s="630"/>
      <c r="Y141" s="630"/>
      <c r="Z141" s="630"/>
      <c r="AA141" s="630"/>
      <c r="AB141" s="1">
        <f t="shared" si="84"/>
        <v>0</v>
      </c>
      <c r="AC141" s="357" t="e">
        <f t="shared" si="85"/>
        <v>#DIV/0!</v>
      </c>
      <c r="AD141" s="864"/>
      <c r="AE141" s="865"/>
      <c r="AF141" s="865"/>
      <c r="AG141" s="866"/>
      <c r="AH141" s="866"/>
      <c r="AI141" s="867"/>
    </row>
    <row r="142" spans="1:35" x14ac:dyDescent="0.25">
      <c r="A142" s="638"/>
      <c r="C142" s="630"/>
      <c r="D142" s="630"/>
      <c r="E142" s="630"/>
      <c r="F142" s="630"/>
      <c r="G142" s="264">
        <f t="shared" si="80"/>
        <v>0</v>
      </c>
      <c r="H142" s="442">
        <f t="shared" si="81"/>
        <v>0</v>
      </c>
      <c r="J142" s="630"/>
      <c r="K142" s="630"/>
      <c r="L142" s="630"/>
      <c r="M142" s="630"/>
      <c r="N142" s="1">
        <f>IF(C142&gt;0,((J142*Setup_and_Criteria!$F$13)+('M1_1-15th'!K142*Setup_and_Criteria!$F$14)+('M1_1-15th'!L142*Setup_and_Criteria!$F$15)+('M1_1-15th'!M142*Setup_and_Criteria!$F$16)+Setup_and_Criteria!$J$16),0)</f>
        <v>0</v>
      </c>
      <c r="O142" s="442">
        <f t="shared" si="86"/>
        <v>0</v>
      </c>
      <c r="P142" s="443">
        <f t="shared" si="82"/>
        <v>0</v>
      </c>
      <c r="Q142" s="357" t="e">
        <f t="shared" si="83"/>
        <v>#DIV/0!</v>
      </c>
      <c r="R142" s="630"/>
      <c r="S142" s="630"/>
      <c r="T142" s="630"/>
      <c r="U142" s="630"/>
      <c r="V142" s="630"/>
      <c r="W142" s="630"/>
      <c r="X142" s="630"/>
      <c r="Y142" s="630"/>
      <c r="Z142" s="630"/>
      <c r="AA142" s="630"/>
      <c r="AB142" s="1">
        <f t="shared" si="84"/>
        <v>0</v>
      </c>
      <c r="AC142" s="357" t="e">
        <f t="shared" si="85"/>
        <v>#DIV/0!</v>
      </c>
      <c r="AD142" s="864"/>
      <c r="AE142" s="865"/>
      <c r="AF142" s="865"/>
      <c r="AG142" s="866"/>
      <c r="AH142" s="866"/>
      <c r="AI142" s="867"/>
    </row>
    <row r="143" spans="1:35" ht="15.75" thickBot="1" x14ac:dyDescent="0.3">
      <c r="A143" s="638"/>
      <c r="C143" s="370"/>
      <c r="D143" s="370"/>
      <c r="E143" s="630"/>
      <c r="F143" s="630"/>
      <c r="G143" s="264">
        <f t="shared" si="80"/>
        <v>0</v>
      </c>
      <c r="H143" s="442">
        <f t="shared" si="81"/>
        <v>0</v>
      </c>
      <c r="J143" s="371"/>
      <c r="K143" s="371"/>
      <c r="L143" s="371"/>
      <c r="M143" s="371"/>
      <c r="N143" s="358">
        <f>IF(C143&gt;0,((J143*Setup_and_Criteria!$F$13)+('M1_1-15th'!K143*Setup_and_Criteria!$F$14)+('M1_1-15th'!L143*Setup_and_Criteria!$F$15)+('M1_1-15th'!M143*Setup_and_Criteria!$F$16)+Setup_and_Criteria!$J$16),0)</f>
        <v>0</v>
      </c>
      <c r="O143" s="359">
        <f t="shared" si="86"/>
        <v>0</v>
      </c>
      <c r="P143" s="383">
        <f t="shared" si="82"/>
        <v>0</v>
      </c>
      <c r="Q143" s="360" t="e">
        <f t="shared" si="83"/>
        <v>#DIV/0!</v>
      </c>
      <c r="R143" s="511"/>
      <c r="S143" s="511"/>
      <c r="T143" s="511"/>
      <c r="U143" s="511"/>
      <c r="V143" s="511"/>
      <c r="W143" s="511"/>
      <c r="X143" s="511"/>
      <c r="Y143" s="511"/>
      <c r="Z143" s="511"/>
      <c r="AA143" s="511"/>
      <c r="AB143" s="1">
        <f t="shared" si="84"/>
        <v>0</v>
      </c>
      <c r="AC143" s="357" t="e">
        <f t="shared" si="85"/>
        <v>#DIV/0!</v>
      </c>
      <c r="AD143" s="864"/>
      <c r="AE143" s="865"/>
      <c r="AF143" s="865"/>
      <c r="AG143" s="866"/>
      <c r="AH143" s="866"/>
      <c r="AI143" s="867"/>
    </row>
    <row r="144" spans="1:35" ht="15.75" thickTop="1" x14ac:dyDescent="0.25">
      <c r="A144" s="58"/>
      <c r="H144" s="442">
        <f>SUM(H138:H143)</f>
        <v>0</v>
      </c>
      <c r="J144" s="1">
        <f>SUM(J138:J143)</f>
        <v>0</v>
      </c>
      <c r="K144" s="1">
        <f>SUM(K138:K143)</f>
        <v>0</v>
      </c>
      <c r="L144" s="1">
        <f>SUM(L138:L143)</f>
        <v>0</v>
      </c>
      <c r="M144" s="1">
        <f>SUM(M138:M143)</f>
        <v>0</v>
      </c>
      <c r="N144" s="1">
        <f>SUM(N138:N143)</f>
        <v>0</v>
      </c>
      <c r="O144" s="1">
        <f t="shared" si="86"/>
        <v>0</v>
      </c>
      <c r="P144" s="443">
        <f t="shared" si="82"/>
        <v>0</v>
      </c>
      <c r="Q144" s="357" t="e">
        <f t="shared" si="83"/>
        <v>#DIV/0!</v>
      </c>
      <c r="R144" s="1">
        <f t="shared" ref="R144:AA144" si="87">SUM(R138:R143)</f>
        <v>0</v>
      </c>
      <c r="S144" s="1">
        <f t="shared" si="87"/>
        <v>0</v>
      </c>
      <c r="T144" s="1">
        <f t="shared" si="87"/>
        <v>0</v>
      </c>
      <c r="U144" s="1">
        <f t="shared" si="87"/>
        <v>0</v>
      </c>
      <c r="V144" s="1">
        <f t="shared" si="87"/>
        <v>0</v>
      </c>
      <c r="W144" s="1">
        <f t="shared" si="87"/>
        <v>0</v>
      </c>
      <c r="X144" s="1">
        <f t="shared" si="87"/>
        <v>0</v>
      </c>
      <c r="Y144" s="1">
        <f t="shared" si="87"/>
        <v>0</v>
      </c>
      <c r="Z144" s="1">
        <f t="shared" si="87"/>
        <v>0</v>
      </c>
      <c r="AA144" s="1">
        <f t="shared" si="87"/>
        <v>0</v>
      </c>
      <c r="AB144" s="1">
        <f t="shared" si="84"/>
        <v>0</v>
      </c>
      <c r="AC144" s="357" t="e">
        <f t="shared" si="85"/>
        <v>#DIV/0!</v>
      </c>
      <c r="AD144" s="877"/>
      <c r="AE144" s="878"/>
      <c r="AF144" s="878"/>
      <c r="AG144" s="749"/>
      <c r="AH144" s="749"/>
      <c r="AI144" s="879"/>
    </row>
    <row r="145" spans="1:35" ht="21" customHeight="1" x14ac:dyDescent="0.35">
      <c r="A145" s="58"/>
      <c r="H145" s="442"/>
      <c r="N145" s="888" t="s">
        <v>145</v>
      </c>
      <c r="O145" s="888"/>
      <c r="P145" s="888"/>
      <c r="Q145" s="888"/>
      <c r="R145" s="431" t="s">
        <v>146</v>
      </c>
      <c r="S145" s="431"/>
      <c r="T145" s="431"/>
      <c r="U145" s="431"/>
      <c r="V145" s="431"/>
      <c r="W145" s="431"/>
      <c r="X145" s="431"/>
      <c r="Y145" s="431"/>
      <c r="Z145" s="431"/>
      <c r="AA145" s="431"/>
      <c r="AB145" s="431"/>
      <c r="AC145" s="431"/>
      <c r="AD145" s="880" t="s">
        <v>132</v>
      </c>
      <c r="AE145" s="881"/>
      <c r="AF145" s="881"/>
      <c r="AG145" s="881"/>
      <c r="AH145" s="881"/>
      <c r="AI145" s="882"/>
    </row>
    <row r="146" spans="1:35" ht="31.5" customHeight="1" x14ac:dyDescent="0.35">
      <c r="A146" s="617" t="s">
        <v>147</v>
      </c>
      <c r="C146" s="885" t="s">
        <v>128</v>
      </c>
      <c r="D146" s="885"/>
      <c r="E146" s="885"/>
      <c r="F146" s="885"/>
      <c r="H146" s="442"/>
      <c r="J146" s="444"/>
      <c r="K146" s="445" t="s">
        <v>35</v>
      </c>
      <c r="L146" s="445" t="s">
        <v>148</v>
      </c>
      <c r="N146" s="446" t="s">
        <v>149</v>
      </c>
      <c r="O146" s="447" t="s">
        <v>150</v>
      </c>
      <c r="P146" s="447" t="s">
        <v>138</v>
      </c>
      <c r="Q146" s="447" t="s">
        <v>151</v>
      </c>
      <c r="R146" s="749" t="s">
        <v>152</v>
      </c>
      <c r="S146" s="749"/>
      <c r="T146" s="883" t="s">
        <v>153</v>
      </c>
      <c r="U146" s="883"/>
      <c r="W146" s="425" t="s">
        <v>154</v>
      </c>
      <c r="X146" s="425"/>
      <c r="Y146" s="425"/>
      <c r="Z146" s="425"/>
      <c r="AA146" s="425"/>
      <c r="AB146" s="425"/>
      <c r="AC146" s="425"/>
      <c r="AD146" s="868" t="s">
        <v>160</v>
      </c>
      <c r="AE146" s="869"/>
      <c r="AF146" s="869"/>
      <c r="AG146" s="869"/>
      <c r="AH146" s="869"/>
      <c r="AI146" s="870"/>
    </row>
    <row r="147" spans="1:35" ht="18" customHeight="1" thickBot="1" x14ac:dyDescent="0.3">
      <c r="A147" s="639"/>
      <c r="B147" s="375"/>
      <c r="C147" s="372"/>
      <c r="D147" s="372"/>
      <c r="E147" s="372"/>
      <c r="F147" s="372"/>
      <c r="G147" s="366">
        <f>+(D147-C147)+(F147-E147)</f>
        <v>0</v>
      </c>
      <c r="H147" s="367">
        <f>+G147*1440</f>
        <v>0</v>
      </c>
      <c r="I147" s="859" t="s">
        <v>155</v>
      </c>
      <c r="J147" s="860"/>
      <c r="K147" s="373"/>
      <c r="L147" s="374"/>
      <c r="M147" s="423"/>
      <c r="N147" s="629">
        <f>+J144+L144+K144+K147+L147</f>
        <v>0</v>
      </c>
      <c r="O147" s="368">
        <f>+(Setup_and_Criteria!$K$31+(J144*Setup_and_Criteria!$F$20)+('M1_1-15th'!K144*Setup_and_Criteria!$F$21)+('M1_1-15th'!L144*Setup_and_Criteria!$F$20))+T147+(K147*Setup_and_Criteria!$F$21)+(Setup_and_Criteria!$F$22*'M1_1-15th'!L147)</f>
        <v>75</v>
      </c>
      <c r="P147" s="367">
        <f>+H147</f>
        <v>0</v>
      </c>
      <c r="Q147" s="367">
        <f>+O147-P147</f>
        <v>75</v>
      </c>
      <c r="R147" s="861" t="s">
        <v>252</v>
      </c>
      <c r="S147" s="861"/>
      <c r="T147" s="862"/>
      <c r="U147" s="863"/>
      <c r="V147" s="265" t="s">
        <v>156</v>
      </c>
      <c r="W147" s="854"/>
      <c r="X147" s="855"/>
      <c r="Y147" s="855"/>
      <c r="Z147" s="855"/>
      <c r="AA147" s="855"/>
      <c r="AB147" s="855"/>
      <c r="AC147" s="855"/>
      <c r="AD147" s="868"/>
      <c r="AE147" s="869"/>
      <c r="AF147" s="869"/>
      <c r="AG147" s="869"/>
      <c r="AH147" s="869"/>
      <c r="AI147" s="870"/>
    </row>
    <row r="148" spans="1:35" ht="15.75" thickBot="1" x14ac:dyDescent="0.3">
      <c r="A148" s="449" t="str">
        <f>+A135</f>
        <v>Password to enter data = "Enter Info"</v>
      </c>
      <c r="B148" s="450"/>
      <c r="C148" s="451"/>
      <c r="D148" s="451"/>
      <c r="E148" s="451"/>
      <c r="F148" s="451"/>
      <c r="G148" s="451"/>
      <c r="H148" s="451"/>
      <c r="I148" s="450"/>
      <c r="J148" s="451"/>
      <c r="K148" s="451"/>
      <c r="L148" s="451"/>
      <c r="M148" s="451"/>
      <c r="N148" s="451"/>
      <c r="O148" s="451"/>
      <c r="P148" s="451"/>
      <c r="Q148" s="450"/>
      <c r="R148" s="451"/>
      <c r="S148" s="451"/>
      <c r="T148" s="451"/>
      <c r="U148" s="451"/>
      <c r="V148" s="451"/>
      <c r="W148" s="451"/>
      <c r="X148" s="451"/>
      <c r="Y148" s="451"/>
      <c r="Z148" s="451"/>
      <c r="AA148" s="451"/>
      <c r="AB148" s="450"/>
      <c r="AC148" s="450"/>
      <c r="AD148" s="871"/>
      <c r="AE148" s="872"/>
      <c r="AF148" s="872"/>
      <c r="AG148" s="872"/>
      <c r="AH148" s="872"/>
      <c r="AI148" s="873"/>
    </row>
    <row r="149" spans="1:35" ht="35.25" customHeight="1" x14ac:dyDescent="0.4">
      <c r="A149" s="434" t="str">
        <f>+A136</f>
        <v>June</v>
      </c>
      <c r="B149" s="624">
        <f>+B136+1</f>
        <v>27</v>
      </c>
      <c r="C149" s="884" t="s">
        <v>128</v>
      </c>
      <c r="D149" s="884"/>
      <c r="E149" s="884"/>
      <c r="F149" s="884"/>
      <c r="G149" s="377"/>
      <c r="H149" s="377"/>
      <c r="I149" s="21"/>
      <c r="J149" s="874" t="s">
        <v>129</v>
      </c>
      <c r="K149" s="875"/>
      <c r="L149" s="875"/>
      <c r="M149" s="875"/>
      <c r="N149" s="876" t="s">
        <v>130</v>
      </c>
      <c r="O149" s="876"/>
      <c r="P149" s="876"/>
      <c r="Q149" s="876"/>
      <c r="R149" s="424" t="str">
        <f>+R136</f>
        <v xml:space="preserve"> Corrections Tracking - Check out rooms</v>
      </c>
      <c r="S149" s="424"/>
      <c r="T149" s="424"/>
      <c r="U149" s="424"/>
      <c r="V149" s="424"/>
      <c r="W149" s="424"/>
      <c r="X149" s="424"/>
      <c r="Y149" s="424"/>
      <c r="Z149" s="424"/>
      <c r="AA149" s="424"/>
      <c r="AB149" s="424"/>
      <c r="AC149" s="424"/>
      <c r="AD149" s="461" t="s">
        <v>132</v>
      </c>
      <c r="AE149" s="426"/>
      <c r="AF149" s="426"/>
      <c r="AG149" s="426"/>
      <c r="AH149" s="426"/>
      <c r="AI149" s="427"/>
    </row>
    <row r="150" spans="1:35" ht="59.25" customHeight="1" x14ac:dyDescent="0.25">
      <c r="A150" s="378" t="s">
        <v>133</v>
      </c>
      <c r="C150" s="435" t="s">
        <v>134</v>
      </c>
      <c r="D150" s="435" t="s">
        <v>135</v>
      </c>
      <c r="E150" s="435" t="s">
        <v>134</v>
      </c>
      <c r="F150" s="435" t="s">
        <v>135</v>
      </c>
      <c r="G150" s="1" t="s">
        <v>136</v>
      </c>
      <c r="H150" s="1" t="s">
        <v>108</v>
      </c>
      <c r="I150" s="436"/>
      <c r="J150" s="437" t="str">
        <f>+Setup_and_Criteria!$B$13</f>
        <v>Checkouts</v>
      </c>
      <c r="K150" s="437" t="str">
        <f>+Setup_and_Criteria!$B$14</f>
        <v>Pet Rooms</v>
      </c>
      <c r="L150" s="437" t="str">
        <f>+Setup_and_Criteria!$B$15</f>
        <v>2 Rm &amp; Jac Stes</v>
      </c>
      <c r="M150" s="438" t="str">
        <f>+Setup_and_Criteria!$B$16</f>
        <v>Stayovers</v>
      </c>
      <c r="N150" s="269" t="s">
        <v>137</v>
      </c>
      <c r="O150" s="269" t="s">
        <v>138</v>
      </c>
      <c r="P150" s="439" t="s">
        <v>139</v>
      </c>
      <c r="Q150" s="439" t="s">
        <v>140</v>
      </c>
      <c r="R150" s="440" t="str">
        <f>+Corrections!$C$8</f>
        <v>Vanity</v>
      </c>
      <c r="S150" s="440" t="str">
        <f>+Corrections!$I$8</f>
        <v>Toilet</v>
      </c>
      <c r="T150" s="440" t="str">
        <f>+Corrections!$O$8</f>
        <v>Bed/Pillows</v>
      </c>
      <c r="U150" s="440" t="str">
        <f>+Corrections!$U$8</f>
        <v>Floor</v>
      </c>
      <c r="V150" s="440" t="str">
        <f>+Corrections!$AA$8</f>
        <v>Dusting</v>
      </c>
      <c r="W150" s="440" t="str">
        <f>+Corrections!$AG$8</f>
        <v>Fridge/Micro</v>
      </c>
      <c r="X150" s="440" t="str">
        <f>+Corrections!$AM$8</f>
        <v>Tub</v>
      </c>
      <c r="Y150" s="441" t="str">
        <f>+Corrections!$AS$8</f>
        <v>Mirrors/Glass</v>
      </c>
      <c r="Z150" s="440" t="str">
        <f>+Corrections!$AY$8</f>
        <v>Stocking</v>
      </c>
      <c r="AA150" s="440" t="str">
        <f>+Corrections!$BE$8</f>
        <v>Other</v>
      </c>
      <c r="AB150" s="269" t="s">
        <v>141</v>
      </c>
      <c r="AC150" s="269" t="str">
        <f>+$AC$7</f>
        <v>Daily Corr / Inspected Checkout</v>
      </c>
      <c r="AD150" s="889" t="s">
        <v>143</v>
      </c>
      <c r="AE150" s="890"/>
      <c r="AF150" s="890"/>
      <c r="AG150" s="890"/>
      <c r="AH150" s="890"/>
      <c r="AI150" s="891"/>
    </row>
    <row r="151" spans="1:35" x14ac:dyDescent="0.25">
      <c r="A151" s="638"/>
      <c r="C151" s="369"/>
      <c r="D151" s="369"/>
      <c r="E151" s="369"/>
      <c r="F151" s="369"/>
      <c r="G151" s="264">
        <f t="shared" ref="G151:G156" si="88">+(D151-C151)+(F151-E151)</f>
        <v>0</v>
      </c>
      <c r="H151" s="442">
        <f t="shared" ref="H151:H156" si="89">+G151*1440</f>
        <v>0</v>
      </c>
      <c r="J151" s="630"/>
      <c r="K151" s="630"/>
      <c r="L151" s="630"/>
      <c r="M151" s="630"/>
      <c r="N151" s="1">
        <f>IF(C151&gt;0,((J151*Setup_and_Criteria!$F$13)+('M1_1-15th'!K151*Setup_and_Criteria!$F$14)+('M1_1-15th'!L151*Setup_and_Criteria!$F$15)+('M1_1-15th'!M151*Setup_and_Criteria!$F$16)+Setup_and_Criteria!$J$16),0)</f>
        <v>0</v>
      </c>
      <c r="O151" s="442">
        <f>+H151</f>
        <v>0</v>
      </c>
      <c r="P151" s="443">
        <f t="shared" ref="P151:P157" si="90">+N151-O151</f>
        <v>0</v>
      </c>
      <c r="Q151" s="357" t="e">
        <f t="shared" ref="Q151:Q157" si="91">O151/_xlfn.SINGLE(SUM(J151:M151))</f>
        <v>#DIV/0!</v>
      </c>
      <c r="R151" s="630"/>
      <c r="S151" s="630"/>
      <c r="T151" s="630"/>
      <c r="U151" s="630"/>
      <c r="V151" s="630"/>
      <c r="W151" s="630"/>
      <c r="X151" s="630"/>
      <c r="Y151" s="630"/>
      <c r="Z151" s="630"/>
      <c r="AA151" s="630"/>
      <c r="AB151" s="1">
        <f t="shared" ref="AB151:AB157" si="92">SUM(R151:AA151)</f>
        <v>0</v>
      </c>
      <c r="AC151" s="357" t="e">
        <f t="shared" ref="AC151:AC157" si="93">+AB151/(J151+K151+L151)</f>
        <v>#DIV/0!</v>
      </c>
      <c r="AD151" s="864" t="s">
        <v>144</v>
      </c>
      <c r="AE151" s="865"/>
      <c r="AF151" s="865"/>
      <c r="AG151" s="866"/>
      <c r="AH151" s="866"/>
      <c r="AI151" s="867"/>
    </row>
    <row r="152" spans="1:35" x14ac:dyDescent="0.25">
      <c r="A152" s="638"/>
      <c r="C152" s="630"/>
      <c r="D152" s="630"/>
      <c r="E152" s="630"/>
      <c r="F152" s="630"/>
      <c r="G152" s="264">
        <f t="shared" si="88"/>
        <v>0</v>
      </c>
      <c r="H152" s="442">
        <f t="shared" si="89"/>
        <v>0</v>
      </c>
      <c r="J152" s="630"/>
      <c r="K152" s="630"/>
      <c r="L152" s="630"/>
      <c r="M152" s="630"/>
      <c r="N152" s="1">
        <f>IF(C152&gt;0,((J152*Setup_and_Criteria!$F$13)+('M1_1-15th'!K152*Setup_and_Criteria!$F$14)+('M1_1-15th'!L152*Setup_and_Criteria!$F$15)+('M1_1-15th'!M152*Setup_and_Criteria!$F$16)+Setup_and_Criteria!$J$16),0)</f>
        <v>0</v>
      </c>
      <c r="O152" s="442">
        <f t="shared" ref="O152:O157" si="94">+H152</f>
        <v>0</v>
      </c>
      <c r="P152" s="443">
        <f t="shared" si="90"/>
        <v>0</v>
      </c>
      <c r="Q152" s="357" t="e">
        <f t="shared" si="91"/>
        <v>#DIV/0!</v>
      </c>
      <c r="R152" s="630"/>
      <c r="S152" s="630"/>
      <c r="T152" s="630"/>
      <c r="U152" s="630"/>
      <c r="V152" s="630"/>
      <c r="W152" s="630"/>
      <c r="X152" s="630"/>
      <c r="Y152" s="630"/>
      <c r="Z152" s="630"/>
      <c r="AA152" s="630"/>
      <c r="AB152" s="1">
        <f t="shared" si="92"/>
        <v>0</v>
      </c>
      <c r="AC152" s="357" t="e">
        <f t="shared" si="93"/>
        <v>#DIV/0!</v>
      </c>
      <c r="AD152" s="864"/>
      <c r="AE152" s="865"/>
      <c r="AF152" s="865"/>
      <c r="AG152" s="866"/>
      <c r="AH152" s="866"/>
      <c r="AI152" s="867"/>
    </row>
    <row r="153" spans="1:35" x14ac:dyDescent="0.25">
      <c r="A153" s="638"/>
      <c r="C153" s="630"/>
      <c r="D153" s="630"/>
      <c r="E153" s="630"/>
      <c r="F153" s="630"/>
      <c r="G153" s="264">
        <f t="shared" si="88"/>
        <v>0</v>
      </c>
      <c r="H153" s="442">
        <f t="shared" si="89"/>
        <v>0</v>
      </c>
      <c r="J153" s="630"/>
      <c r="K153" s="630"/>
      <c r="L153" s="630"/>
      <c r="M153" s="630"/>
      <c r="N153" s="1">
        <f>IF(C153&gt;0,((J153*Setup_and_Criteria!$F$13)+('M1_1-15th'!K153*Setup_and_Criteria!$F$14)+('M1_1-15th'!L153*Setup_and_Criteria!$F$15)+('M1_1-15th'!M153*Setup_and_Criteria!$F$16)+Setup_and_Criteria!$J$16),0)</f>
        <v>0</v>
      </c>
      <c r="O153" s="442">
        <f t="shared" si="94"/>
        <v>0</v>
      </c>
      <c r="P153" s="443">
        <f t="shared" si="90"/>
        <v>0</v>
      </c>
      <c r="Q153" s="357" t="e">
        <f t="shared" si="91"/>
        <v>#DIV/0!</v>
      </c>
      <c r="R153" s="630"/>
      <c r="S153" s="630"/>
      <c r="T153" s="630"/>
      <c r="U153" s="630"/>
      <c r="V153" s="630"/>
      <c r="W153" s="630"/>
      <c r="X153" s="630"/>
      <c r="Y153" s="630"/>
      <c r="Z153" s="630"/>
      <c r="AA153" s="630"/>
      <c r="AB153" s="1">
        <f t="shared" si="92"/>
        <v>0</v>
      </c>
      <c r="AC153" s="357" t="e">
        <f t="shared" si="93"/>
        <v>#DIV/0!</v>
      </c>
      <c r="AD153" s="864"/>
      <c r="AE153" s="865"/>
      <c r="AF153" s="865"/>
      <c r="AG153" s="866"/>
      <c r="AH153" s="866"/>
      <c r="AI153" s="867"/>
    </row>
    <row r="154" spans="1:35" x14ac:dyDescent="0.25">
      <c r="A154" s="638"/>
      <c r="C154" s="630"/>
      <c r="D154" s="630"/>
      <c r="E154" s="630"/>
      <c r="F154" s="630"/>
      <c r="G154" s="264">
        <f t="shared" si="88"/>
        <v>0</v>
      </c>
      <c r="H154" s="442">
        <f t="shared" si="89"/>
        <v>0</v>
      </c>
      <c r="J154" s="630"/>
      <c r="K154" s="630"/>
      <c r="L154" s="630"/>
      <c r="M154" s="630"/>
      <c r="N154" s="1">
        <f>IF(C154&gt;0,((J154*Setup_and_Criteria!$F$13)+('M1_1-15th'!K154*Setup_and_Criteria!$F$14)+('M1_1-15th'!L154*Setup_and_Criteria!$F$15)+('M1_1-15th'!M154*Setup_and_Criteria!$F$16)+Setup_and_Criteria!$J$16),0)</f>
        <v>0</v>
      </c>
      <c r="O154" s="442">
        <f t="shared" si="94"/>
        <v>0</v>
      </c>
      <c r="P154" s="443">
        <f t="shared" si="90"/>
        <v>0</v>
      </c>
      <c r="Q154" s="357" t="e">
        <f t="shared" si="91"/>
        <v>#DIV/0!</v>
      </c>
      <c r="R154" s="630"/>
      <c r="S154" s="630"/>
      <c r="T154" s="630"/>
      <c r="U154" s="630"/>
      <c r="V154" s="630"/>
      <c r="W154" s="630"/>
      <c r="X154" s="630"/>
      <c r="Y154" s="630"/>
      <c r="Z154" s="630"/>
      <c r="AA154" s="630"/>
      <c r="AB154" s="1">
        <f t="shared" si="92"/>
        <v>0</v>
      </c>
      <c r="AC154" s="357" t="e">
        <f t="shared" si="93"/>
        <v>#DIV/0!</v>
      </c>
      <c r="AD154" s="864"/>
      <c r="AE154" s="865"/>
      <c r="AF154" s="865"/>
      <c r="AG154" s="866"/>
      <c r="AH154" s="866"/>
      <c r="AI154" s="867"/>
    </row>
    <row r="155" spans="1:35" x14ac:dyDescent="0.25">
      <c r="A155" s="638"/>
      <c r="C155" s="630"/>
      <c r="D155" s="630"/>
      <c r="E155" s="630"/>
      <c r="F155" s="630"/>
      <c r="G155" s="264">
        <f t="shared" si="88"/>
        <v>0</v>
      </c>
      <c r="H155" s="442">
        <f t="shared" si="89"/>
        <v>0</v>
      </c>
      <c r="J155" s="630"/>
      <c r="K155" s="630"/>
      <c r="L155" s="630"/>
      <c r="M155" s="630"/>
      <c r="N155" s="1">
        <f>IF(C155&gt;0,((J155*Setup_and_Criteria!$F$13)+('M1_1-15th'!K155*Setup_and_Criteria!$F$14)+('M1_1-15th'!L155*Setup_and_Criteria!$F$15)+('M1_1-15th'!M155*Setup_and_Criteria!$F$16)+Setup_and_Criteria!$J$16),0)</f>
        <v>0</v>
      </c>
      <c r="O155" s="442">
        <f t="shared" si="94"/>
        <v>0</v>
      </c>
      <c r="P155" s="443">
        <f t="shared" si="90"/>
        <v>0</v>
      </c>
      <c r="Q155" s="357" t="e">
        <f t="shared" si="91"/>
        <v>#DIV/0!</v>
      </c>
      <c r="R155" s="630"/>
      <c r="S155" s="630"/>
      <c r="T155" s="630"/>
      <c r="U155" s="630"/>
      <c r="V155" s="630"/>
      <c r="W155" s="630"/>
      <c r="X155" s="630"/>
      <c r="Y155" s="630"/>
      <c r="Z155" s="630"/>
      <c r="AA155" s="630"/>
      <c r="AB155" s="1">
        <f t="shared" si="92"/>
        <v>0</v>
      </c>
      <c r="AC155" s="357" t="e">
        <f t="shared" si="93"/>
        <v>#DIV/0!</v>
      </c>
      <c r="AD155" s="864"/>
      <c r="AE155" s="865"/>
      <c r="AF155" s="865"/>
      <c r="AG155" s="866"/>
      <c r="AH155" s="866"/>
      <c r="AI155" s="867"/>
    </row>
    <row r="156" spans="1:35" ht="15.75" thickBot="1" x14ac:dyDescent="0.3">
      <c r="A156" s="638"/>
      <c r="C156" s="370"/>
      <c r="D156" s="370"/>
      <c r="E156" s="630"/>
      <c r="F156" s="630"/>
      <c r="G156" s="264">
        <f t="shared" si="88"/>
        <v>0</v>
      </c>
      <c r="H156" s="442">
        <f t="shared" si="89"/>
        <v>0</v>
      </c>
      <c r="J156" s="371"/>
      <c r="K156" s="371"/>
      <c r="L156" s="371"/>
      <c r="M156" s="371"/>
      <c r="N156" s="358">
        <f>IF(C156&gt;0,((J156*Setup_and_Criteria!$F$13)+('M1_1-15th'!K156*Setup_and_Criteria!$F$14)+('M1_1-15th'!L156*Setup_and_Criteria!$F$15)+('M1_1-15th'!M156*Setup_and_Criteria!$F$16)+Setup_and_Criteria!$J$16),0)</f>
        <v>0</v>
      </c>
      <c r="O156" s="359">
        <f t="shared" si="94"/>
        <v>0</v>
      </c>
      <c r="P156" s="383">
        <f t="shared" si="90"/>
        <v>0</v>
      </c>
      <c r="Q156" s="360" t="e">
        <f t="shared" si="91"/>
        <v>#DIV/0!</v>
      </c>
      <c r="R156" s="511"/>
      <c r="S156" s="511"/>
      <c r="T156" s="511"/>
      <c r="U156" s="511"/>
      <c r="V156" s="511"/>
      <c r="W156" s="511"/>
      <c r="X156" s="511"/>
      <c r="Y156" s="511"/>
      <c r="Z156" s="511"/>
      <c r="AA156" s="511"/>
      <c r="AB156" s="1">
        <f t="shared" si="92"/>
        <v>0</v>
      </c>
      <c r="AC156" s="357" t="e">
        <f t="shared" si="93"/>
        <v>#DIV/0!</v>
      </c>
      <c r="AD156" s="864"/>
      <c r="AE156" s="865"/>
      <c r="AF156" s="865"/>
      <c r="AG156" s="866"/>
      <c r="AH156" s="866"/>
      <c r="AI156" s="867"/>
    </row>
    <row r="157" spans="1:35" ht="15.75" thickTop="1" x14ac:dyDescent="0.25">
      <c r="A157" s="58"/>
      <c r="H157" s="442">
        <f>SUM(H151:H156)</f>
        <v>0</v>
      </c>
      <c r="J157" s="1">
        <f>SUM(J151:J156)</f>
        <v>0</v>
      </c>
      <c r="K157" s="1">
        <f>SUM(K151:K156)</f>
        <v>0</v>
      </c>
      <c r="L157" s="1">
        <f>SUM(L151:L156)</f>
        <v>0</v>
      </c>
      <c r="M157" s="1">
        <f>SUM(M151:M156)</f>
        <v>0</v>
      </c>
      <c r="N157" s="1">
        <f>SUM(N151:N156)</f>
        <v>0</v>
      </c>
      <c r="O157" s="1">
        <f t="shared" si="94"/>
        <v>0</v>
      </c>
      <c r="P157" s="443">
        <f t="shared" si="90"/>
        <v>0</v>
      </c>
      <c r="Q157" s="357" t="e">
        <f t="shared" si="91"/>
        <v>#DIV/0!</v>
      </c>
      <c r="R157" s="1">
        <f t="shared" ref="R157:AA157" si="95">SUM(R151:R156)</f>
        <v>0</v>
      </c>
      <c r="S157" s="1">
        <f t="shared" si="95"/>
        <v>0</v>
      </c>
      <c r="T157" s="1">
        <f t="shared" si="95"/>
        <v>0</v>
      </c>
      <c r="U157" s="1">
        <f t="shared" si="95"/>
        <v>0</v>
      </c>
      <c r="V157" s="1">
        <f t="shared" si="95"/>
        <v>0</v>
      </c>
      <c r="W157" s="1">
        <f t="shared" si="95"/>
        <v>0</v>
      </c>
      <c r="X157" s="1">
        <f t="shared" si="95"/>
        <v>0</v>
      </c>
      <c r="Y157" s="1">
        <f t="shared" si="95"/>
        <v>0</v>
      </c>
      <c r="Z157" s="1">
        <f t="shared" si="95"/>
        <v>0</v>
      </c>
      <c r="AA157" s="1">
        <f t="shared" si="95"/>
        <v>0</v>
      </c>
      <c r="AB157" s="1">
        <f t="shared" si="92"/>
        <v>0</v>
      </c>
      <c r="AC157" s="357" t="e">
        <f t="shared" si="93"/>
        <v>#DIV/0!</v>
      </c>
      <c r="AD157" s="877"/>
      <c r="AE157" s="878"/>
      <c r="AF157" s="878"/>
      <c r="AG157" s="749"/>
      <c r="AH157" s="749"/>
      <c r="AI157" s="879"/>
    </row>
    <row r="158" spans="1:35" ht="21" customHeight="1" x14ac:dyDescent="0.35">
      <c r="A158" s="58"/>
      <c r="H158" s="442"/>
      <c r="N158" s="888" t="s">
        <v>145</v>
      </c>
      <c r="O158" s="888"/>
      <c r="P158" s="888"/>
      <c r="Q158" s="888"/>
      <c r="R158" s="431" t="s">
        <v>146</v>
      </c>
      <c r="S158" s="431"/>
      <c r="T158" s="431"/>
      <c r="U158" s="431"/>
      <c r="V158" s="431"/>
      <c r="W158" s="431"/>
      <c r="X158" s="431"/>
      <c r="Y158" s="431"/>
      <c r="Z158" s="431"/>
      <c r="AA158" s="431"/>
      <c r="AB158" s="431"/>
      <c r="AC158" s="431"/>
      <c r="AD158" s="880" t="s">
        <v>132</v>
      </c>
      <c r="AE158" s="881"/>
      <c r="AF158" s="881"/>
      <c r="AG158" s="881"/>
      <c r="AH158" s="881"/>
      <c r="AI158" s="882"/>
    </row>
    <row r="159" spans="1:35" ht="31.5" customHeight="1" x14ac:dyDescent="0.35">
      <c r="A159" s="617" t="s">
        <v>147</v>
      </c>
      <c r="C159" s="885" t="s">
        <v>128</v>
      </c>
      <c r="D159" s="885"/>
      <c r="E159" s="885"/>
      <c r="F159" s="885"/>
      <c r="H159" s="442"/>
      <c r="J159" s="444"/>
      <c r="K159" s="445" t="s">
        <v>35</v>
      </c>
      <c r="L159" s="445" t="s">
        <v>148</v>
      </c>
      <c r="N159" s="446" t="s">
        <v>149</v>
      </c>
      <c r="O159" s="447" t="s">
        <v>150</v>
      </c>
      <c r="P159" s="447" t="s">
        <v>138</v>
      </c>
      <c r="Q159" s="447" t="s">
        <v>151</v>
      </c>
      <c r="R159" s="749" t="s">
        <v>152</v>
      </c>
      <c r="S159" s="749"/>
      <c r="T159" s="883" t="s">
        <v>153</v>
      </c>
      <c r="U159" s="883"/>
      <c r="W159" s="425" t="s">
        <v>154</v>
      </c>
      <c r="X159" s="425"/>
      <c r="Y159" s="425"/>
      <c r="Z159" s="425"/>
      <c r="AA159" s="425"/>
      <c r="AB159" s="425"/>
      <c r="AC159" s="425"/>
      <c r="AD159" s="868" t="s">
        <v>160</v>
      </c>
      <c r="AE159" s="869"/>
      <c r="AF159" s="869"/>
      <c r="AG159" s="869"/>
      <c r="AH159" s="869"/>
      <c r="AI159" s="870"/>
    </row>
    <row r="160" spans="1:35" ht="18" customHeight="1" thickBot="1" x14ac:dyDescent="0.3">
      <c r="A160" s="639"/>
      <c r="B160" s="375"/>
      <c r="C160" s="372"/>
      <c r="D160" s="372"/>
      <c r="E160" s="372"/>
      <c r="F160" s="372"/>
      <c r="G160" s="366">
        <f>+(D160-C160)+(F160-E160)</f>
        <v>0</v>
      </c>
      <c r="H160" s="367">
        <f>+G160*1440</f>
        <v>0</v>
      </c>
      <c r="I160" s="859" t="s">
        <v>155</v>
      </c>
      <c r="J160" s="860"/>
      <c r="K160" s="373"/>
      <c r="L160" s="374"/>
      <c r="M160" s="423"/>
      <c r="N160" s="629">
        <f>+J157+L157+K157+K160+L160</f>
        <v>0</v>
      </c>
      <c r="O160" s="368">
        <f>+(Setup_and_Criteria!$K$31+(J157*Setup_and_Criteria!$F$20)+('M1_1-15th'!K157*Setup_and_Criteria!$F$21)+('M1_1-15th'!L157*Setup_and_Criteria!$F$20))+T160+(K160*Setup_and_Criteria!$F$21)+(Setup_and_Criteria!$F$22*'M1_1-15th'!L160)</f>
        <v>75</v>
      </c>
      <c r="P160" s="367">
        <f>+H160</f>
        <v>0</v>
      </c>
      <c r="Q160" s="367">
        <f>+O160-P160</f>
        <v>75</v>
      </c>
      <c r="R160" s="861" t="s">
        <v>252</v>
      </c>
      <c r="S160" s="861"/>
      <c r="T160" s="862"/>
      <c r="U160" s="863"/>
      <c r="V160" s="265" t="s">
        <v>156</v>
      </c>
      <c r="W160" s="854"/>
      <c r="X160" s="855"/>
      <c r="Y160" s="855"/>
      <c r="Z160" s="855"/>
      <c r="AA160" s="855"/>
      <c r="AB160" s="855"/>
      <c r="AC160" s="855"/>
      <c r="AD160" s="868"/>
      <c r="AE160" s="869"/>
      <c r="AF160" s="869"/>
      <c r="AG160" s="869"/>
      <c r="AH160" s="869"/>
      <c r="AI160" s="870"/>
    </row>
    <row r="161" spans="1:35" ht="15.75" thickBot="1" x14ac:dyDescent="0.3">
      <c r="A161" s="449" t="str">
        <f>+A148</f>
        <v>Password to enter data = "Enter Info"</v>
      </c>
      <c r="B161" s="450"/>
      <c r="C161" s="451"/>
      <c r="D161" s="451"/>
      <c r="E161" s="451"/>
      <c r="F161" s="451"/>
      <c r="G161" s="451"/>
      <c r="H161" s="451"/>
      <c r="I161" s="450"/>
      <c r="J161" s="451"/>
      <c r="K161" s="451"/>
      <c r="L161" s="451"/>
      <c r="M161" s="451"/>
      <c r="N161" s="451"/>
      <c r="O161" s="451"/>
      <c r="P161" s="451"/>
      <c r="Q161" s="450"/>
      <c r="R161" s="451"/>
      <c r="S161" s="451"/>
      <c r="T161" s="451"/>
      <c r="U161" s="451"/>
      <c r="V161" s="451"/>
      <c r="W161" s="451"/>
      <c r="X161" s="451"/>
      <c r="Y161" s="451"/>
      <c r="Z161" s="451"/>
      <c r="AA161" s="451"/>
      <c r="AB161" s="450"/>
      <c r="AC161" s="450"/>
      <c r="AD161" s="871"/>
      <c r="AE161" s="872"/>
      <c r="AF161" s="872"/>
      <c r="AG161" s="872"/>
      <c r="AH161" s="872"/>
      <c r="AI161" s="873"/>
    </row>
    <row r="162" spans="1:35" ht="35.25" customHeight="1" x14ac:dyDescent="0.4">
      <c r="A162" s="434" t="str">
        <f>+A149</f>
        <v>June</v>
      </c>
      <c r="B162" s="624">
        <f>+B149+1</f>
        <v>28</v>
      </c>
      <c r="C162" s="884" t="s">
        <v>128</v>
      </c>
      <c r="D162" s="884"/>
      <c r="E162" s="884"/>
      <c r="F162" s="884"/>
      <c r="G162" s="377"/>
      <c r="H162" s="377"/>
      <c r="I162" s="21"/>
      <c r="J162" s="874" t="s">
        <v>129</v>
      </c>
      <c r="K162" s="875"/>
      <c r="L162" s="875"/>
      <c r="M162" s="875"/>
      <c r="N162" s="876" t="s">
        <v>130</v>
      </c>
      <c r="O162" s="876"/>
      <c r="P162" s="876"/>
      <c r="Q162" s="876"/>
      <c r="R162" s="424" t="str">
        <f>+R149</f>
        <v xml:space="preserve"> Corrections Tracking - Check out rooms</v>
      </c>
      <c r="S162" s="424"/>
      <c r="T162" s="424"/>
      <c r="U162" s="424"/>
      <c r="V162" s="424"/>
      <c r="W162" s="424"/>
      <c r="X162" s="424"/>
      <c r="Y162" s="424"/>
      <c r="Z162" s="424"/>
      <c r="AA162" s="424"/>
      <c r="AB162" s="424"/>
      <c r="AC162" s="424"/>
      <c r="AD162" s="461" t="s">
        <v>132</v>
      </c>
      <c r="AE162" s="426"/>
      <c r="AF162" s="426"/>
      <c r="AG162" s="426"/>
      <c r="AH162" s="426"/>
      <c r="AI162" s="427"/>
    </row>
    <row r="163" spans="1:35" ht="59.25" customHeight="1" x14ac:dyDescent="0.25">
      <c r="A163" s="378" t="s">
        <v>133</v>
      </c>
      <c r="C163" s="435" t="s">
        <v>134</v>
      </c>
      <c r="D163" s="435" t="s">
        <v>135</v>
      </c>
      <c r="E163" s="435" t="s">
        <v>134</v>
      </c>
      <c r="F163" s="435" t="s">
        <v>135</v>
      </c>
      <c r="G163" s="1" t="s">
        <v>136</v>
      </c>
      <c r="H163" s="1" t="s">
        <v>108</v>
      </c>
      <c r="I163" s="436"/>
      <c r="J163" s="437" t="str">
        <f>+Setup_and_Criteria!$B$13</f>
        <v>Checkouts</v>
      </c>
      <c r="K163" s="437" t="str">
        <f>+Setup_and_Criteria!$B$14</f>
        <v>Pet Rooms</v>
      </c>
      <c r="L163" s="437" t="str">
        <f>+Setup_and_Criteria!$B$15</f>
        <v>2 Rm &amp; Jac Stes</v>
      </c>
      <c r="M163" s="438" t="str">
        <f>+Setup_and_Criteria!$B$16</f>
        <v>Stayovers</v>
      </c>
      <c r="N163" s="269" t="s">
        <v>137</v>
      </c>
      <c r="O163" s="269" t="s">
        <v>138</v>
      </c>
      <c r="P163" s="439" t="s">
        <v>139</v>
      </c>
      <c r="Q163" s="439" t="s">
        <v>140</v>
      </c>
      <c r="R163" s="440" t="str">
        <f>+Corrections!$C$8</f>
        <v>Vanity</v>
      </c>
      <c r="S163" s="440" t="str">
        <f>+Corrections!$I$8</f>
        <v>Toilet</v>
      </c>
      <c r="T163" s="440" t="str">
        <f>+Corrections!$O$8</f>
        <v>Bed/Pillows</v>
      </c>
      <c r="U163" s="440" t="str">
        <f>+Corrections!$U$8</f>
        <v>Floor</v>
      </c>
      <c r="V163" s="440" t="str">
        <f>+Corrections!$AA$8</f>
        <v>Dusting</v>
      </c>
      <c r="W163" s="440" t="str">
        <f>+Corrections!$AG$8</f>
        <v>Fridge/Micro</v>
      </c>
      <c r="X163" s="440" t="str">
        <f>+Corrections!$AM$8</f>
        <v>Tub</v>
      </c>
      <c r="Y163" s="441" t="str">
        <f>+Corrections!$AS$8</f>
        <v>Mirrors/Glass</v>
      </c>
      <c r="Z163" s="440" t="str">
        <f>+Corrections!$AY$8</f>
        <v>Stocking</v>
      </c>
      <c r="AA163" s="440" t="str">
        <f>+Corrections!$BE$8</f>
        <v>Other</v>
      </c>
      <c r="AB163" s="269" t="s">
        <v>141</v>
      </c>
      <c r="AC163" s="269" t="str">
        <f>+$AC$7</f>
        <v>Daily Corr / Inspected Checkout</v>
      </c>
      <c r="AD163" s="889" t="s">
        <v>143</v>
      </c>
      <c r="AE163" s="890"/>
      <c r="AF163" s="890"/>
      <c r="AG163" s="890"/>
      <c r="AH163" s="890"/>
      <c r="AI163" s="891"/>
    </row>
    <row r="164" spans="1:35" x14ac:dyDescent="0.25">
      <c r="A164" s="638"/>
      <c r="C164" s="369"/>
      <c r="D164" s="369"/>
      <c r="E164" s="369"/>
      <c r="F164" s="369"/>
      <c r="G164" s="264">
        <f t="shared" ref="G164:G169" si="96">+(D164-C164)+(F164-E164)</f>
        <v>0</v>
      </c>
      <c r="H164" s="442">
        <f t="shared" ref="H164:H169" si="97">+G164*1440</f>
        <v>0</v>
      </c>
      <c r="J164" s="630"/>
      <c r="K164" s="630"/>
      <c r="L164" s="630"/>
      <c r="M164" s="630"/>
      <c r="N164" s="1">
        <f>IF(C164&gt;0,((J164*Setup_and_Criteria!$F$13)+('M1_1-15th'!K164*Setup_and_Criteria!$F$14)+('M1_1-15th'!L164*Setup_and_Criteria!$F$15)+('M1_1-15th'!M164*Setup_and_Criteria!$F$16)+Setup_and_Criteria!$J$16),0)</f>
        <v>0</v>
      </c>
      <c r="O164" s="442">
        <f>+H164</f>
        <v>0</v>
      </c>
      <c r="P164" s="443">
        <f t="shared" ref="P164:P170" si="98">+N164-O164</f>
        <v>0</v>
      </c>
      <c r="Q164" s="357" t="e">
        <f t="shared" ref="Q164:Q170" si="99">O164/_xlfn.SINGLE(SUM(J164:M164))</f>
        <v>#DIV/0!</v>
      </c>
      <c r="R164" s="630"/>
      <c r="S164" s="630"/>
      <c r="T164" s="630"/>
      <c r="U164" s="630"/>
      <c r="V164" s="630"/>
      <c r="W164" s="630"/>
      <c r="X164" s="630"/>
      <c r="Y164" s="630"/>
      <c r="Z164" s="630"/>
      <c r="AA164" s="630"/>
      <c r="AB164" s="1">
        <f t="shared" ref="AB164:AB170" si="100">SUM(R164:AA164)</f>
        <v>0</v>
      </c>
      <c r="AC164" s="357" t="e">
        <f t="shared" ref="AC164:AC170" si="101">+AB164/(J164+K164+L164)</f>
        <v>#DIV/0!</v>
      </c>
      <c r="AD164" s="864" t="s">
        <v>144</v>
      </c>
      <c r="AE164" s="865"/>
      <c r="AF164" s="865"/>
      <c r="AG164" s="866"/>
      <c r="AH164" s="866"/>
      <c r="AI164" s="867"/>
    </row>
    <row r="165" spans="1:35" x14ac:dyDescent="0.25">
      <c r="A165" s="638"/>
      <c r="C165" s="630"/>
      <c r="D165" s="630"/>
      <c r="E165" s="630"/>
      <c r="F165" s="630"/>
      <c r="G165" s="264">
        <f t="shared" si="96"/>
        <v>0</v>
      </c>
      <c r="H165" s="442">
        <f t="shared" si="97"/>
        <v>0</v>
      </c>
      <c r="J165" s="630"/>
      <c r="K165" s="630"/>
      <c r="L165" s="630"/>
      <c r="M165" s="630"/>
      <c r="N165" s="1">
        <f>IF(C165&gt;0,((J165*Setup_and_Criteria!$F$13)+('M1_1-15th'!K165*Setup_and_Criteria!$F$14)+('M1_1-15th'!L165*Setup_and_Criteria!$F$15)+('M1_1-15th'!M165*Setup_and_Criteria!$F$16)+Setup_and_Criteria!$J$16),0)</f>
        <v>0</v>
      </c>
      <c r="O165" s="442">
        <f t="shared" ref="O165:O170" si="102">+H165</f>
        <v>0</v>
      </c>
      <c r="P165" s="443">
        <f t="shared" si="98"/>
        <v>0</v>
      </c>
      <c r="Q165" s="357" t="e">
        <f t="shared" si="99"/>
        <v>#DIV/0!</v>
      </c>
      <c r="R165" s="630"/>
      <c r="S165" s="630"/>
      <c r="T165" s="630"/>
      <c r="U165" s="630"/>
      <c r="V165" s="630"/>
      <c r="W165" s="630"/>
      <c r="X165" s="630"/>
      <c r="Y165" s="630"/>
      <c r="Z165" s="630"/>
      <c r="AA165" s="630"/>
      <c r="AB165" s="1">
        <f t="shared" si="100"/>
        <v>0</v>
      </c>
      <c r="AC165" s="357" t="e">
        <f t="shared" si="101"/>
        <v>#DIV/0!</v>
      </c>
      <c r="AD165" s="864"/>
      <c r="AE165" s="865"/>
      <c r="AF165" s="865"/>
      <c r="AG165" s="866"/>
      <c r="AH165" s="866"/>
      <c r="AI165" s="867"/>
    </row>
    <row r="166" spans="1:35" x14ac:dyDescent="0.25">
      <c r="A166" s="638"/>
      <c r="C166" s="630"/>
      <c r="D166" s="630"/>
      <c r="E166" s="630"/>
      <c r="F166" s="630"/>
      <c r="G166" s="264">
        <f t="shared" si="96"/>
        <v>0</v>
      </c>
      <c r="H166" s="442">
        <f t="shared" si="97"/>
        <v>0</v>
      </c>
      <c r="J166" s="630"/>
      <c r="K166" s="630"/>
      <c r="L166" s="630"/>
      <c r="M166" s="630"/>
      <c r="N166" s="1">
        <f>IF(C166&gt;0,((J166*Setup_and_Criteria!$F$13)+('M1_1-15th'!K166*Setup_and_Criteria!$F$14)+('M1_1-15th'!L166*Setup_and_Criteria!$F$15)+('M1_1-15th'!M166*Setup_and_Criteria!$F$16)+Setup_and_Criteria!$J$16),0)</f>
        <v>0</v>
      </c>
      <c r="O166" s="442">
        <f t="shared" si="102"/>
        <v>0</v>
      </c>
      <c r="P166" s="443">
        <f t="shared" si="98"/>
        <v>0</v>
      </c>
      <c r="Q166" s="357" t="e">
        <f t="shared" si="99"/>
        <v>#DIV/0!</v>
      </c>
      <c r="R166" s="630"/>
      <c r="S166" s="630"/>
      <c r="T166" s="630"/>
      <c r="U166" s="630"/>
      <c r="V166" s="630"/>
      <c r="W166" s="630"/>
      <c r="X166" s="630"/>
      <c r="Y166" s="630"/>
      <c r="Z166" s="630"/>
      <c r="AA166" s="630"/>
      <c r="AB166" s="1">
        <f t="shared" si="100"/>
        <v>0</v>
      </c>
      <c r="AC166" s="357" t="e">
        <f t="shared" si="101"/>
        <v>#DIV/0!</v>
      </c>
      <c r="AD166" s="864"/>
      <c r="AE166" s="865"/>
      <c r="AF166" s="865"/>
      <c r="AG166" s="866"/>
      <c r="AH166" s="866"/>
      <c r="AI166" s="867"/>
    </row>
    <row r="167" spans="1:35" x14ac:dyDescent="0.25">
      <c r="A167" s="638"/>
      <c r="C167" s="630"/>
      <c r="D167" s="630"/>
      <c r="E167" s="630"/>
      <c r="F167" s="630"/>
      <c r="G167" s="264">
        <f t="shared" si="96"/>
        <v>0</v>
      </c>
      <c r="H167" s="442">
        <f t="shared" si="97"/>
        <v>0</v>
      </c>
      <c r="J167" s="630"/>
      <c r="K167" s="630"/>
      <c r="L167" s="630"/>
      <c r="M167" s="630"/>
      <c r="N167" s="1">
        <f>IF(C167&gt;0,((J167*Setup_and_Criteria!$F$13)+('M1_1-15th'!K167*Setup_and_Criteria!$F$14)+('M1_1-15th'!L167*Setup_and_Criteria!$F$15)+('M1_1-15th'!M167*Setup_and_Criteria!$F$16)+Setup_and_Criteria!$J$16),0)</f>
        <v>0</v>
      </c>
      <c r="O167" s="442">
        <f t="shared" si="102"/>
        <v>0</v>
      </c>
      <c r="P167" s="443">
        <f t="shared" si="98"/>
        <v>0</v>
      </c>
      <c r="Q167" s="357" t="e">
        <f t="shared" si="99"/>
        <v>#DIV/0!</v>
      </c>
      <c r="R167" s="630"/>
      <c r="S167" s="630"/>
      <c r="T167" s="630"/>
      <c r="U167" s="630"/>
      <c r="V167" s="630"/>
      <c r="W167" s="630"/>
      <c r="X167" s="630"/>
      <c r="Y167" s="630"/>
      <c r="Z167" s="630"/>
      <c r="AA167" s="630"/>
      <c r="AB167" s="1">
        <f t="shared" si="100"/>
        <v>0</v>
      </c>
      <c r="AC167" s="357" t="e">
        <f t="shared" si="101"/>
        <v>#DIV/0!</v>
      </c>
      <c r="AD167" s="864"/>
      <c r="AE167" s="865"/>
      <c r="AF167" s="865"/>
      <c r="AG167" s="866"/>
      <c r="AH167" s="866"/>
      <c r="AI167" s="867"/>
    </row>
    <row r="168" spans="1:35" x14ac:dyDescent="0.25">
      <c r="A168" s="638"/>
      <c r="C168" s="630"/>
      <c r="D168" s="630"/>
      <c r="E168" s="630"/>
      <c r="F168" s="630"/>
      <c r="G168" s="264">
        <f t="shared" si="96"/>
        <v>0</v>
      </c>
      <c r="H168" s="442">
        <f t="shared" si="97"/>
        <v>0</v>
      </c>
      <c r="J168" s="630"/>
      <c r="K168" s="630"/>
      <c r="L168" s="630"/>
      <c r="M168" s="630"/>
      <c r="N168" s="1">
        <f>IF(C168&gt;0,((J168*Setup_and_Criteria!$F$13)+('M1_1-15th'!K168*Setup_and_Criteria!$F$14)+('M1_1-15th'!L168*Setup_and_Criteria!$F$15)+('M1_1-15th'!M168*Setup_and_Criteria!$F$16)+Setup_and_Criteria!$J$16),0)</f>
        <v>0</v>
      </c>
      <c r="O168" s="442">
        <f t="shared" si="102"/>
        <v>0</v>
      </c>
      <c r="P168" s="443">
        <f t="shared" si="98"/>
        <v>0</v>
      </c>
      <c r="Q168" s="357" t="e">
        <f t="shared" si="99"/>
        <v>#DIV/0!</v>
      </c>
      <c r="R168" s="630"/>
      <c r="S168" s="630"/>
      <c r="T168" s="630"/>
      <c r="U168" s="630"/>
      <c r="V168" s="630"/>
      <c r="W168" s="630"/>
      <c r="X168" s="630"/>
      <c r="Y168" s="630"/>
      <c r="Z168" s="630"/>
      <c r="AA168" s="630"/>
      <c r="AB168" s="1">
        <f t="shared" si="100"/>
        <v>0</v>
      </c>
      <c r="AC168" s="357" t="e">
        <f t="shared" si="101"/>
        <v>#DIV/0!</v>
      </c>
      <c r="AD168" s="864"/>
      <c r="AE168" s="865"/>
      <c r="AF168" s="865"/>
      <c r="AG168" s="866"/>
      <c r="AH168" s="866"/>
      <c r="AI168" s="867"/>
    </row>
    <row r="169" spans="1:35" ht="15.75" thickBot="1" x14ac:dyDescent="0.3">
      <c r="A169" s="638"/>
      <c r="C169" s="370"/>
      <c r="D169" s="370"/>
      <c r="E169" s="630"/>
      <c r="F169" s="630"/>
      <c r="G169" s="264">
        <f t="shared" si="96"/>
        <v>0</v>
      </c>
      <c r="H169" s="442">
        <f t="shared" si="97"/>
        <v>0</v>
      </c>
      <c r="J169" s="371"/>
      <c r="K169" s="371"/>
      <c r="L169" s="371"/>
      <c r="M169" s="371"/>
      <c r="N169" s="358">
        <f>IF(C169&gt;0,((J169*Setup_and_Criteria!$F$13)+('M1_1-15th'!K169*Setup_and_Criteria!$F$14)+('M1_1-15th'!L169*Setup_and_Criteria!$F$15)+('M1_1-15th'!M169*Setup_and_Criteria!$F$16)+Setup_and_Criteria!$J$16),0)</f>
        <v>0</v>
      </c>
      <c r="O169" s="359">
        <f t="shared" si="102"/>
        <v>0</v>
      </c>
      <c r="P169" s="383">
        <f t="shared" si="98"/>
        <v>0</v>
      </c>
      <c r="Q169" s="360" t="e">
        <f t="shared" si="99"/>
        <v>#DIV/0!</v>
      </c>
      <c r="R169" s="511"/>
      <c r="S169" s="511"/>
      <c r="T169" s="511"/>
      <c r="U169" s="511"/>
      <c r="V169" s="511"/>
      <c r="W169" s="511"/>
      <c r="X169" s="511"/>
      <c r="Y169" s="511"/>
      <c r="Z169" s="511"/>
      <c r="AA169" s="511"/>
      <c r="AB169" s="1">
        <f t="shared" si="100"/>
        <v>0</v>
      </c>
      <c r="AC169" s="357" t="e">
        <f t="shared" si="101"/>
        <v>#DIV/0!</v>
      </c>
      <c r="AD169" s="864"/>
      <c r="AE169" s="865"/>
      <c r="AF169" s="865"/>
      <c r="AG169" s="866"/>
      <c r="AH169" s="866"/>
      <c r="AI169" s="867"/>
    </row>
    <row r="170" spans="1:35" ht="15.75" thickTop="1" x14ac:dyDescent="0.25">
      <c r="A170" s="58"/>
      <c r="H170" s="442">
        <f>SUM(H164:H169)</f>
        <v>0</v>
      </c>
      <c r="J170" s="1">
        <f>SUM(J164:J169)</f>
        <v>0</v>
      </c>
      <c r="K170" s="1">
        <f>SUM(K164:K169)</f>
        <v>0</v>
      </c>
      <c r="L170" s="1">
        <f>SUM(L164:L169)</f>
        <v>0</v>
      </c>
      <c r="M170" s="1">
        <f>SUM(M164:M169)</f>
        <v>0</v>
      </c>
      <c r="N170" s="1">
        <f>SUM(N164:N169)</f>
        <v>0</v>
      </c>
      <c r="O170" s="1">
        <f t="shared" si="102"/>
        <v>0</v>
      </c>
      <c r="P170" s="443">
        <f t="shared" si="98"/>
        <v>0</v>
      </c>
      <c r="Q170" s="357" t="e">
        <f t="shared" si="99"/>
        <v>#DIV/0!</v>
      </c>
      <c r="R170" s="1">
        <f t="shared" ref="R170:AA170" si="103">SUM(R164:R169)</f>
        <v>0</v>
      </c>
      <c r="S170" s="1">
        <f t="shared" si="103"/>
        <v>0</v>
      </c>
      <c r="T170" s="1">
        <f t="shared" si="103"/>
        <v>0</v>
      </c>
      <c r="U170" s="1">
        <f t="shared" si="103"/>
        <v>0</v>
      </c>
      <c r="V170" s="1">
        <f t="shared" si="103"/>
        <v>0</v>
      </c>
      <c r="W170" s="1">
        <f t="shared" si="103"/>
        <v>0</v>
      </c>
      <c r="X170" s="1">
        <f t="shared" si="103"/>
        <v>0</v>
      </c>
      <c r="Y170" s="1">
        <f t="shared" si="103"/>
        <v>0</v>
      </c>
      <c r="Z170" s="1">
        <f t="shared" si="103"/>
        <v>0</v>
      </c>
      <c r="AA170" s="1">
        <f t="shared" si="103"/>
        <v>0</v>
      </c>
      <c r="AB170" s="1">
        <f t="shared" si="100"/>
        <v>0</v>
      </c>
      <c r="AC170" s="357" t="e">
        <f t="shared" si="101"/>
        <v>#DIV/0!</v>
      </c>
      <c r="AD170" s="877"/>
      <c r="AE170" s="878"/>
      <c r="AF170" s="878"/>
      <c r="AG170" s="749"/>
      <c r="AH170" s="749"/>
      <c r="AI170" s="879"/>
    </row>
    <row r="171" spans="1:35" ht="21" customHeight="1" x14ac:dyDescent="0.35">
      <c r="A171" s="58"/>
      <c r="H171" s="442"/>
      <c r="N171" s="888" t="s">
        <v>145</v>
      </c>
      <c r="O171" s="888"/>
      <c r="P171" s="888"/>
      <c r="Q171" s="888"/>
      <c r="R171" s="431" t="s">
        <v>146</v>
      </c>
      <c r="S171" s="431"/>
      <c r="T171" s="431"/>
      <c r="U171" s="431"/>
      <c r="V171" s="431"/>
      <c r="W171" s="431"/>
      <c r="X171" s="431"/>
      <c r="Y171" s="431"/>
      <c r="Z171" s="431"/>
      <c r="AA171" s="431"/>
      <c r="AB171" s="431"/>
      <c r="AC171" s="431"/>
      <c r="AD171" s="880" t="s">
        <v>132</v>
      </c>
      <c r="AE171" s="881"/>
      <c r="AF171" s="881"/>
      <c r="AG171" s="881"/>
      <c r="AH171" s="881"/>
      <c r="AI171" s="882"/>
    </row>
    <row r="172" spans="1:35" ht="31.5" customHeight="1" x14ac:dyDescent="0.35">
      <c r="A172" s="617" t="s">
        <v>147</v>
      </c>
      <c r="C172" s="885" t="s">
        <v>128</v>
      </c>
      <c r="D172" s="885"/>
      <c r="E172" s="885"/>
      <c r="F172" s="885"/>
      <c r="H172" s="442"/>
      <c r="J172" s="444"/>
      <c r="K172" s="445" t="s">
        <v>35</v>
      </c>
      <c r="L172" s="445" t="s">
        <v>148</v>
      </c>
      <c r="N172" s="446" t="s">
        <v>149</v>
      </c>
      <c r="O172" s="447" t="s">
        <v>150</v>
      </c>
      <c r="P172" s="447" t="s">
        <v>138</v>
      </c>
      <c r="Q172" s="447" t="s">
        <v>151</v>
      </c>
      <c r="R172" s="749" t="s">
        <v>152</v>
      </c>
      <c r="S172" s="749"/>
      <c r="T172" s="883" t="s">
        <v>153</v>
      </c>
      <c r="U172" s="883"/>
      <c r="W172" s="425" t="s">
        <v>154</v>
      </c>
      <c r="X172" s="425"/>
      <c r="Y172" s="425"/>
      <c r="Z172" s="425"/>
      <c r="AA172" s="425"/>
      <c r="AB172" s="425"/>
      <c r="AC172" s="425"/>
      <c r="AD172" s="868" t="s">
        <v>160</v>
      </c>
      <c r="AE172" s="869"/>
      <c r="AF172" s="869"/>
      <c r="AG172" s="869"/>
      <c r="AH172" s="869"/>
      <c r="AI172" s="870"/>
    </row>
    <row r="173" spans="1:35" ht="18" customHeight="1" thickBot="1" x14ac:dyDescent="0.3">
      <c r="A173" s="639"/>
      <c r="B173" s="375"/>
      <c r="C173" s="372"/>
      <c r="D173" s="372"/>
      <c r="E173" s="372"/>
      <c r="F173" s="372"/>
      <c r="G173" s="366">
        <f>+(D173-C173)+(F173-E173)</f>
        <v>0</v>
      </c>
      <c r="H173" s="367">
        <f>+G173*1440</f>
        <v>0</v>
      </c>
      <c r="I173" s="859" t="s">
        <v>155</v>
      </c>
      <c r="J173" s="860"/>
      <c r="K173" s="373"/>
      <c r="L173" s="374"/>
      <c r="M173" s="423"/>
      <c r="N173" s="629">
        <f>+J170+L170+K170+K173+L173</f>
        <v>0</v>
      </c>
      <c r="O173" s="368">
        <f>+(Setup_and_Criteria!$K$31+(J170*Setup_and_Criteria!$F$20)+('M1_1-15th'!K170*Setup_and_Criteria!$F$21)+('M1_1-15th'!L170*Setup_and_Criteria!$F$20))+T173+(K173*Setup_and_Criteria!$F$21)+(Setup_and_Criteria!$F$22*'M1_1-15th'!L173)</f>
        <v>75</v>
      </c>
      <c r="P173" s="367">
        <f>+H173</f>
        <v>0</v>
      </c>
      <c r="Q173" s="367">
        <f>+O173-P173</f>
        <v>75</v>
      </c>
      <c r="R173" s="861" t="s">
        <v>252</v>
      </c>
      <c r="S173" s="861"/>
      <c r="T173" s="862"/>
      <c r="U173" s="863"/>
      <c r="V173" s="265" t="s">
        <v>156</v>
      </c>
      <c r="W173" s="854"/>
      <c r="X173" s="855"/>
      <c r="Y173" s="855"/>
      <c r="Z173" s="855"/>
      <c r="AA173" s="855"/>
      <c r="AB173" s="855"/>
      <c r="AC173" s="855"/>
      <c r="AD173" s="868"/>
      <c r="AE173" s="869"/>
      <c r="AF173" s="869"/>
      <c r="AG173" s="869"/>
      <c r="AH173" s="869"/>
      <c r="AI173" s="870"/>
    </row>
    <row r="174" spans="1:35" ht="15.75" thickBot="1" x14ac:dyDescent="0.3">
      <c r="A174" s="449" t="str">
        <f>+A161</f>
        <v>Password to enter data = "Enter Info"</v>
      </c>
      <c r="B174" s="450"/>
      <c r="C174" s="451"/>
      <c r="D174" s="451"/>
      <c r="E174" s="451"/>
      <c r="F174" s="451"/>
      <c r="G174" s="451"/>
      <c r="H174" s="451"/>
      <c r="I174" s="450"/>
      <c r="J174" s="451"/>
      <c r="K174" s="451"/>
      <c r="L174" s="451"/>
      <c r="M174" s="451"/>
      <c r="N174" s="451"/>
      <c r="O174" s="451"/>
      <c r="P174" s="451"/>
      <c r="Q174" s="450"/>
      <c r="R174" s="451"/>
      <c r="S174" s="451"/>
      <c r="T174" s="451"/>
      <c r="U174" s="451"/>
      <c r="V174" s="451"/>
      <c r="W174" s="451"/>
      <c r="X174" s="451"/>
      <c r="Y174" s="451"/>
      <c r="Z174" s="451"/>
      <c r="AA174" s="451"/>
      <c r="AB174" s="450"/>
      <c r="AC174" s="450"/>
      <c r="AD174" s="871"/>
      <c r="AE174" s="872"/>
      <c r="AF174" s="872"/>
      <c r="AG174" s="872"/>
      <c r="AH174" s="872"/>
      <c r="AI174" s="873"/>
    </row>
    <row r="175" spans="1:35" ht="35.25" customHeight="1" x14ac:dyDescent="0.4">
      <c r="A175" s="434" t="str">
        <f>+A162</f>
        <v>June</v>
      </c>
      <c r="B175" s="624">
        <f>+B162+1</f>
        <v>29</v>
      </c>
      <c r="C175" s="884" t="s">
        <v>128</v>
      </c>
      <c r="D175" s="884"/>
      <c r="E175" s="884"/>
      <c r="F175" s="884"/>
      <c r="G175" s="377"/>
      <c r="H175" s="377"/>
      <c r="I175" s="21"/>
      <c r="J175" s="874" t="s">
        <v>129</v>
      </c>
      <c r="K175" s="875"/>
      <c r="L175" s="875"/>
      <c r="M175" s="875"/>
      <c r="N175" s="876" t="s">
        <v>130</v>
      </c>
      <c r="O175" s="876"/>
      <c r="P175" s="876"/>
      <c r="Q175" s="876"/>
      <c r="R175" s="424" t="str">
        <f>+R162</f>
        <v xml:space="preserve"> Corrections Tracking - Check out rooms</v>
      </c>
      <c r="S175" s="424"/>
      <c r="T175" s="424"/>
      <c r="U175" s="424"/>
      <c r="V175" s="424"/>
      <c r="W175" s="424"/>
      <c r="X175" s="424"/>
      <c r="Y175" s="424"/>
      <c r="Z175" s="424"/>
      <c r="AA175" s="424"/>
      <c r="AB175" s="424"/>
      <c r="AC175" s="424"/>
      <c r="AD175" s="461" t="s">
        <v>132</v>
      </c>
      <c r="AE175" s="426"/>
      <c r="AF175" s="426"/>
      <c r="AG175" s="426"/>
      <c r="AH175" s="426"/>
      <c r="AI175" s="427"/>
    </row>
    <row r="176" spans="1:35" ht="59.25" customHeight="1" x14ac:dyDescent="0.25">
      <c r="A176" s="378" t="s">
        <v>133</v>
      </c>
      <c r="C176" s="435" t="s">
        <v>134</v>
      </c>
      <c r="D176" s="435" t="s">
        <v>135</v>
      </c>
      <c r="E176" s="435" t="s">
        <v>134</v>
      </c>
      <c r="F176" s="435" t="s">
        <v>135</v>
      </c>
      <c r="G176" s="1" t="s">
        <v>136</v>
      </c>
      <c r="H176" s="1" t="s">
        <v>108</v>
      </c>
      <c r="I176" s="436"/>
      <c r="J176" s="437" t="str">
        <f>+Setup_and_Criteria!$B$13</f>
        <v>Checkouts</v>
      </c>
      <c r="K176" s="437" t="str">
        <f>+Setup_and_Criteria!$B$14</f>
        <v>Pet Rooms</v>
      </c>
      <c r="L176" s="437" t="str">
        <f>+Setup_and_Criteria!$B$15</f>
        <v>2 Rm &amp; Jac Stes</v>
      </c>
      <c r="M176" s="438" t="str">
        <f>+Setup_and_Criteria!$B$16</f>
        <v>Stayovers</v>
      </c>
      <c r="N176" s="269" t="s">
        <v>137</v>
      </c>
      <c r="O176" s="269" t="s">
        <v>138</v>
      </c>
      <c r="P176" s="439" t="s">
        <v>139</v>
      </c>
      <c r="Q176" s="439" t="s">
        <v>140</v>
      </c>
      <c r="R176" s="440" t="str">
        <f>+Corrections!$C$8</f>
        <v>Vanity</v>
      </c>
      <c r="S176" s="440" t="str">
        <f>+Corrections!$I$8</f>
        <v>Toilet</v>
      </c>
      <c r="T176" s="440" t="str">
        <f>+Corrections!$O$8</f>
        <v>Bed/Pillows</v>
      </c>
      <c r="U176" s="440" t="str">
        <f>+Corrections!$U$8</f>
        <v>Floor</v>
      </c>
      <c r="V176" s="440" t="str">
        <f>+Corrections!$AA$8</f>
        <v>Dusting</v>
      </c>
      <c r="W176" s="440" t="str">
        <f>+Corrections!$AG$8</f>
        <v>Fridge/Micro</v>
      </c>
      <c r="X176" s="440" t="str">
        <f>+Corrections!$AM$8</f>
        <v>Tub</v>
      </c>
      <c r="Y176" s="441" t="str">
        <f>+Corrections!$AS$8</f>
        <v>Mirrors/Glass</v>
      </c>
      <c r="Z176" s="440" t="str">
        <f>+Corrections!$AY$8</f>
        <v>Stocking</v>
      </c>
      <c r="AA176" s="440" t="str">
        <f>+Corrections!$BE$8</f>
        <v>Other</v>
      </c>
      <c r="AB176" s="269" t="s">
        <v>141</v>
      </c>
      <c r="AC176" s="269" t="str">
        <f>+$AC$7</f>
        <v>Daily Corr / Inspected Checkout</v>
      </c>
      <c r="AD176" s="889" t="s">
        <v>143</v>
      </c>
      <c r="AE176" s="890"/>
      <c r="AF176" s="890"/>
      <c r="AG176" s="890"/>
      <c r="AH176" s="890"/>
      <c r="AI176" s="891"/>
    </row>
    <row r="177" spans="1:35" x14ac:dyDescent="0.25">
      <c r="A177" s="638"/>
      <c r="C177" s="369"/>
      <c r="D177" s="369"/>
      <c r="E177" s="369"/>
      <c r="F177" s="369"/>
      <c r="G177" s="264">
        <f t="shared" ref="G177:G182" si="104">+(D177-C177)+(F177-E177)</f>
        <v>0</v>
      </c>
      <c r="H177" s="442">
        <f t="shared" ref="H177:H182" si="105">+G177*1440</f>
        <v>0</v>
      </c>
      <c r="J177" s="630"/>
      <c r="K177" s="630"/>
      <c r="L177" s="630"/>
      <c r="M177" s="630"/>
      <c r="N177" s="1">
        <f>IF(C177&gt;0,((J177*Setup_and_Criteria!$F$13)+('M1_1-15th'!K177*Setup_and_Criteria!$F$14)+('M1_1-15th'!L177*Setup_and_Criteria!$F$15)+('M1_1-15th'!M177*Setup_and_Criteria!$F$16)+Setup_and_Criteria!$J$16),0)</f>
        <v>0</v>
      </c>
      <c r="O177" s="442">
        <f>+H177</f>
        <v>0</v>
      </c>
      <c r="P177" s="443">
        <f t="shared" ref="P177:P183" si="106">+N177-O177</f>
        <v>0</v>
      </c>
      <c r="Q177" s="357" t="e">
        <f t="shared" ref="Q177:Q183" si="107">O177/_xlfn.SINGLE(SUM(J177:M177))</f>
        <v>#DIV/0!</v>
      </c>
      <c r="R177" s="630"/>
      <c r="S177" s="630"/>
      <c r="T177" s="630"/>
      <c r="U177" s="630"/>
      <c r="V177" s="630"/>
      <c r="W177" s="630"/>
      <c r="X177" s="630"/>
      <c r="Y177" s="630"/>
      <c r="Z177" s="630"/>
      <c r="AA177" s="630"/>
      <c r="AB177" s="1">
        <f t="shared" ref="AB177:AB183" si="108">SUM(R177:AA177)</f>
        <v>0</v>
      </c>
      <c r="AC177" s="357" t="e">
        <f t="shared" ref="AC177:AC183" si="109">+AB177/(J177+K177+L177)</f>
        <v>#DIV/0!</v>
      </c>
      <c r="AD177" s="864" t="s">
        <v>144</v>
      </c>
      <c r="AE177" s="865"/>
      <c r="AF177" s="865"/>
      <c r="AG177" s="866"/>
      <c r="AH177" s="866"/>
      <c r="AI177" s="867"/>
    </row>
    <row r="178" spans="1:35" x14ac:dyDescent="0.25">
      <c r="A178" s="638"/>
      <c r="C178" s="630"/>
      <c r="D178" s="630"/>
      <c r="E178" s="630"/>
      <c r="F178" s="630"/>
      <c r="G178" s="264">
        <f t="shared" si="104"/>
        <v>0</v>
      </c>
      <c r="H178" s="442">
        <f t="shared" si="105"/>
        <v>0</v>
      </c>
      <c r="J178" s="630"/>
      <c r="K178" s="630"/>
      <c r="L178" s="630"/>
      <c r="M178" s="630"/>
      <c r="N178" s="1">
        <f>IF(C178&gt;0,((J178*Setup_and_Criteria!$F$13)+('M1_1-15th'!K178*Setup_and_Criteria!$F$14)+('M1_1-15th'!L178*Setup_and_Criteria!$F$15)+('M1_1-15th'!M178*Setup_and_Criteria!$F$16)+Setup_and_Criteria!$J$16),0)</f>
        <v>0</v>
      </c>
      <c r="O178" s="442">
        <f t="shared" ref="O178:O183" si="110">+H178</f>
        <v>0</v>
      </c>
      <c r="P178" s="443">
        <f t="shared" si="106"/>
        <v>0</v>
      </c>
      <c r="Q178" s="357" t="e">
        <f t="shared" si="107"/>
        <v>#DIV/0!</v>
      </c>
      <c r="R178" s="630"/>
      <c r="S178" s="630"/>
      <c r="T178" s="630"/>
      <c r="U178" s="630"/>
      <c r="V178" s="630"/>
      <c r="W178" s="630"/>
      <c r="X178" s="630"/>
      <c r="Y178" s="630"/>
      <c r="Z178" s="630"/>
      <c r="AA178" s="630"/>
      <c r="AB178" s="1">
        <f t="shared" si="108"/>
        <v>0</v>
      </c>
      <c r="AC178" s="357" t="e">
        <f t="shared" si="109"/>
        <v>#DIV/0!</v>
      </c>
      <c r="AD178" s="864"/>
      <c r="AE178" s="865"/>
      <c r="AF178" s="865"/>
      <c r="AG178" s="866"/>
      <c r="AH178" s="866"/>
      <c r="AI178" s="867"/>
    </row>
    <row r="179" spans="1:35" x14ac:dyDescent="0.25">
      <c r="A179" s="638"/>
      <c r="C179" s="630"/>
      <c r="D179" s="630"/>
      <c r="E179" s="630"/>
      <c r="F179" s="630"/>
      <c r="G179" s="264">
        <f t="shared" si="104"/>
        <v>0</v>
      </c>
      <c r="H179" s="442">
        <f t="shared" si="105"/>
        <v>0</v>
      </c>
      <c r="J179" s="630"/>
      <c r="K179" s="630"/>
      <c r="L179" s="630"/>
      <c r="M179" s="630"/>
      <c r="N179" s="1">
        <f>IF(C179&gt;0,((J179*Setup_and_Criteria!$F$13)+('M1_1-15th'!K179*Setup_and_Criteria!$F$14)+('M1_1-15th'!L179*Setup_and_Criteria!$F$15)+('M1_1-15th'!M179*Setup_and_Criteria!$F$16)+Setup_and_Criteria!$J$16),0)</f>
        <v>0</v>
      </c>
      <c r="O179" s="442">
        <f t="shared" si="110"/>
        <v>0</v>
      </c>
      <c r="P179" s="443">
        <f t="shared" si="106"/>
        <v>0</v>
      </c>
      <c r="Q179" s="357" t="e">
        <f t="shared" si="107"/>
        <v>#DIV/0!</v>
      </c>
      <c r="R179" s="630"/>
      <c r="S179" s="630"/>
      <c r="T179" s="630"/>
      <c r="U179" s="630"/>
      <c r="V179" s="630"/>
      <c r="W179" s="630"/>
      <c r="X179" s="630"/>
      <c r="Y179" s="630"/>
      <c r="Z179" s="630"/>
      <c r="AA179" s="630"/>
      <c r="AB179" s="1">
        <f t="shared" si="108"/>
        <v>0</v>
      </c>
      <c r="AC179" s="357" t="e">
        <f t="shared" si="109"/>
        <v>#DIV/0!</v>
      </c>
      <c r="AD179" s="864"/>
      <c r="AE179" s="865"/>
      <c r="AF179" s="865"/>
      <c r="AG179" s="866"/>
      <c r="AH179" s="866"/>
      <c r="AI179" s="867"/>
    </row>
    <row r="180" spans="1:35" x14ac:dyDescent="0.25">
      <c r="A180" s="638"/>
      <c r="C180" s="630"/>
      <c r="D180" s="630"/>
      <c r="E180" s="630"/>
      <c r="F180" s="630"/>
      <c r="G180" s="264">
        <f t="shared" si="104"/>
        <v>0</v>
      </c>
      <c r="H180" s="442">
        <f t="shared" si="105"/>
        <v>0</v>
      </c>
      <c r="J180" s="630"/>
      <c r="K180" s="630"/>
      <c r="L180" s="630"/>
      <c r="M180" s="630"/>
      <c r="N180" s="1">
        <f>IF(C180&gt;0,((J180*Setup_and_Criteria!$F$13)+('M1_1-15th'!K180*Setup_and_Criteria!$F$14)+('M1_1-15th'!L180*Setup_and_Criteria!$F$15)+('M1_1-15th'!M180*Setup_and_Criteria!$F$16)+Setup_and_Criteria!$J$16),0)</f>
        <v>0</v>
      </c>
      <c r="O180" s="442">
        <f t="shared" si="110"/>
        <v>0</v>
      </c>
      <c r="P180" s="443">
        <f t="shared" si="106"/>
        <v>0</v>
      </c>
      <c r="Q180" s="357" t="e">
        <f t="shared" si="107"/>
        <v>#DIV/0!</v>
      </c>
      <c r="R180" s="630"/>
      <c r="S180" s="630"/>
      <c r="T180" s="630"/>
      <c r="U180" s="630"/>
      <c r="V180" s="630"/>
      <c r="W180" s="630"/>
      <c r="X180" s="630"/>
      <c r="Y180" s="630"/>
      <c r="Z180" s="630"/>
      <c r="AA180" s="630"/>
      <c r="AB180" s="1">
        <f t="shared" si="108"/>
        <v>0</v>
      </c>
      <c r="AC180" s="357" t="e">
        <f t="shared" si="109"/>
        <v>#DIV/0!</v>
      </c>
      <c r="AD180" s="864"/>
      <c r="AE180" s="865"/>
      <c r="AF180" s="865"/>
      <c r="AG180" s="866"/>
      <c r="AH180" s="866"/>
      <c r="AI180" s="867"/>
    </row>
    <row r="181" spans="1:35" x14ac:dyDescent="0.25">
      <c r="A181" s="638"/>
      <c r="C181" s="630"/>
      <c r="D181" s="630"/>
      <c r="E181" s="630"/>
      <c r="F181" s="630"/>
      <c r="G181" s="264">
        <f t="shared" si="104"/>
        <v>0</v>
      </c>
      <c r="H181" s="442">
        <f t="shared" si="105"/>
        <v>0</v>
      </c>
      <c r="J181" s="630"/>
      <c r="K181" s="630"/>
      <c r="L181" s="630"/>
      <c r="M181" s="630"/>
      <c r="N181" s="1">
        <f>IF(C181&gt;0,((J181*Setup_and_Criteria!$F$13)+('M1_1-15th'!K181*Setup_and_Criteria!$F$14)+('M1_1-15th'!L181*Setup_and_Criteria!$F$15)+('M1_1-15th'!M181*Setup_and_Criteria!$F$16)+Setup_and_Criteria!$J$16),0)</f>
        <v>0</v>
      </c>
      <c r="O181" s="442">
        <f t="shared" si="110"/>
        <v>0</v>
      </c>
      <c r="P181" s="443">
        <f t="shared" si="106"/>
        <v>0</v>
      </c>
      <c r="Q181" s="357" t="e">
        <f t="shared" si="107"/>
        <v>#DIV/0!</v>
      </c>
      <c r="R181" s="630"/>
      <c r="S181" s="630"/>
      <c r="T181" s="630"/>
      <c r="U181" s="630"/>
      <c r="V181" s="630"/>
      <c r="W181" s="630"/>
      <c r="X181" s="630"/>
      <c r="Y181" s="630"/>
      <c r="Z181" s="630"/>
      <c r="AA181" s="630"/>
      <c r="AB181" s="1">
        <f t="shared" si="108"/>
        <v>0</v>
      </c>
      <c r="AC181" s="357" t="e">
        <f t="shared" si="109"/>
        <v>#DIV/0!</v>
      </c>
      <c r="AD181" s="864"/>
      <c r="AE181" s="865"/>
      <c r="AF181" s="865"/>
      <c r="AG181" s="866"/>
      <c r="AH181" s="866"/>
      <c r="AI181" s="867"/>
    </row>
    <row r="182" spans="1:35" ht="15.75" thickBot="1" x14ac:dyDescent="0.3">
      <c r="A182" s="638"/>
      <c r="C182" s="370"/>
      <c r="D182" s="370"/>
      <c r="E182" s="630"/>
      <c r="F182" s="630"/>
      <c r="G182" s="264">
        <f t="shared" si="104"/>
        <v>0</v>
      </c>
      <c r="H182" s="442">
        <f t="shared" si="105"/>
        <v>0</v>
      </c>
      <c r="J182" s="371"/>
      <c r="K182" s="371"/>
      <c r="L182" s="371"/>
      <c r="M182" s="371"/>
      <c r="N182" s="358">
        <f>IF(C182&gt;0,((J182*Setup_and_Criteria!$F$13)+('M1_1-15th'!K182*Setup_and_Criteria!$F$14)+('M1_1-15th'!L182*Setup_and_Criteria!$F$15)+('M1_1-15th'!M182*Setup_and_Criteria!$F$16)+Setup_and_Criteria!$J$16),0)</f>
        <v>0</v>
      </c>
      <c r="O182" s="359">
        <f t="shared" si="110"/>
        <v>0</v>
      </c>
      <c r="P182" s="383">
        <f t="shared" si="106"/>
        <v>0</v>
      </c>
      <c r="Q182" s="360" t="e">
        <f t="shared" si="107"/>
        <v>#DIV/0!</v>
      </c>
      <c r="R182" s="511"/>
      <c r="S182" s="511"/>
      <c r="T182" s="511"/>
      <c r="U182" s="511"/>
      <c r="V182" s="511"/>
      <c r="W182" s="511"/>
      <c r="X182" s="511"/>
      <c r="Y182" s="511"/>
      <c r="Z182" s="511"/>
      <c r="AA182" s="511"/>
      <c r="AB182" s="1">
        <f t="shared" si="108"/>
        <v>0</v>
      </c>
      <c r="AC182" s="357" t="e">
        <f t="shared" si="109"/>
        <v>#DIV/0!</v>
      </c>
      <c r="AD182" s="864"/>
      <c r="AE182" s="865"/>
      <c r="AF182" s="865"/>
      <c r="AG182" s="866"/>
      <c r="AH182" s="866"/>
      <c r="AI182" s="867"/>
    </row>
    <row r="183" spans="1:35" ht="15.75" thickTop="1" x14ac:dyDescent="0.25">
      <c r="A183" s="58"/>
      <c r="H183" s="442">
        <f>SUM(H177:H182)</f>
        <v>0</v>
      </c>
      <c r="J183" s="1">
        <f>SUM(J177:J182)</f>
        <v>0</v>
      </c>
      <c r="K183" s="1">
        <f>SUM(K177:K182)</f>
        <v>0</v>
      </c>
      <c r="L183" s="1">
        <f>SUM(L177:L182)</f>
        <v>0</v>
      </c>
      <c r="M183" s="1">
        <f>SUM(M177:M182)</f>
        <v>0</v>
      </c>
      <c r="N183" s="1">
        <f>SUM(N177:N182)</f>
        <v>0</v>
      </c>
      <c r="O183" s="1">
        <f t="shared" si="110"/>
        <v>0</v>
      </c>
      <c r="P183" s="443">
        <f t="shared" si="106"/>
        <v>0</v>
      </c>
      <c r="Q183" s="357" t="e">
        <f t="shared" si="107"/>
        <v>#DIV/0!</v>
      </c>
      <c r="R183" s="1">
        <f t="shared" ref="R183:AA183" si="111">SUM(R177:R182)</f>
        <v>0</v>
      </c>
      <c r="S183" s="1">
        <f t="shared" si="111"/>
        <v>0</v>
      </c>
      <c r="T183" s="1">
        <f t="shared" si="111"/>
        <v>0</v>
      </c>
      <c r="U183" s="1">
        <f t="shared" si="111"/>
        <v>0</v>
      </c>
      <c r="V183" s="1">
        <f t="shared" si="111"/>
        <v>0</v>
      </c>
      <c r="W183" s="1">
        <f t="shared" si="111"/>
        <v>0</v>
      </c>
      <c r="X183" s="1">
        <f t="shared" si="111"/>
        <v>0</v>
      </c>
      <c r="Y183" s="1">
        <f t="shared" si="111"/>
        <v>0</v>
      </c>
      <c r="Z183" s="1">
        <f t="shared" si="111"/>
        <v>0</v>
      </c>
      <c r="AA183" s="1">
        <f t="shared" si="111"/>
        <v>0</v>
      </c>
      <c r="AB183" s="1">
        <f t="shared" si="108"/>
        <v>0</v>
      </c>
      <c r="AC183" s="357" t="e">
        <f t="shared" si="109"/>
        <v>#DIV/0!</v>
      </c>
      <c r="AD183" s="877"/>
      <c r="AE183" s="878"/>
      <c r="AF183" s="878"/>
      <c r="AG183" s="749"/>
      <c r="AH183" s="749"/>
      <c r="AI183" s="879"/>
    </row>
    <row r="184" spans="1:35" ht="21" customHeight="1" x14ac:dyDescent="0.35">
      <c r="A184" s="58"/>
      <c r="H184" s="442"/>
      <c r="N184" s="888" t="s">
        <v>145</v>
      </c>
      <c r="O184" s="888"/>
      <c r="P184" s="888"/>
      <c r="Q184" s="888"/>
      <c r="R184" s="431" t="s">
        <v>146</v>
      </c>
      <c r="S184" s="431"/>
      <c r="T184" s="431"/>
      <c r="U184" s="431"/>
      <c r="V184" s="431"/>
      <c r="W184" s="431"/>
      <c r="X184" s="431"/>
      <c r="Y184" s="431"/>
      <c r="Z184" s="431"/>
      <c r="AA184" s="431"/>
      <c r="AB184" s="431"/>
      <c r="AC184" s="431"/>
      <c r="AD184" s="880" t="s">
        <v>132</v>
      </c>
      <c r="AE184" s="881"/>
      <c r="AF184" s="881"/>
      <c r="AG184" s="881"/>
      <c r="AH184" s="881"/>
      <c r="AI184" s="882"/>
    </row>
    <row r="185" spans="1:35" ht="31.5" customHeight="1" x14ac:dyDescent="0.35">
      <c r="A185" s="617" t="s">
        <v>147</v>
      </c>
      <c r="C185" s="885" t="s">
        <v>128</v>
      </c>
      <c r="D185" s="885"/>
      <c r="E185" s="885"/>
      <c r="F185" s="885"/>
      <c r="H185" s="442"/>
      <c r="J185" s="444"/>
      <c r="K185" s="445" t="s">
        <v>35</v>
      </c>
      <c r="L185" s="445" t="s">
        <v>148</v>
      </c>
      <c r="N185" s="446" t="s">
        <v>149</v>
      </c>
      <c r="O185" s="447" t="s">
        <v>150</v>
      </c>
      <c r="P185" s="447" t="s">
        <v>138</v>
      </c>
      <c r="Q185" s="447" t="s">
        <v>151</v>
      </c>
      <c r="R185" s="749" t="s">
        <v>152</v>
      </c>
      <c r="S185" s="749"/>
      <c r="T185" s="883" t="s">
        <v>153</v>
      </c>
      <c r="U185" s="883"/>
      <c r="W185" s="425" t="s">
        <v>154</v>
      </c>
      <c r="X185" s="425"/>
      <c r="Y185" s="425"/>
      <c r="Z185" s="425"/>
      <c r="AA185" s="425"/>
      <c r="AB185" s="425"/>
      <c r="AC185" s="425"/>
      <c r="AD185" s="868" t="s">
        <v>160</v>
      </c>
      <c r="AE185" s="869"/>
      <c r="AF185" s="869"/>
      <c r="AG185" s="869"/>
      <c r="AH185" s="869"/>
      <c r="AI185" s="870"/>
    </row>
    <row r="186" spans="1:35" ht="18" customHeight="1" thickBot="1" x14ac:dyDescent="0.3">
      <c r="A186" s="639"/>
      <c r="B186" s="375"/>
      <c r="C186" s="372"/>
      <c r="D186" s="372"/>
      <c r="E186" s="372"/>
      <c r="F186" s="372"/>
      <c r="G186" s="366">
        <f>+(D186-C186)+(F186-E186)</f>
        <v>0</v>
      </c>
      <c r="H186" s="367">
        <f>+G186*1440</f>
        <v>0</v>
      </c>
      <c r="I186" s="859" t="s">
        <v>155</v>
      </c>
      <c r="J186" s="860"/>
      <c r="K186" s="373"/>
      <c r="L186" s="374"/>
      <c r="M186" s="423"/>
      <c r="N186" s="629">
        <f>+J183+L183+K183+K186+L186</f>
        <v>0</v>
      </c>
      <c r="O186" s="368">
        <f>+(Setup_and_Criteria!$K$31+(J183*Setup_and_Criteria!$F$20)+('M1_1-15th'!K183*Setup_and_Criteria!$F$21)+('M1_1-15th'!L183*Setup_and_Criteria!$F$20))+T186+(K186*Setup_and_Criteria!$F$21)+(Setup_and_Criteria!$F$22*'M1_1-15th'!L186)</f>
        <v>75</v>
      </c>
      <c r="P186" s="367">
        <f>+H186</f>
        <v>0</v>
      </c>
      <c r="Q186" s="367">
        <f>+O186-P186</f>
        <v>75</v>
      </c>
      <c r="R186" s="861" t="s">
        <v>252</v>
      </c>
      <c r="S186" s="861"/>
      <c r="T186" s="862"/>
      <c r="U186" s="863"/>
      <c r="V186" s="265" t="s">
        <v>156</v>
      </c>
      <c r="W186" s="854"/>
      <c r="X186" s="855"/>
      <c r="Y186" s="855"/>
      <c r="Z186" s="855"/>
      <c r="AA186" s="855"/>
      <c r="AB186" s="855"/>
      <c r="AC186" s="855"/>
      <c r="AD186" s="868"/>
      <c r="AE186" s="869"/>
      <c r="AF186" s="869"/>
      <c r="AG186" s="869"/>
      <c r="AH186" s="869"/>
      <c r="AI186" s="870"/>
    </row>
    <row r="187" spans="1:35" ht="15.75" thickBot="1" x14ac:dyDescent="0.3">
      <c r="A187" s="449" t="str">
        <f>+A174</f>
        <v>Password to enter data = "Enter Info"</v>
      </c>
      <c r="B187" s="450"/>
      <c r="C187" s="451"/>
      <c r="D187" s="451"/>
      <c r="E187" s="451"/>
      <c r="F187" s="451"/>
      <c r="G187" s="451"/>
      <c r="H187" s="451"/>
      <c r="I187" s="450"/>
      <c r="J187" s="451"/>
      <c r="K187" s="451"/>
      <c r="L187" s="451"/>
      <c r="M187" s="451"/>
      <c r="N187" s="451"/>
      <c r="O187" s="451"/>
      <c r="P187" s="451"/>
      <c r="Q187" s="450"/>
      <c r="R187" s="451"/>
      <c r="S187" s="451"/>
      <c r="T187" s="451"/>
      <c r="U187" s="451"/>
      <c r="V187" s="451"/>
      <c r="W187" s="451"/>
      <c r="X187" s="451"/>
      <c r="Y187" s="451"/>
      <c r="Z187" s="451"/>
      <c r="AA187" s="451"/>
      <c r="AB187" s="450"/>
      <c r="AC187" s="450"/>
      <c r="AD187" s="871"/>
      <c r="AE187" s="872"/>
      <c r="AF187" s="872"/>
      <c r="AG187" s="872"/>
      <c r="AH187" s="872"/>
      <c r="AI187" s="873"/>
    </row>
    <row r="188" spans="1:35" ht="35.25" customHeight="1" x14ac:dyDescent="0.4">
      <c r="A188" s="434" t="str">
        <f>+A175</f>
        <v>June</v>
      </c>
      <c r="B188" s="624">
        <f>+B175+1</f>
        <v>30</v>
      </c>
      <c r="C188" s="884" t="s">
        <v>128</v>
      </c>
      <c r="D188" s="884"/>
      <c r="E188" s="884"/>
      <c r="F188" s="884"/>
      <c r="G188" s="377"/>
      <c r="H188" s="377"/>
      <c r="I188" s="21"/>
      <c r="J188" s="874" t="s">
        <v>129</v>
      </c>
      <c r="K188" s="875"/>
      <c r="L188" s="875"/>
      <c r="M188" s="875"/>
      <c r="N188" s="876" t="s">
        <v>130</v>
      </c>
      <c r="O188" s="876"/>
      <c r="P188" s="876"/>
      <c r="Q188" s="876"/>
      <c r="R188" s="424" t="str">
        <f>+R175</f>
        <v xml:space="preserve"> Corrections Tracking - Check out rooms</v>
      </c>
      <c r="S188" s="424"/>
      <c r="T188" s="424"/>
      <c r="U188" s="424"/>
      <c r="V188" s="424"/>
      <c r="W188" s="424"/>
      <c r="X188" s="424"/>
      <c r="Y188" s="424"/>
      <c r="Z188" s="424"/>
      <c r="AA188" s="424"/>
      <c r="AB188" s="424"/>
      <c r="AC188" s="424"/>
      <c r="AD188" s="461" t="s">
        <v>132</v>
      </c>
      <c r="AE188" s="426"/>
      <c r="AF188" s="426"/>
      <c r="AG188" s="426"/>
      <c r="AH188" s="426"/>
      <c r="AI188" s="427"/>
    </row>
    <row r="189" spans="1:35" ht="59.25" customHeight="1" x14ac:dyDescent="0.25">
      <c r="A189" s="378" t="s">
        <v>133</v>
      </c>
      <c r="C189" s="435" t="s">
        <v>134</v>
      </c>
      <c r="D189" s="435" t="s">
        <v>135</v>
      </c>
      <c r="E189" s="435" t="s">
        <v>134</v>
      </c>
      <c r="F189" s="435" t="s">
        <v>135</v>
      </c>
      <c r="G189" s="1" t="s">
        <v>136</v>
      </c>
      <c r="H189" s="1" t="s">
        <v>108</v>
      </c>
      <c r="I189" s="436"/>
      <c r="J189" s="437" t="str">
        <f>+Setup_and_Criteria!$B$13</f>
        <v>Checkouts</v>
      </c>
      <c r="K189" s="437" t="str">
        <f>+Setup_and_Criteria!$B$14</f>
        <v>Pet Rooms</v>
      </c>
      <c r="L189" s="437" t="str">
        <f>+Setup_and_Criteria!$B$15</f>
        <v>2 Rm &amp; Jac Stes</v>
      </c>
      <c r="M189" s="438" t="str">
        <f>+Setup_and_Criteria!$B$16</f>
        <v>Stayovers</v>
      </c>
      <c r="N189" s="269" t="s">
        <v>137</v>
      </c>
      <c r="O189" s="269" t="s">
        <v>138</v>
      </c>
      <c r="P189" s="439" t="s">
        <v>139</v>
      </c>
      <c r="Q189" s="439" t="s">
        <v>140</v>
      </c>
      <c r="R189" s="440" t="str">
        <f>+Corrections!$C$8</f>
        <v>Vanity</v>
      </c>
      <c r="S189" s="440" t="str">
        <f>+Corrections!$I$8</f>
        <v>Toilet</v>
      </c>
      <c r="T189" s="440" t="str">
        <f>+Corrections!$O$8</f>
        <v>Bed/Pillows</v>
      </c>
      <c r="U189" s="440" t="str">
        <f>+Corrections!$U$8</f>
        <v>Floor</v>
      </c>
      <c r="V189" s="440" t="str">
        <f>+Corrections!$AA$8</f>
        <v>Dusting</v>
      </c>
      <c r="W189" s="440" t="str">
        <f>+Corrections!$AG$8</f>
        <v>Fridge/Micro</v>
      </c>
      <c r="X189" s="440" t="str">
        <f>+Corrections!$AM$8</f>
        <v>Tub</v>
      </c>
      <c r="Y189" s="441" t="str">
        <f>+Corrections!$AS$8</f>
        <v>Mirrors/Glass</v>
      </c>
      <c r="Z189" s="440" t="str">
        <f>+Corrections!$AY$8</f>
        <v>Stocking</v>
      </c>
      <c r="AA189" s="440" t="str">
        <f>+Corrections!$BE$8</f>
        <v>Other</v>
      </c>
      <c r="AB189" s="269" t="s">
        <v>141</v>
      </c>
      <c r="AC189" s="269" t="str">
        <f>+$AC$7</f>
        <v>Daily Corr / Inspected Checkout</v>
      </c>
      <c r="AD189" s="889" t="s">
        <v>143</v>
      </c>
      <c r="AE189" s="890"/>
      <c r="AF189" s="890"/>
      <c r="AG189" s="890"/>
      <c r="AH189" s="890"/>
      <c r="AI189" s="891"/>
    </row>
    <row r="190" spans="1:35" x14ac:dyDescent="0.25">
      <c r="A190" s="638"/>
      <c r="C190" s="369"/>
      <c r="D190" s="369"/>
      <c r="E190" s="369"/>
      <c r="F190" s="369"/>
      <c r="G190" s="264">
        <f t="shared" ref="G190:G195" si="112">+(D190-C190)+(F190-E190)</f>
        <v>0</v>
      </c>
      <c r="H190" s="442">
        <f t="shared" ref="H190:H195" si="113">+G190*1440</f>
        <v>0</v>
      </c>
      <c r="J190" s="630"/>
      <c r="K190" s="630"/>
      <c r="L190" s="630"/>
      <c r="M190" s="630"/>
      <c r="N190" s="1">
        <f>IF(C190&gt;0,((J190*Setup_and_Criteria!$F$13)+('M1_1-15th'!K190*Setup_and_Criteria!$F$14)+('M1_1-15th'!L190*Setup_and_Criteria!$F$15)+('M1_1-15th'!M190*Setup_and_Criteria!$F$16)+Setup_and_Criteria!$J$16),0)</f>
        <v>0</v>
      </c>
      <c r="O190" s="442">
        <f>+H190</f>
        <v>0</v>
      </c>
      <c r="P190" s="443">
        <f t="shared" ref="P190:P196" si="114">+N190-O190</f>
        <v>0</v>
      </c>
      <c r="Q190" s="357" t="e">
        <f t="shared" ref="Q190:Q196" si="115">O190/_xlfn.SINGLE(SUM(J190:M190))</f>
        <v>#DIV/0!</v>
      </c>
      <c r="R190" s="630"/>
      <c r="S190" s="630"/>
      <c r="T190" s="630"/>
      <c r="U190" s="630"/>
      <c r="V190" s="630"/>
      <c r="W190" s="630"/>
      <c r="X190" s="630"/>
      <c r="Y190" s="630"/>
      <c r="Z190" s="630"/>
      <c r="AA190" s="630"/>
      <c r="AB190" s="1">
        <f t="shared" ref="AB190:AB196" si="116">SUM(R190:AA190)</f>
        <v>0</v>
      </c>
      <c r="AC190" s="357" t="e">
        <f t="shared" ref="AC190:AC196" si="117">+AB190/(J190+K190+L190)</f>
        <v>#DIV/0!</v>
      </c>
      <c r="AD190" s="864" t="s">
        <v>144</v>
      </c>
      <c r="AE190" s="865"/>
      <c r="AF190" s="865"/>
      <c r="AG190" s="866"/>
      <c r="AH190" s="866"/>
      <c r="AI190" s="867"/>
    </row>
    <row r="191" spans="1:35" x14ac:dyDescent="0.25">
      <c r="A191" s="638"/>
      <c r="C191" s="630"/>
      <c r="D191" s="630"/>
      <c r="E191" s="630"/>
      <c r="F191" s="630"/>
      <c r="G191" s="264">
        <f t="shared" si="112"/>
        <v>0</v>
      </c>
      <c r="H191" s="442">
        <f t="shared" si="113"/>
        <v>0</v>
      </c>
      <c r="J191" s="630"/>
      <c r="K191" s="630"/>
      <c r="L191" s="630"/>
      <c r="M191" s="630"/>
      <c r="N191" s="1">
        <f>IF(C191&gt;0,((J191*Setup_and_Criteria!$F$13)+('M1_1-15th'!K191*Setup_and_Criteria!$F$14)+('M1_1-15th'!L191*Setup_and_Criteria!$F$15)+('M1_1-15th'!M191*Setup_and_Criteria!$F$16)+Setup_and_Criteria!$J$16),0)</f>
        <v>0</v>
      </c>
      <c r="O191" s="442">
        <f t="shared" ref="O191:O196" si="118">+H191</f>
        <v>0</v>
      </c>
      <c r="P191" s="443">
        <f t="shared" si="114"/>
        <v>0</v>
      </c>
      <c r="Q191" s="357" t="e">
        <f t="shared" si="115"/>
        <v>#DIV/0!</v>
      </c>
      <c r="R191" s="630"/>
      <c r="S191" s="630"/>
      <c r="T191" s="630"/>
      <c r="U191" s="630"/>
      <c r="V191" s="630"/>
      <c r="W191" s="630"/>
      <c r="X191" s="630"/>
      <c r="Y191" s="630"/>
      <c r="Z191" s="630"/>
      <c r="AA191" s="630"/>
      <c r="AB191" s="1">
        <f t="shared" si="116"/>
        <v>0</v>
      </c>
      <c r="AC191" s="357" t="e">
        <f t="shared" si="117"/>
        <v>#DIV/0!</v>
      </c>
      <c r="AD191" s="864"/>
      <c r="AE191" s="865"/>
      <c r="AF191" s="865"/>
      <c r="AG191" s="866"/>
      <c r="AH191" s="866"/>
      <c r="AI191" s="867"/>
    </row>
    <row r="192" spans="1:35" x14ac:dyDescent="0.25">
      <c r="A192" s="638"/>
      <c r="C192" s="630"/>
      <c r="D192" s="630"/>
      <c r="E192" s="630"/>
      <c r="F192" s="630"/>
      <c r="G192" s="264">
        <f t="shared" si="112"/>
        <v>0</v>
      </c>
      <c r="H192" s="442">
        <f t="shared" si="113"/>
        <v>0</v>
      </c>
      <c r="J192" s="630"/>
      <c r="K192" s="630"/>
      <c r="L192" s="630"/>
      <c r="M192" s="630"/>
      <c r="N192" s="1">
        <f>IF(C192&gt;0,((J192*Setup_and_Criteria!$F$13)+('M1_1-15th'!K192*Setup_and_Criteria!$F$14)+('M1_1-15th'!L192*Setup_and_Criteria!$F$15)+('M1_1-15th'!M192*Setup_and_Criteria!$F$16)+Setup_and_Criteria!$J$16),0)</f>
        <v>0</v>
      </c>
      <c r="O192" s="442">
        <f t="shared" si="118"/>
        <v>0</v>
      </c>
      <c r="P192" s="443">
        <f t="shared" si="114"/>
        <v>0</v>
      </c>
      <c r="Q192" s="357" t="e">
        <f t="shared" si="115"/>
        <v>#DIV/0!</v>
      </c>
      <c r="R192" s="630"/>
      <c r="S192" s="630"/>
      <c r="T192" s="630"/>
      <c r="U192" s="630"/>
      <c r="V192" s="630"/>
      <c r="W192" s="630"/>
      <c r="X192" s="630"/>
      <c r="Y192" s="630"/>
      <c r="Z192" s="630"/>
      <c r="AA192" s="630"/>
      <c r="AB192" s="1">
        <f t="shared" si="116"/>
        <v>0</v>
      </c>
      <c r="AC192" s="357" t="e">
        <f t="shared" si="117"/>
        <v>#DIV/0!</v>
      </c>
      <c r="AD192" s="864"/>
      <c r="AE192" s="865"/>
      <c r="AF192" s="865"/>
      <c r="AG192" s="866"/>
      <c r="AH192" s="866"/>
      <c r="AI192" s="867"/>
    </row>
    <row r="193" spans="1:35" x14ac:dyDescent="0.25">
      <c r="A193" s="638"/>
      <c r="C193" s="630"/>
      <c r="D193" s="630"/>
      <c r="E193" s="630"/>
      <c r="F193" s="630"/>
      <c r="G193" s="264">
        <f t="shared" si="112"/>
        <v>0</v>
      </c>
      <c r="H193" s="442">
        <f t="shared" si="113"/>
        <v>0</v>
      </c>
      <c r="J193" s="630"/>
      <c r="K193" s="630"/>
      <c r="L193" s="630"/>
      <c r="M193" s="630"/>
      <c r="N193" s="1">
        <f>IF(C193&gt;0,((J193*Setup_and_Criteria!$F$13)+('M1_1-15th'!K193*Setup_and_Criteria!$F$14)+('M1_1-15th'!L193*Setup_and_Criteria!$F$15)+('M1_1-15th'!M193*Setup_and_Criteria!$F$16)+Setup_and_Criteria!$J$16),0)</f>
        <v>0</v>
      </c>
      <c r="O193" s="442">
        <f t="shared" si="118"/>
        <v>0</v>
      </c>
      <c r="P193" s="443">
        <f t="shared" si="114"/>
        <v>0</v>
      </c>
      <c r="Q193" s="357" t="e">
        <f t="shared" si="115"/>
        <v>#DIV/0!</v>
      </c>
      <c r="R193" s="630"/>
      <c r="S193" s="630"/>
      <c r="T193" s="630"/>
      <c r="U193" s="630"/>
      <c r="V193" s="630"/>
      <c r="W193" s="630"/>
      <c r="X193" s="630"/>
      <c r="Y193" s="630"/>
      <c r="Z193" s="630"/>
      <c r="AA193" s="630"/>
      <c r="AB193" s="1">
        <f t="shared" si="116"/>
        <v>0</v>
      </c>
      <c r="AC193" s="357" t="e">
        <f t="shared" si="117"/>
        <v>#DIV/0!</v>
      </c>
      <c r="AD193" s="864"/>
      <c r="AE193" s="865"/>
      <c r="AF193" s="865"/>
      <c r="AG193" s="866"/>
      <c r="AH193" s="866"/>
      <c r="AI193" s="867"/>
    </row>
    <row r="194" spans="1:35" x14ac:dyDescent="0.25">
      <c r="A194" s="638"/>
      <c r="C194" s="630"/>
      <c r="D194" s="630"/>
      <c r="E194" s="630"/>
      <c r="F194" s="630"/>
      <c r="G194" s="264">
        <f t="shared" si="112"/>
        <v>0</v>
      </c>
      <c r="H194" s="442">
        <f t="shared" si="113"/>
        <v>0</v>
      </c>
      <c r="J194" s="630"/>
      <c r="K194" s="630"/>
      <c r="L194" s="630"/>
      <c r="M194" s="630"/>
      <c r="N194" s="1">
        <f>IF(C194&gt;0,((J194*Setup_and_Criteria!$F$13)+('M1_1-15th'!K194*Setup_and_Criteria!$F$14)+('M1_1-15th'!L194*Setup_and_Criteria!$F$15)+('M1_1-15th'!M194*Setup_and_Criteria!$F$16)+Setup_and_Criteria!$J$16),0)</f>
        <v>0</v>
      </c>
      <c r="O194" s="442">
        <f t="shared" si="118"/>
        <v>0</v>
      </c>
      <c r="P194" s="443">
        <f t="shared" si="114"/>
        <v>0</v>
      </c>
      <c r="Q194" s="357" t="e">
        <f t="shared" si="115"/>
        <v>#DIV/0!</v>
      </c>
      <c r="R194" s="630"/>
      <c r="S194" s="630"/>
      <c r="T194" s="630"/>
      <c r="U194" s="630"/>
      <c r="V194" s="630"/>
      <c r="W194" s="630"/>
      <c r="X194" s="630"/>
      <c r="Y194" s="630"/>
      <c r="Z194" s="630"/>
      <c r="AA194" s="630"/>
      <c r="AB194" s="1">
        <f t="shared" si="116"/>
        <v>0</v>
      </c>
      <c r="AC194" s="357" t="e">
        <f t="shared" si="117"/>
        <v>#DIV/0!</v>
      </c>
      <c r="AD194" s="864"/>
      <c r="AE194" s="865"/>
      <c r="AF194" s="865"/>
      <c r="AG194" s="866"/>
      <c r="AH194" s="866"/>
      <c r="AI194" s="867"/>
    </row>
    <row r="195" spans="1:35" ht="15.75" thickBot="1" x14ac:dyDescent="0.3">
      <c r="A195" s="638"/>
      <c r="C195" s="370"/>
      <c r="D195" s="370"/>
      <c r="E195" s="630"/>
      <c r="F195" s="630"/>
      <c r="G195" s="264">
        <f t="shared" si="112"/>
        <v>0</v>
      </c>
      <c r="H195" s="442">
        <f t="shared" si="113"/>
        <v>0</v>
      </c>
      <c r="J195" s="371"/>
      <c r="K195" s="371"/>
      <c r="L195" s="371"/>
      <c r="M195" s="371"/>
      <c r="N195" s="358">
        <f>IF(C195&gt;0,((J195*Setup_and_Criteria!$F$13)+('M1_1-15th'!K195*Setup_and_Criteria!$F$14)+('M1_1-15th'!L195*Setup_and_Criteria!$F$15)+('M1_1-15th'!M195*Setup_and_Criteria!$F$16)+Setup_and_Criteria!$J$16),0)</f>
        <v>0</v>
      </c>
      <c r="O195" s="359">
        <f t="shared" si="118"/>
        <v>0</v>
      </c>
      <c r="P195" s="383">
        <f t="shared" si="114"/>
        <v>0</v>
      </c>
      <c r="Q195" s="360" t="e">
        <f t="shared" si="115"/>
        <v>#DIV/0!</v>
      </c>
      <c r="R195" s="511"/>
      <c r="S195" s="511"/>
      <c r="T195" s="511"/>
      <c r="U195" s="511"/>
      <c r="V195" s="511"/>
      <c r="W195" s="511"/>
      <c r="X195" s="511"/>
      <c r="Y195" s="511"/>
      <c r="Z195" s="511"/>
      <c r="AA195" s="511"/>
      <c r="AB195" s="358">
        <f t="shared" si="116"/>
        <v>0</v>
      </c>
      <c r="AC195" s="357" t="e">
        <f t="shared" si="117"/>
        <v>#DIV/0!</v>
      </c>
      <c r="AD195" s="864"/>
      <c r="AE195" s="865"/>
      <c r="AF195" s="865"/>
      <c r="AG195" s="866"/>
      <c r="AH195" s="866"/>
      <c r="AI195" s="867"/>
    </row>
    <row r="196" spans="1:35" ht="15.75" thickTop="1" x14ac:dyDescent="0.25">
      <c r="A196" s="58"/>
      <c r="H196" s="442">
        <f>SUM(H190:H195)</f>
        <v>0</v>
      </c>
      <c r="J196" s="1">
        <f>SUM(J190:J195)</f>
        <v>0</v>
      </c>
      <c r="K196" s="1">
        <f>SUM(K190:K195)</f>
        <v>0</v>
      </c>
      <c r="L196" s="1">
        <f>SUM(L190:L195)</f>
        <v>0</v>
      </c>
      <c r="M196" s="1">
        <f>SUM(M190:M195)</f>
        <v>0</v>
      </c>
      <c r="N196" s="1">
        <f>SUM(N190:N195)</f>
        <v>0</v>
      </c>
      <c r="O196" s="1">
        <f t="shared" si="118"/>
        <v>0</v>
      </c>
      <c r="P196" s="443">
        <f t="shared" si="114"/>
        <v>0</v>
      </c>
      <c r="Q196" s="357" t="e">
        <f t="shared" si="115"/>
        <v>#DIV/0!</v>
      </c>
      <c r="R196" s="1">
        <f t="shared" ref="R196:AA196" si="119">SUM(R190:R195)</f>
        <v>0</v>
      </c>
      <c r="S196" s="1">
        <f t="shared" si="119"/>
        <v>0</v>
      </c>
      <c r="T196" s="1">
        <f t="shared" si="119"/>
        <v>0</v>
      </c>
      <c r="U196" s="1">
        <f t="shared" si="119"/>
        <v>0</v>
      </c>
      <c r="V196" s="1">
        <f t="shared" si="119"/>
        <v>0</v>
      </c>
      <c r="W196" s="1">
        <f t="shared" si="119"/>
        <v>0</v>
      </c>
      <c r="X196" s="1">
        <f t="shared" si="119"/>
        <v>0</v>
      </c>
      <c r="Y196" s="1">
        <f t="shared" si="119"/>
        <v>0</v>
      </c>
      <c r="Z196" s="1">
        <f t="shared" si="119"/>
        <v>0</v>
      </c>
      <c r="AA196" s="1">
        <f t="shared" si="119"/>
        <v>0</v>
      </c>
      <c r="AB196" s="1">
        <f t="shared" si="116"/>
        <v>0</v>
      </c>
      <c r="AC196" s="357" t="e">
        <f t="shared" si="117"/>
        <v>#DIV/0!</v>
      </c>
      <c r="AD196" s="877"/>
      <c r="AE196" s="878"/>
      <c r="AF196" s="878"/>
      <c r="AG196" s="749"/>
      <c r="AH196" s="749"/>
      <c r="AI196" s="879"/>
    </row>
    <row r="197" spans="1:35" ht="21" customHeight="1" x14ac:dyDescent="0.35">
      <c r="A197" s="58"/>
      <c r="H197" s="442"/>
      <c r="N197" s="888" t="s">
        <v>145</v>
      </c>
      <c r="O197" s="888"/>
      <c r="P197" s="888"/>
      <c r="Q197" s="888"/>
      <c r="R197" s="431" t="s">
        <v>146</v>
      </c>
      <c r="S197" s="431"/>
      <c r="T197" s="431"/>
      <c r="U197" s="431"/>
      <c r="V197" s="431"/>
      <c r="W197" s="431"/>
      <c r="X197" s="431"/>
      <c r="Y197" s="431"/>
      <c r="Z197" s="431"/>
      <c r="AA197" s="431"/>
      <c r="AB197" s="431"/>
      <c r="AC197" s="431"/>
      <c r="AD197" s="880" t="s">
        <v>132</v>
      </c>
      <c r="AE197" s="881"/>
      <c r="AF197" s="881"/>
      <c r="AG197" s="881"/>
      <c r="AH197" s="881"/>
      <c r="AI197" s="882"/>
    </row>
    <row r="198" spans="1:35" ht="31.5" customHeight="1" x14ac:dyDescent="0.35">
      <c r="A198" s="378" t="s">
        <v>147</v>
      </c>
      <c r="C198" s="885" t="s">
        <v>128</v>
      </c>
      <c r="D198" s="885"/>
      <c r="E198" s="885"/>
      <c r="F198" s="885"/>
      <c r="H198" s="442"/>
      <c r="J198" s="444"/>
      <c r="K198" s="445" t="s">
        <v>35</v>
      </c>
      <c r="L198" s="445" t="s">
        <v>148</v>
      </c>
      <c r="N198" s="446" t="s">
        <v>149</v>
      </c>
      <c r="O198" s="447" t="s">
        <v>150</v>
      </c>
      <c r="P198" s="447" t="s">
        <v>138</v>
      </c>
      <c r="Q198" s="447" t="s">
        <v>151</v>
      </c>
      <c r="R198" s="749" t="s">
        <v>152</v>
      </c>
      <c r="S198" s="749"/>
      <c r="T198" s="883" t="s">
        <v>153</v>
      </c>
      <c r="U198" s="883"/>
      <c r="W198" s="425" t="s">
        <v>154</v>
      </c>
      <c r="X198" s="425"/>
      <c r="Y198" s="425"/>
      <c r="Z198" s="425"/>
      <c r="AA198" s="425"/>
      <c r="AB198" s="425"/>
      <c r="AC198" s="425"/>
      <c r="AD198" s="868" t="s">
        <v>160</v>
      </c>
      <c r="AE198" s="869"/>
      <c r="AF198" s="869"/>
      <c r="AG198" s="869"/>
      <c r="AH198" s="869"/>
      <c r="AI198" s="870"/>
    </row>
    <row r="199" spans="1:35" ht="18" customHeight="1" thickBot="1" x14ac:dyDescent="0.3">
      <c r="A199" s="642"/>
      <c r="B199" s="375"/>
      <c r="C199" s="372"/>
      <c r="D199" s="372"/>
      <c r="E199" s="372"/>
      <c r="F199" s="372"/>
      <c r="G199" s="366">
        <f>+(D199-C199)+(F199-E199)</f>
        <v>0</v>
      </c>
      <c r="H199" s="367">
        <f>+G199*1440</f>
        <v>0</v>
      </c>
      <c r="I199" s="859" t="s">
        <v>155</v>
      </c>
      <c r="J199" s="860"/>
      <c r="K199" s="373"/>
      <c r="L199" s="374"/>
      <c r="M199" s="423"/>
      <c r="N199" s="629">
        <f>+J196+L196+K196+K199+L199</f>
        <v>0</v>
      </c>
      <c r="O199" s="368">
        <f>+(Setup_and_Criteria!$K$31+(J196*Setup_and_Criteria!$F$20)+('M1_1-15th'!K196*Setup_and_Criteria!$F$21)+('M1_1-15th'!L196*Setup_and_Criteria!$F$20))+T199+(K199*Setup_and_Criteria!$F$21)+(Setup_and_Criteria!$F$22*'M1_1-15th'!L199)</f>
        <v>75</v>
      </c>
      <c r="P199" s="367">
        <f>+H199</f>
        <v>0</v>
      </c>
      <c r="Q199" s="367">
        <f>+O199-P199</f>
        <v>75</v>
      </c>
      <c r="R199" s="861" t="s">
        <v>252</v>
      </c>
      <c r="S199" s="861"/>
      <c r="T199" s="862"/>
      <c r="U199" s="863"/>
      <c r="V199" s="265" t="s">
        <v>156</v>
      </c>
      <c r="W199" s="854"/>
      <c r="X199" s="855"/>
      <c r="Y199" s="855"/>
      <c r="Z199" s="855"/>
      <c r="AA199" s="855"/>
      <c r="AB199" s="855"/>
      <c r="AC199" s="855"/>
      <c r="AD199" s="868"/>
      <c r="AE199" s="869"/>
      <c r="AF199" s="869"/>
      <c r="AG199" s="869"/>
      <c r="AH199" s="869"/>
      <c r="AI199" s="870"/>
    </row>
    <row r="200" spans="1:35" ht="15.75" thickBot="1" x14ac:dyDescent="0.3">
      <c r="A200" s="449" t="str">
        <f>+A187</f>
        <v>Password to enter data = "Enter Info"</v>
      </c>
      <c r="B200" s="450"/>
      <c r="C200" s="451"/>
      <c r="D200" s="451"/>
      <c r="E200" s="451"/>
      <c r="F200" s="451"/>
      <c r="G200" s="451"/>
      <c r="H200" s="451"/>
      <c r="I200" s="450"/>
      <c r="J200" s="451"/>
      <c r="K200" s="451"/>
      <c r="L200" s="451"/>
      <c r="M200" s="451"/>
      <c r="N200" s="451"/>
      <c r="O200" s="451"/>
      <c r="P200" s="451"/>
      <c r="Q200" s="450"/>
      <c r="R200" s="451"/>
      <c r="S200" s="451"/>
      <c r="T200" s="451"/>
      <c r="U200" s="451"/>
      <c r="V200" s="451"/>
      <c r="W200" s="451"/>
      <c r="X200" s="451"/>
      <c r="Y200" s="451"/>
      <c r="Z200" s="451"/>
      <c r="AA200" s="451"/>
      <c r="AB200" s="450"/>
      <c r="AC200" s="450"/>
      <c r="AD200" s="871"/>
      <c r="AE200" s="872"/>
      <c r="AF200" s="872"/>
      <c r="AG200" s="872"/>
      <c r="AH200" s="872"/>
      <c r="AI200" s="873"/>
    </row>
    <row r="201" spans="1:35" ht="26.25" x14ac:dyDescent="0.4">
      <c r="A201" s="476" t="str">
        <f>+A188</f>
        <v>June</v>
      </c>
      <c r="B201" s="624">
        <f>+B188+1</f>
        <v>31</v>
      </c>
      <c r="C201" s="884" t="s">
        <v>128</v>
      </c>
      <c r="D201" s="884"/>
      <c r="E201" s="884"/>
      <c r="F201" s="884"/>
      <c r="G201" s="377"/>
      <c r="H201" s="377"/>
      <c r="I201" s="21"/>
      <c r="J201" s="874" t="s">
        <v>129</v>
      </c>
      <c r="K201" s="875"/>
      <c r="L201" s="875"/>
      <c r="M201" s="875"/>
      <c r="N201" s="876" t="s">
        <v>130</v>
      </c>
      <c r="O201" s="876"/>
      <c r="P201" s="876"/>
      <c r="Q201" s="876"/>
      <c r="R201" s="424" t="str">
        <f>+R188</f>
        <v xml:space="preserve"> Corrections Tracking - Check out rooms</v>
      </c>
      <c r="S201" s="424"/>
      <c r="T201" s="424"/>
      <c r="U201" s="424"/>
      <c r="V201" s="424"/>
      <c r="W201" s="424"/>
      <c r="X201" s="424"/>
      <c r="Y201" s="424"/>
      <c r="Z201" s="424"/>
      <c r="AA201" s="424"/>
      <c r="AB201" s="424"/>
      <c r="AC201" s="424"/>
      <c r="AD201" s="461" t="s">
        <v>132</v>
      </c>
      <c r="AE201" s="426"/>
      <c r="AF201" s="426"/>
      <c r="AG201" s="426"/>
      <c r="AH201" s="426"/>
      <c r="AI201" s="427"/>
    </row>
    <row r="202" spans="1:35" ht="63" x14ac:dyDescent="0.25">
      <c r="A202" s="378" t="s">
        <v>133</v>
      </c>
      <c r="C202" s="435" t="s">
        <v>134</v>
      </c>
      <c r="D202" s="435" t="s">
        <v>135</v>
      </c>
      <c r="E202" s="435" t="s">
        <v>134</v>
      </c>
      <c r="F202" s="435" t="s">
        <v>135</v>
      </c>
      <c r="G202" s="1" t="s">
        <v>136</v>
      </c>
      <c r="H202" s="1" t="s">
        <v>108</v>
      </c>
      <c r="I202" s="436"/>
      <c r="J202" s="437" t="str">
        <f>+Setup_and_Criteria!$B$13</f>
        <v>Checkouts</v>
      </c>
      <c r="K202" s="437" t="str">
        <f>+Setup_and_Criteria!$B$14</f>
        <v>Pet Rooms</v>
      </c>
      <c r="L202" s="437" t="str">
        <f>+Setup_and_Criteria!$B$15</f>
        <v>2 Rm &amp; Jac Stes</v>
      </c>
      <c r="M202" s="438" t="str">
        <f>+Setup_and_Criteria!$B$16</f>
        <v>Stayovers</v>
      </c>
      <c r="N202" s="269" t="s">
        <v>137</v>
      </c>
      <c r="O202" s="269" t="s">
        <v>138</v>
      </c>
      <c r="P202" s="439" t="s">
        <v>139</v>
      </c>
      <c r="Q202" s="439" t="s">
        <v>140</v>
      </c>
      <c r="R202" s="440" t="str">
        <f>+Corrections!$C$8</f>
        <v>Vanity</v>
      </c>
      <c r="S202" s="440" t="str">
        <f>+Corrections!$I$8</f>
        <v>Toilet</v>
      </c>
      <c r="T202" s="440" t="str">
        <f>+Corrections!$O$8</f>
        <v>Bed/Pillows</v>
      </c>
      <c r="U202" s="440" t="str">
        <f>+Corrections!$U$8</f>
        <v>Floor</v>
      </c>
      <c r="V202" s="440" t="str">
        <f>+Corrections!$AA$8</f>
        <v>Dusting</v>
      </c>
      <c r="W202" s="440" t="str">
        <f>+Corrections!$AG$8</f>
        <v>Fridge/Micro</v>
      </c>
      <c r="X202" s="440" t="str">
        <f>+Corrections!$AM$8</f>
        <v>Tub</v>
      </c>
      <c r="Y202" s="441" t="str">
        <f>+Corrections!$AS$8</f>
        <v>Mirrors/Glass</v>
      </c>
      <c r="Z202" s="440" t="str">
        <f>+Corrections!$AY$8</f>
        <v>Stocking</v>
      </c>
      <c r="AA202" s="440" t="str">
        <f>+Corrections!$BE$8</f>
        <v>Other</v>
      </c>
      <c r="AB202" s="269" t="s">
        <v>141</v>
      </c>
      <c r="AC202" s="269" t="str">
        <f>+$AC$7</f>
        <v>Daily Corr / Inspected Checkout</v>
      </c>
      <c r="AD202" s="889" t="s">
        <v>143</v>
      </c>
      <c r="AE202" s="890"/>
      <c r="AF202" s="890"/>
      <c r="AG202" s="890"/>
      <c r="AH202" s="890"/>
      <c r="AI202" s="891"/>
    </row>
    <row r="203" spans="1:35" x14ac:dyDescent="0.25">
      <c r="A203" s="638"/>
      <c r="C203" s="369"/>
      <c r="D203" s="369"/>
      <c r="E203" s="369"/>
      <c r="F203" s="369"/>
      <c r="G203" s="264">
        <f t="shared" ref="G203:G208" si="120">+(D203-C203)+(F203-E203)</f>
        <v>0</v>
      </c>
      <c r="H203" s="442">
        <f t="shared" ref="H203:H208" si="121">+G203*1440</f>
        <v>0</v>
      </c>
      <c r="J203" s="630"/>
      <c r="K203" s="630"/>
      <c r="L203" s="630"/>
      <c r="M203" s="630"/>
      <c r="N203" s="1">
        <f>IF(C203&gt;0,((J203*Setup_and_Criteria!$F$13)+('M1_1-15th'!K203*Setup_and_Criteria!$F$14)+('M1_1-15th'!L203*Setup_and_Criteria!$F$15)+('M1_1-15th'!M203*Setup_and_Criteria!$F$16)+Setup_and_Criteria!$J$16),0)</f>
        <v>0</v>
      </c>
      <c r="O203" s="442">
        <f>+H203</f>
        <v>0</v>
      </c>
      <c r="P203" s="443">
        <f t="shared" ref="P203:P209" si="122">+N203-O203</f>
        <v>0</v>
      </c>
      <c r="Q203" s="357" t="e">
        <f t="shared" ref="Q203:Q209" si="123">O203/_xlfn.SINGLE(SUM(J203:M203))</f>
        <v>#DIV/0!</v>
      </c>
      <c r="R203" s="630"/>
      <c r="S203" s="630"/>
      <c r="T203" s="630"/>
      <c r="U203" s="630"/>
      <c r="V203" s="630"/>
      <c r="W203" s="630"/>
      <c r="X203" s="630"/>
      <c r="Y203" s="630"/>
      <c r="Z203" s="630"/>
      <c r="AA203" s="630"/>
      <c r="AB203" s="1">
        <f t="shared" ref="AB203:AB209" si="124">SUM(R203:AA203)</f>
        <v>0</v>
      </c>
      <c r="AC203" s="357" t="e">
        <f t="shared" ref="AC203:AC209" si="125">+AB203/(J203+K203+L203)</f>
        <v>#DIV/0!</v>
      </c>
      <c r="AD203" s="864" t="s">
        <v>144</v>
      </c>
      <c r="AE203" s="865"/>
      <c r="AF203" s="865"/>
      <c r="AG203" s="866"/>
      <c r="AH203" s="866"/>
      <c r="AI203" s="867"/>
    </row>
    <row r="204" spans="1:35" x14ac:dyDescent="0.25">
      <c r="A204" s="638"/>
      <c r="C204" s="630"/>
      <c r="D204" s="630"/>
      <c r="E204" s="630"/>
      <c r="F204" s="630"/>
      <c r="G204" s="264">
        <f t="shared" si="120"/>
        <v>0</v>
      </c>
      <c r="H204" s="442">
        <f t="shared" si="121"/>
        <v>0</v>
      </c>
      <c r="J204" s="630"/>
      <c r="K204" s="630"/>
      <c r="L204" s="630"/>
      <c r="M204" s="630"/>
      <c r="N204" s="1">
        <f>IF(C204&gt;0,((J204*Setup_and_Criteria!$F$13)+('M1_1-15th'!K204*Setup_and_Criteria!$F$14)+('M1_1-15th'!L204*Setup_and_Criteria!$F$15)+('M1_1-15th'!M204*Setup_and_Criteria!$F$16)+Setup_and_Criteria!$J$16),0)</f>
        <v>0</v>
      </c>
      <c r="O204" s="442">
        <f t="shared" ref="O204:O209" si="126">+H204</f>
        <v>0</v>
      </c>
      <c r="P204" s="443">
        <f t="shared" si="122"/>
        <v>0</v>
      </c>
      <c r="Q204" s="357" t="e">
        <f t="shared" si="123"/>
        <v>#DIV/0!</v>
      </c>
      <c r="R204" s="630"/>
      <c r="S204" s="630"/>
      <c r="T204" s="630"/>
      <c r="U204" s="630"/>
      <c r="V204" s="630"/>
      <c r="W204" s="630"/>
      <c r="X204" s="630"/>
      <c r="Y204" s="630"/>
      <c r="Z204" s="630"/>
      <c r="AA204" s="630"/>
      <c r="AB204" s="1">
        <f t="shared" si="124"/>
        <v>0</v>
      </c>
      <c r="AC204" s="357" t="e">
        <f t="shared" si="125"/>
        <v>#DIV/0!</v>
      </c>
      <c r="AD204" s="864"/>
      <c r="AE204" s="865"/>
      <c r="AF204" s="865"/>
      <c r="AG204" s="866"/>
      <c r="AH204" s="866"/>
      <c r="AI204" s="867"/>
    </row>
    <row r="205" spans="1:35" x14ac:dyDescent="0.25">
      <c r="A205" s="638"/>
      <c r="C205" s="630"/>
      <c r="D205" s="630"/>
      <c r="E205" s="630"/>
      <c r="F205" s="630"/>
      <c r="G205" s="264">
        <f t="shared" si="120"/>
        <v>0</v>
      </c>
      <c r="H205" s="442">
        <f t="shared" si="121"/>
        <v>0</v>
      </c>
      <c r="J205" s="630"/>
      <c r="K205" s="630"/>
      <c r="L205" s="630"/>
      <c r="M205" s="630"/>
      <c r="N205" s="1">
        <f>IF(C205&gt;0,((J205*Setup_and_Criteria!$F$13)+('M1_1-15th'!K205*Setup_and_Criteria!$F$14)+('M1_1-15th'!L205*Setup_and_Criteria!$F$15)+('M1_1-15th'!M205*Setup_and_Criteria!$F$16)+Setup_and_Criteria!$J$16),0)</f>
        <v>0</v>
      </c>
      <c r="O205" s="442">
        <f t="shared" si="126"/>
        <v>0</v>
      </c>
      <c r="P205" s="443">
        <f t="shared" si="122"/>
        <v>0</v>
      </c>
      <c r="Q205" s="357" t="e">
        <f t="shared" si="123"/>
        <v>#DIV/0!</v>
      </c>
      <c r="R205" s="630"/>
      <c r="S205" s="630"/>
      <c r="T205" s="630"/>
      <c r="U205" s="630"/>
      <c r="V205" s="630"/>
      <c r="W205" s="630"/>
      <c r="X205" s="630"/>
      <c r="Y205" s="630"/>
      <c r="Z205" s="630"/>
      <c r="AA205" s="630"/>
      <c r="AB205" s="1">
        <f t="shared" si="124"/>
        <v>0</v>
      </c>
      <c r="AC205" s="357" t="e">
        <f t="shared" si="125"/>
        <v>#DIV/0!</v>
      </c>
      <c r="AD205" s="864"/>
      <c r="AE205" s="865"/>
      <c r="AF205" s="865"/>
      <c r="AG205" s="866"/>
      <c r="AH205" s="866"/>
      <c r="AI205" s="867"/>
    </row>
    <row r="206" spans="1:35" x14ac:dyDescent="0.25">
      <c r="A206" s="638"/>
      <c r="C206" s="630"/>
      <c r="D206" s="630"/>
      <c r="E206" s="630"/>
      <c r="F206" s="630"/>
      <c r="G206" s="264">
        <f t="shared" si="120"/>
        <v>0</v>
      </c>
      <c r="H206" s="442">
        <f t="shared" si="121"/>
        <v>0</v>
      </c>
      <c r="J206" s="630"/>
      <c r="K206" s="630"/>
      <c r="L206" s="630"/>
      <c r="M206" s="630"/>
      <c r="N206" s="1">
        <f>IF(C206&gt;0,((J206*Setup_and_Criteria!$F$13)+('M1_1-15th'!K206*Setup_and_Criteria!$F$14)+('M1_1-15th'!L206*Setup_and_Criteria!$F$15)+('M1_1-15th'!M206*Setup_and_Criteria!$F$16)+Setup_and_Criteria!$J$16),0)</f>
        <v>0</v>
      </c>
      <c r="O206" s="442">
        <f t="shared" si="126"/>
        <v>0</v>
      </c>
      <c r="P206" s="443">
        <f t="shared" si="122"/>
        <v>0</v>
      </c>
      <c r="Q206" s="357" t="e">
        <f t="shared" si="123"/>
        <v>#DIV/0!</v>
      </c>
      <c r="R206" s="630"/>
      <c r="S206" s="630"/>
      <c r="T206" s="630"/>
      <c r="U206" s="630"/>
      <c r="V206" s="630"/>
      <c r="W206" s="630"/>
      <c r="X206" s="630"/>
      <c r="Y206" s="630"/>
      <c r="Z206" s="630"/>
      <c r="AA206" s="630"/>
      <c r="AB206" s="1">
        <f t="shared" si="124"/>
        <v>0</v>
      </c>
      <c r="AC206" s="357" t="e">
        <f t="shared" si="125"/>
        <v>#DIV/0!</v>
      </c>
      <c r="AD206" s="864"/>
      <c r="AE206" s="865"/>
      <c r="AF206" s="865"/>
      <c r="AG206" s="866"/>
      <c r="AH206" s="866"/>
      <c r="AI206" s="867"/>
    </row>
    <row r="207" spans="1:35" x14ac:dyDescent="0.25">
      <c r="A207" s="638"/>
      <c r="C207" s="630"/>
      <c r="D207" s="630"/>
      <c r="E207" s="630"/>
      <c r="F207" s="630"/>
      <c r="G207" s="264">
        <f t="shared" si="120"/>
        <v>0</v>
      </c>
      <c r="H207" s="442">
        <f t="shared" si="121"/>
        <v>0</v>
      </c>
      <c r="J207" s="630"/>
      <c r="K207" s="630"/>
      <c r="L207" s="630"/>
      <c r="M207" s="630"/>
      <c r="N207" s="1">
        <f>IF(C207&gt;0,((J207*Setup_and_Criteria!$F$13)+('M1_1-15th'!K207*Setup_and_Criteria!$F$14)+('M1_1-15th'!L207*Setup_and_Criteria!$F$15)+('M1_1-15th'!M207*Setup_and_Criteria!$F$16)+Setup_and_Criteria!$J$16),0)</f>
        <v>0</v>
      </c>
      <c r="O207" s="442">
        <f t="shared" si="126"/>
        <v>0</v>
      </c>
      <c r="P207" s="443">
        <f t="shared" si="122"/>
        <v>0</v>
      </c>
      <c r="Q207" s="357" t="e">
        <f t="shared" si="123"/>
        <v>#DIV/0!</v>
      </c>
      <c r="R207" s="630"/>
      <c r="S207" s="630"/>
      <c r="T207" s="630"/>
      <c r="U207" s="630"/>
      <c r="V207" s="630"/>
      <c r="W207" s="630"/>
      <c r="X207" s="630"/>
      <c r="Y207" s="630"/>
      <c r="Z207" s="630"/>
      <c r="AA207" s="630"/>
      <c r="AB207" s="1">
        <f t="shared" si="124"/>
        <v>0</v>
      </c>
      <c r="AC207" s="357" t="e">
        <f t="shared" si="125"/>
        <v>#DIV/0!</v>
      </c>
      <c r="AD207" s="864"/>
      <c r="AE207" s="865"/>
      <c r="AF207" s="865"/>
      <c r="AG207" s="866"/>
      <c r="AH207" s="866"/>
      <c r="AI207" s="867"/>
    </row>
    <row r="208" spans="1:35" ht="15.75" thickBot="1" x14ac:dyDescent="0.3">
      <c r="A208" s="638"/>
      <c r="C208" s="370"/>
      <c r="D208" s="370"/>
      <c r="E208" s="630"/>
      <c r="F208" s="630"/>
      <c r="G208" s="264">
        <f t="shared" si="120"/>
        <v>0</v>
      </c>
      <c r="H208" s="442">
        <f t="shared" si="121"/>
        <v>0</v>
      </c>
      <c r="J208" s="371"/>
      <c r="K208" s="371"/>
      <c r="L208" s="371"/>
      <c r="M208" s="371"/>
      <c r="N208" s="358">
        <f>IF(C208&gt;0,((J208*Setup_and_Criteria!$F$13)+('M1_1-15th'!K208*Setup_and_Criteria!$F$14)+('M1_1-15th'!L208*Setup_and_Criteria!$F$15)+('M1_1-15th'!M208*Setup_and_Criteria!$F$16)+Setup_and_Criteria!$J$16),0)</f>
        <v>0</v>
      </c>
      <c r="O208" s="359">
        <f t="shared" si="126"/>
        <v>0</v>
      </c>
      <c r="P208" s="383">
        <f t="shared" si="122"/>
        <v>0</v>
      </c>
      <c r="Q208" s="360" t="e">
        <f t="shared" si="123"/>
        <v>#DIV/0!</v>
      </c>
      <c r="R208" s="511"/>
      <c r="S208" s="511"/>
      <c r="T208" s="511"/>
      <c r="U208" s="511"/>
      <c r="V208" s="511"/>
      <c r="W208" s="511"/>
      <c r="X208" s="511"/>
      <c r="Y208" s="511"/>
      <c r="Z208" s="511"/>
      <c r="AA208" s="511"/>
      <c r="AB208" s="358">
        <f t="shared" si="124"/>
        <v>0</v>
      </c>
      <c r="AC208" s="357" t="e">
        <f t="shared" si="125"/>
        <v>#DIV/0!</v>
      </c>
      <c r="AD208" s="864"/>
      <c r="AE208" s="865"/>
      <c r="AF208" s="865"/>
      <c r="AG208" s="866"/>
      <c r="AH208" s="866"/>
      <c r="AI208" s="867"/>
    </row>
    <row r="209" spans="1:35" ht="15.75" thickTop="1" x14ac:dyDescent="0.25">
      <c r="A209" s="58"/>
      <c r="H209" s="442">
        <f>SUM(H203:H208)</f>
        <v>0</v>
      </c>
      <c r="J209" s="1">
        <f>SUM(J203:J208)</f>
        <v>0</v>
      </c>
      <c r="K209" s="1">
        <f>SUM(K203:K208)</f>
        <v>0</v>
      </c>
      <c r="L209" s="1">
        <f>SUM(L203:L208)</f>
        <v>0</v>
      </c>
      <c r="M209" s="1">
        <f>SUM(M203:M208)</f>
        <v>0</v>
      </c>
      <c r="N209" s="1">
        <f>SUM(N203:N208)</f>
        <v>0</v>
      </c>
      <c r="O209" s="1">
        <f t="shared" si="126"/>
        <v>0</v>
      </c>
      <c r="P209" s="443">
        <f t="shared" si="122"/>
        <v>0</v>
      </c>
      <c r="Q209" s="357" t="e">
        <f t="shared" si="123"/>
        <v>#DIV/0!</v>
      </c>
      <c r="R209" s="1">
        <f t="shared" ref="R209:AA209" si="127">SUM(R203:R208)</f>
        <v>0</v>
      </c>
      <c r="S209" s="1">
        <f t="shared" si="127"/>
        <v>0</v>
      </c>
      <c r="T209" s="1">
        <f t="shared" si="127"/>
        <v>0</v>
      </c>
      <c r="U209" s="1">
        <f t="shared" si="127"/>
        <v>0</v>
      </c>
      <c r="V209" s="1">
        <f t="shared" si="127"/>
        <v>0</v>
      </c>
      <c r="W209" s="1">
        <f t="shared" si="127"/>
        <v>0</v>
      </c>
      <c r="X209" s="1">
        <f t="shared" si="127"/>
        <v>0</v>
      </c>
      <c r="Y209" s="1">
        <f t="shared" si="127"/>
        <v>0</v>
      </c>
      <c r="Z209" s="1">
        <f t="shared" si="127"/>
        <v>0</v>
      </c>
      <c r="AA209" s="1">
        <f t="shared" si="127"/>
        <v>0</v>
      </c>
      <c r="AB209" s="1">
        <f t="shared" si="124"/>
        <v>0</v>
      </c>
      <c r="AC209" s="357" t="e">
        <f t="shared" si="125"/>
        <v>#DIV/0!</v>
      </c>
      <c r="AD209" s="877"/>
      <c r="AE209" s="878"/>
      <c r="AF209" s="878"/>
      <c r="AG209" s="749"/>
      <c r="AH209" s="749"/>
      <c r="AI209" s="879"/>
    </row>
    <row r="210" spans="1:35" ht="21" x14ac:dyDescent="0.35">
      <c r="A210" s="58"/>
      <c r="H210" s="442"/>
      <c r="N210" s="888" t="s">
        <v>145</v>
      </c>
      <c r="O210" s="888"/>
      <c r="P210" s="888"/>
      <c r="Q210" s="888"/>
      <c r="R210" s="431" t="s">
        <v>146</v>
      </c>
      <c r="S210" s="431"/>
      <c r="T210" s="431"/>
      <c r="U210" s="431"/>
      <c r="V210" s="431"/>
      <c r="W210" s="431"/>
      <c r="X210" s="431"/>
      <c r="Y210" s="431"/>
      <c r="Z210" s="431"/>
      <c r="AA210" s="431"/>
      <c r="AB210" s="431"/>
      <c r="AC210" s="431"/>
      <c r="AD210" s="880" t="s">
        <v>132</v>
      </c>
      <c r="AE210" s="881"/>
      <c r="AF210" s="881"/>
      <c r="AG210" s="881"/>
      <c r="AH210" s="881"/>
      <c r="AI210" s="882"/>
    </row>
    <row r="211" spans="1:35" ht="30.75" customHeight="1" x14ac:dyDescent="0.35">
      <c r="A211" s="617" t="s">
        <v>147</v>
      </c>
      <c r="C211" s="885" t="s">
        <v>128</v>
      </c>
      <c r="D211" s="885"/>
      <c r="E211" s="885"/>
      <c r="F211" s="885"/>
      <c r="H211" s="442"/>
      <c r="J211" s="444"/>
      <c r="K211" s="445" t="s">
        <v>35</v>
      </c>
      <c r="L211" s="445" t="s">
        <v>148</v>
      </c>
      <c r="N211" s="446" t="s">
        <v>149</v>
      </c>
      <c r="O211" s="447" t="s">
        <v>150</v>
      </c>
      <c r="P211" s="447" t="s">
        <v>138</v>
      </c>
      <c r="Q211" s="447" t="s">
        <v>151</v>
      </c>
      <c r="R211" s="749" t="s">
        <v>152</v>
      </c>
      <c r="S211" s="749"/>
      <c r="T211" s="883" t="s">
        <v>153</v>
      </c>
      <c r="U211" s="883"/>
      <c r="W211" s="425" t="s">
        <v>154</v>
      </c>
      <c r="X211" s="425"/>
      <c r="Y211" s="425"/>
      <c r="Z211" s="425"/>
      <c r="AA211" s="425"/>
      <c r="AB211" s="425"/>
      <c r="AC211" s="425"/>
      <c r="AD211" s="868" t="s">
        <v>160</v>
      </c>
      <c r="AE211" s="869"/>
      <c r="AF211" s="869"/>
      <c r="AG211" s="869"/>
      <c r="AH211" s="869"/>
      <c r="AI211" s="870"/>
    </row>
    <row r="212" spans="1:35" ht="16.5" thickBot="1" x14ac:dyDescent="0.3">
      <c r="A212" s="639"/>
      <c r="B212" s="375"/>
      <c r="C212" s="372"/>
      <c r="D212" s="372"/>
      <c r="E212" s="372"/>
      <c r="F212" s="372"/>
      <c r="G212" s="366">
        <f>+(D212-C212)+(F212-E212)</f>
        <v>0</v>
      </c>
      <c r="H212" s="367">
        <f>+G212*1440</f>
        <v>0</v>
      </c>
      <c r="I212" s="859" t="s">
        <v>155</v>
      </c>
      <c r="J212" s="860"/>
      <c r="K212" s="373"/>
      <c r="L212" s="374"/>
      <c r="M212" s="423"/>
      <c r="N212" s="629">
        <f>+J209+L209+K209+K212+L212</f>
        <v>0</v>
      </c>
      <c r="O212" s="368">
        <f>+(Setup_and_Criteria!$K$31+(J209*Setup_and_Criteria!$F$20)+('M1_1-15th'!K209*Setup_and_Criteria!$F$21)+('M1_1-15th'!L209*Setup_and_Criteria!$F$20))+T212+(K212*Setup_and_Criteria!$F$21)+(Setup_and_Criteria!$F$22*'M1_1-15th'!L212)</f>
        <v>75</v>
      </c>
      <c r="P212" s="367">
        <f>+H212</f>
        <v>0</v>
      </c>
      <c r="Q212" s="367">
        <f>+O212-P212</f>
        <v>75</v>
      </c>
      <c r="R212" s="861" t="s">
        <v>252</v>
      </c>
      <c r="S212" s="861"/>
      <c r="T212" s="862"/>
      <c r="U212" s="863"/>
      <c r="V212" s="265" t="s">
        <v>156</v>
      </c>
      <c r="W212" s="854"/>
      <c r="X212" s="855"/>
      <c r="Y212" s="855"/>
      <c r="Z212" s="855"/>
      <c r="AA212" s="855"/>
      <c r="AB212" s="855"/>
      <c r="AC212" s="855"/>
      <c r="AD212" s="868"/>
      <c r="AE212" s="869"/>
      <c r="AF212" s="869"/>
      <c r="AG212" s="869"/>
      <c r="AH212" s="869"/>
      <c r="AI212" s="870"/>
    </row>
    <row r="213" spans="1:35" ht="15.75" thickBot="1" x14ac:dyDescent="0.3">
      <c r="A213" s="449" t="str">
        <f>+A200</f>
        <v>Password to enter data = "Enter Info"</v>
      </c>
      <c r="B213" s="450"/>
      <c r="C213" s="451"/>
      <c r="D213" s="451"/>
      <c r="E213" s="451"/>
      <c r="F213" s="451"/>
      <c r="G213" s="451"/>
      <c r="H213" s="451"/>
      <c r="I213" s="450"/>
      <c r="J213" s="451"/>
      <c r="K213" s="451"/>
      <c r="L213" s="451"/>
      <c r="M213" s="451"/>
      <c r="N213" s="451"/>
      <c r="O213" s="451"/>
      <c r="P213" s="451"/>
      <c r="Q213" s="450"/>
      <c r="R213" s="451"/>
      <c r="S213" s="451"/>
      <c r="T213" s="451"/>
      <c r="U213" s="451"/>
      <c r="V213" s="451"/>
      <c r="W213" s="451"/>
      <c r="X213" s="451"/>
      <c r="Y213" s="451"/>
      <c r="Z213" s="451"/>
      <c r="AA213" s="451"/>
      <c r="AB213" s="450"/>
      <c r="AC213" s="450"/>
      <c r="AD213" s="871"/>
      <c r="AE213" s="872"/>
      <c r="AF213" s="872"/>
      <c r="AG213" s="872"/>
      <c r="AH213" s="872"/>
      <c r="AI213" s="873"/>
    </row>
  </sheetData>
  <protectedRanges>
    <protectedRange algorithmName="SHA-512" hashValue="9o5rmy+N3oLZkzVQ5nTS9aoa4tFWlXOirkshpCJSkqqBB2SCaDWSlY6k7YumLGAjuktGKWGtGOAoCXARLdbeUA==" saltValue="e7vCUb3fFCUrMQqNUPCqDQ==" spinCount="100000" sqref="AD6:AI213" name="Daily Notes_1"/>
    <protectedRange algorithmName="SHA-512" hashValue="HtLnHPcTxLat91gpx1RElzjAjyD8EelDKfcdJIzPzixUDC1bPqmHjcxA+Jf6905m/Q9mMHh30+0wh5BstdaTSg==" saltValue="TXG3+wylnBVSaSzjn+S+ow==" spinCount="100000" sqref="C8:F199 C201:F212" name="TimeClock_1"/>
    <protectedRange algorithmName="SHA-512" hashValue="YWBRJAZI5q2Xrq+KyT3zVr15OX7uuRhfqBuj3B4Ey25Nx6lDVXf1yN1vQRpqL2Zb4U+ikOAI3N1kgYfpP/ETew==" saltValue="L+uE65ZdTMv6z8KX8mra4g==" spinCount="100000" sqref="I7:M199 I201:M212" name="Rooms Cleaned and Inspected_1"/>
    <protectedRange algorithmName="SHA-512" hashValue="oRYh3bqazZl0ifIbEGeusFeaJ1jVvzub5wbEXUX8n7JGjjGyPR7sQAIVip279H9FGLsm5+EqC58eWrgzwkrBMA==" saltValue="BURQC5XW9ayCKHbGGG5JAw==" spinCount="100000" sqref="R8:AA16 R201:AA211 R18:AA29 T17:AA17 R31:AA42 T30:AA30 R44:AA55 T43:AA43 R57:AA68 T56:AA56 R70:AA81 T69:AA69 R83:AA94 T82:AA82 R96:AA107 T95:AA95 R109:AA120 T108:AA108 R122:AA133 T121:AA121 R135:AA146 T134:AA134 R148:AA159 T147:AA147 R161:AA172 T160:AA160 R174:AA185 T173:AA173 R187:AA198 T186:AA186 T199:AA199 T212:AA212" name="Corrections Tracking_1"/>
    <protectedRange algorithmName="SHA-512" hashValue="oRYh3bqazZl0ifIbEGeusFeaJ1jVvzub5wbEXUX8n7JGjjGyPR7sQAIVip279H9FGLsm5+EqC58eWrgzwkrBMA==" saltValue="BURQC5XW9ayCKHbGGG5JAw==" spinCount="100000" sqref="R17:S17" name="Corrections Tracking_6"/>
    <protectedRange algorithmName="SHA-512" hashValue="oRYh3bqazZl0ifIbEGeusFeaJ1jVvzub5wbEXUX8n7JGjjGyPR7sQAIVip279H9FGLsm5+EqC58eWrgzwkrBMA==" saltValue="BURQC5XW9ayCKHbGGG5JAw==" spinCount="100000" sqref="R30:S30" name="Corrections Tracking_6_1"/>
    <protectedRange algorithmName="SHA-512" hashValue="oRYh3bqazZl0ifIbEGeusFeaJ1jVvzub5wbEXUX8n7JGjjGyPR7sQAIVip279H9FGLsm5+EqC58eWrgzwkrBMA==" saltValue="BURQC5XW9ayCKHbGGG5JAw==" spinCount="100000" sqref="R43:S43" name="Corrections Tracking_6_2"/>
    <protectedRange algorithmName="SHA-512" hashValue="oRYh3bqazZl0ifIbEGeusFeaJ1jVvzub5wbEXUX8n7JGjjGyPR7sQAIVip279H9FGLsm5+EqC58eWrgzwkrBMA==" saltValue="BURQC5XW9ayCKHbGGG5JAw==" spinCount="100000" sqref="R56:S56" name="Corrections Tracking_6_3"/>
    <protectedRange algorithmName="SHA-512" hashValue="oRYh3bqazZl0ifIbEGeusFeaJ1jVvzub5wbEXUX8n7JGjjGyPR7sQAIVip279H9FGLsm5+EqC58eWrgzwkrBMA==" saltValue="BURQC5XW9ayCKHbGGG5JAw==" spinCount="100000" sqref="R69:S69" name="Corrections Tracking_6_4"/>
    <protectedRange algorithmName="SHA-512" hashValue="oRYh3bqazZl0ifIbEGeusFeaJ1jVvzub5wbEXUX8n7JGjjGyPR7sQAIVip279H9FGLsm5+EqC58eWrgzwkrBMA==" saltValue="BURQC5XW9ayCKHbGGG5JAw==" spinCount="100000" sqref="R82:S82" name="Corrections Tracking_6_5"/>
    <protectedRange algorithmName="SHA-512" hashValue="oRYh3bqazZl0ifIbEGeusFeaJ1jVvzub5wbEXUX8n7JGjjGyPR7sQAIVip279H9FGLsm5+EqC58eWrgzwkrBMA==" saltValue="BURQC5XW9ayCKHbGGG5JAw==" spinCount="100000" sqref="R95:S95" name="Corrections Tracking_6_6"/>
    <protectedRange algorithmName="SHA-512" hashValue="oRYh3bqazZl0ifIbEGeusFeaJ1jVvzub5wbEXUX8n7JGjjGyPR7sQAIVip279H9FGLsm5+EqC58eWrgzwkrBMA==" saltValue="BURQC5XW9ayCKHbGGG5JAw==" spinCount="100000" sqref="R108:S108" name="Corrections Tracking_6_7"/>
    <protectedRange algorithmName="SHA-512" hashValue="oRYh3bqazZl0ifIbEGeusFeaJ1jVvzub5wbEXUX8n7JGjjGyPR7sQAIVip279H9FGLsm5+EqC58eWrgzwkrBMA==" saltValue="BURQC5XW9ayCKHbGGG5JAw==" spinCount="100000" sqref="R121:S121" name="Corrections Tracking_6_8"/>
    <protectedRange algorithmName="SHA-512" hashValue="oRYh3bqazZl0ifIbEGeusFeaJ1jVvzub5wbEXUX8n7JGjjGyPR7sQAIVip279H9FGLsm5+EqC58eWrgzwkrBMA==" saltValue="BURQC5XW9ayCKHbGGG5JAw==" spinCount="100000" sqref="R134:S134" name="Corrections Tracking_6_9"/>
    <protectedRange algorithmName="SHA-512" hashValue="oRYh3bqazZl0ifIbEGeusFeaJ1jVvzub5wbEXUX8n7JGjjGyPR7sQAIVip279H9FGLsm5+EqC58eWrgzwkrBMA==" saltValue="BURQC5XW9ayCKHbGGG5JAw==" spinCount="100000" sqref="R147:S147" name="Corrections Tracking_6_10"/>
    <protectedRange algorithmName="SHA-512" hashValue="oRYh3bqazZl0ifIbEGeusFeaJ1jVvzub5wbEXUX8n7JGjjGyPR7sQAIVip279H9FGLsm5+EqC58eWrgzwkrBMA==" saltValue="BURQC5XW9ayCKHbGGG5JAw==" spinCount="100000" sqref="R160:S160" name="Corrections Tracking_6_11"/>
    <protectedRange algorithmName="SHA-512" hashValue="oRYh3bqazZl0ifIbEGeusFeaJ1jVvzub5wbEXUX8n7JGjjGyPR7sQAIVip279H9FGLsm5+EqC58eWrgzwkrBMA==" saltValue="BURQC5XW9ayCKHbGGG5JAw==" spinCount="100000" sqref="R173:S173" name="Corrections Tracking_6_12"/>
    <protectedRange algorithmName="SHA-512" hashValue="oRYh3bqazZl0ifIbEGeusFeaJ1jVvzub5wbEXUX8n7JGjjGyPR7sQAIVip279H9FGLsm5+EqC58eWrgzwkrBMA==" saltValue="BURQC5XW9ayCKHbGGG5JAw==" spinCount="100000" sqref="R186:S186" name="Corrections Tracking_6_13"/>
    <protectedRange algorithmName="SHA-512" hashValue="oRYh3bqazZl0ifIbEGeusFeaJ1jVvzub5wbEXUX8n7JGjjGyPR7sQAIVip279H9FGLsm5+EqC58eWrgzwkrBMA==" saltValue="BURQC5XW9ayCKHbGGG5JAw==" spinCount="100000" sqref="R199:S199" name="Corrections Tracking_6_14"/>
    <protectedRange algorithmName="SHA-512" hashValue="oRYh3bqazZl0ifIbEGeusFeaJ1jVvzub5wbEXUX8n7JGjjGyPR7sQAIVip279H9FGLsm5+EqC58eWrgzwkrBMA==" saltValue="BURQC5XW9ayCKHbGGG5JAw==" spinCount="100000" sqref="R212:S212" name="Corrections Tracking_6_15"/>
  </protectedRanges>
  <mergeCells count="339">
    <mergeCell ref="AD207:AI207"/>
    <mergeCell ref="AD208:AI208"/>
    <mergeCell ref="AD209:AI209"/>
    <mergeCell ref="N210:Q210"/>
    <mergeCell ref="AD210:AI210"/>
    <mergeCell ref="C211:F211"/>
    <mergeCell ref="R211:S211"/>
    <mergeCell ref="T211:U211"/>
    <mergeCell ref="AD211:AI213"/>
    <mergeCell ref="I212:J212"/>
    <mergeCell ref="R212:S212"/>
    <mergeCell ref="T212:U212"/>
    <mergeCell ref="W212:AC212"/>
    <mergeCell ref="T198:U198"/>
    <mergeCell ref="AD198:AI200"/>
    <mergeCell ref="I199:J199"/>
    <mergeCell ref="R199:S199"/>
    <mergeCell ref="T199:U199"/>
    <mergeCell ref="W199:AC199"/>
    <mergeCell ref="C198:F198"/>
    <mergeCell ref="R198:S198"/>
    <mergeCell ref="AD202:AI202"/>
    <mergeCell ref="C201:F201"/>
    <mergeCell ref="J201:M201"/>
    <mergeCell ref="N201:Q201"/>
    <mergeCell ref="AD203:AI203"/>
    <mergeCell ref="AD204:AI204"/>
    <mergeCell ref="AD205:AI205"/>
    <mergeCell ref="AD206:AI206"/>
    <mergeCell ref="AD192:AI192"/>
    <mergeCell ref="AD193:AI193"/>
    <mergeCell ref="AD194:AI194"/>
    <mergeCell ref="AD195:AI195"/>
    <mergeCell ref="AD196:AI196"/>
    <mergeCell ref="N197:Q197"/>
    <mergeCell ref="AD197:AI197"/>
    <mergeCell ref="C188:F188"/>
    <mergeCell ref="J188:M188"/>
    <mergeCell ref="N188:Q188"/>
    <mergeCell ref="AD189:AI189"/>
    <mergeCell ref="AD190:AI190"/>
    <mergeCell ref="AD191:AI191"/>
    <mergeCell ref="C185:F185"/>
    <mergeCell ref="R185:S185"/>
    <mergeCell ref="T185:U185"/>
    <mergeCell ref="AD185:AI187"/>
    <mergeCell ref="I186:J186"/>
    <mergeCell ref="R186:S186"/>
    <mergeCell ref="T186:U186"/>
    <mergeCell ref="W186:AC186"/>
    <mergeCell ref="AD179:AI179"/>
    <mergeCell ref="AD180:AI180"/>
    <mergeCell ref="AD181:AI181"/>
    <mergeCell ref="AD182:AI182"/>
    <mergeCell ref="AD183:AI183"/>
    <mergeCell ref="N184:Q184"/>
    <mergeCell ref="AD184:AI184"/>
    <mergeCell ref="C175:F175"/>
    <mergeCell ref="J175:M175"/>
    <mergeCell ref="N175:Q175"/>
    <mergeCell ref="AD176:AI176"/>
    <mergeCell ref="AD177:AI177"/>
    <mergeCell ref="AD178:AI178"/>
    <mergeCell ref="C172:F172"/>
    <mergeCell ref="R172:S172"/>
    <mergeCell ref="T172:U172"/>
    <mergeCell ref="AD172:AI174"/>
    <mergeCell ref="I173:J173"/>
    <mergeCell ref="R173:S173"/>
    <mergeCell ref="T173:U173"/>
    <mergeCell ref="W173:AC173"/>
    <mergeCell ref="AD166:AI166"/>
    <mergeCell ref="AD167:AI167"/>
    <mergeCell ref="AD168:AI168"/>
    <mergeCell ref="AD169:AI169"/>
    <mergeCell ref="AD170:AI170"/>
    <mergeCell ref="N171:Q171"/>
    <mergeCell ref="AD171:AI171"/>
    <mergeCell ref="C162:F162"/>
    <mergeCell ref="J162:M162"/>
    <mergeCell ref="N162:Q162"/>
    <mergeCell ref="AD163:AI163"/>
    <mergeCell ref="AD164:AI164"/>
    <mergeCell ref="AD165:AI165"/>
    <mergeCell ref="C159:F159"/>
    <mergeCell ref="R159:S159"/>
    <mergeCell ref="T159:U159"/>
    <mergeCell ref="AD159:AI161"/>
    <mergeCell ref="I160:J160"/>
    <mergeCell ref="R160:S160"/>
    <mergeCell ref="T160:U160"/>
    <mergeCell ref="W160:AC160"/>
    <mergeCell ref="AD153:AI153"/>
    <mergeCell ref="AD154:AI154"/>
    <mergeCell ref="AD155:AI155"/>
    <mergeCell ref="AD156:AI156"/>
    <mergeCell ref="AD157:AI157"/>
    <mergeCell ref="N158:Q158"/>
    <mergeCell ref="AD158:AI158"/>
    <mergeCell ref="C149:F149"/>
    <mergeCell ref="J149:M149"/>
    <mergeCell ref="N149:Q149"/>
    <mergeCell ref="AD150:AI150"/>
    <mergeCell ref="AD151:AI151"/>
    <mergeCell ref="AD152:AI152"/>
    <mergeCell ref="C146:F146"/>
    <mergeCell ref="R146:S146"/>
    <mergeCell ref="T146:U146"/>
    <mergeCell ref="AD146:AI148"/>
    <mergeCell ref="I147:J147"/>
    <mergeCell ref="R147:S147"/>
    <mergeCell ref="T147:U147"/>
    <mergeCell ref="W147:AC147"/>
    <mergeCell ref="AD140:AI140"/>
    <mergeCell ref="AD141:AI141"/>
    <mergeCell ref="AD142:AI142"/>
    <mergeCell ref="AD143:AI143"/>
    <mergeCell ref="AD144:AI144"/>
    <mergeCell ref="N145:Q145"/>
    <mergeCell ref="AD145:AI145"/>
    <mergeCell ref="C136:F136"/>
    <mergeCell ref="J136:M136"/>
    <mergeCell ref="N136:Q136"/>
    <mergeCell ref="AD137:AI137"/>
    <mergeCell ref="AD138:AI138"/>
    <mergeCell ref="AD139:AI139"/>
    <mergeCell ref="C133:F133"/>
    <mergeCell ref="R133:S133"/>
    <mergeCell ref="T133:U133"/>
    <mergeCell ref="AD133:AI135"/>
    <mergeCell ref="I134:J134"/>
    <mergeCell ref="R134:S134"/>
    <mergeCell ref="T134:U134"/>
    <mergeCell ref="W134:AC134"/>
    <mergeCell ref="AD127:AI127"/>
    <mergeCell ref="AD128:AI128"/>
    <mergeCell ref="AD129:AI129"/>
    <mergeCell ref="AD130:AI130"/>
    <mergeCell ref="AD131:AI131"/>
    <mergeCell ref="N132:Q132"/>
    <mergeCell ref="AD132:AI132"/>
    <mergeCell ref="C123:F123"/>
    <mergeCell ref="J123:M123"/>
    <mergeCell ref="N123:Q123"/>
    <mergeCell ref="AD124:AI124"/>
    <mergeCell ref="AD125:AI125"/>
    <mergeCell ref="AD126:AI126"/>
    <mergeCell ref="C120:F120"/>
    <mergeCell ref="R120:S120"/>
    <mergeCell ref="T120:U120"/>
    <mergeCell ref="AD120:AI122"/>
    <mergeCell ref="I121:J121"/>
    <mergeCell ref="R121:S121"/>
    <mergeCell ref="T121:U121"/>
    <mergeCell ref="W121:AC121"/>
    <mergeCell ref="AD114:AI114"/>
    <mergeCell ref="AD115:AI115"/>
    <mergeCell ref="AD116:AI116"/>
    <mergeCell ref="AD117:AI117"/>
    <mergeCell ref="AD118:AI118"/>
    <mergeCell ref="N119:Q119"/>
    <mergeCell ref="AD119:AI119"/>
    <mergeCell ref="C110:F110"/>
    <mergeCell ref="J110:M110"/>
    <mergeCell ref="N110:Q110"/>
    <mergeCell ref="AD111:AI111"/>
    <mergeCell ref="AD112:AI112"/>
    <mergeCell ref="AD113:AI113"/>
    <mergeCell ref="C107:F107"/>
    <mergeCell ref="R107:S107"/>
    <mergeCell ref="T107:U107"/>
    <mergeCell ref="AD107:AI109"/>
    <mergeCell ref="I108:J108"/>
    <mergeCell ref="R108:S108"/>
    <mergeCell ref="T108:U108"/>
    <mergeCell ref="W108:AC108"/>
    <mergeCell ref="AD101:AI101"/>
    <mergeCell ref="AD102:AI102"/>
    <mergeCell ref="AD103:AI103"/>
    <mergeCell ref="AD104:AI104"/>
    <mergeCell ref="AD105:AI105"/>
    <mergeCell ref="N106:Q106"/>
    <mergeCell ref="AD106:AI106"/>
    <mergeCell ref="C97:F97"/>
    <mergeCell ref="J97:M97"/>
    <mergeCell ref="N97:Q97"/>
    <mergeCell ref="AD98:AI98"/>
    <mergeCell ref="AD99:AI99"/>
    <mergeCell ref="AD100:AI100"/>
    <mergeCell ref="C94:F94"/>
    <mergeCell ref="R94:S94"/>
    <mergeCell ref="T94:U94"/>
    <mergeCell ref="AD94:AI96"/>
    <mergeCell ref="I95:J95"/>
    <mergeCell ref="R95:S95"/>
    <mergeCell ref="T95:U95"/>
    <mergeCell ref="W95:AC95"/>
    <mergeCell ref="AD88:AI88"/>
    <mergeCell ref="AD89:AI89"/>
    <mergeCell ref="AD90:AI90"/>
    <mergeCell ref="AD91:AI91"/>
    <mergeCell ref="AD92:AI92"/>
    <mergeCell ref="N93:Q93"/>
    <mergeCell ref="AD93:AI93"/>
    <mergeCell ref="C84:F84"/>
    <mergeCell ref="J84:M84"/>
    <mergeCell ref="N84:Q84"/>
    <mergeCell ref="AD85:AI85"/>
    <mergeCell ref="AD86:AI86"/>
    <mergeCell ref="AD87:AI87"/>
    <mergeCell ref="C81:F81"/>
    <mergeCell ref="R81:S81"/>
    <mergeCell ref="T81:U81"/>
    <mergeCell ref="AD81:AI83"/>
    <mergeCell ref="I82:J82"/>
    <mergeCell ref="R82:S82"/>
    <mergeCell ref="T82:U82"/>
    <mergeCell ref="W82:AC82"/>
    <mergeCell ref="AD75:AI75"/>
    <mergeCell ref="AD76:AI76"/>
    <mergeCell ref="AD77:AI77"/>
    <mergeCell ref="AD78:AI78"/>
    <mergeCell ref="AD79:AI79"/>
    <mergeCell ref="N80:Q80"/>
    <mergeCell ref="AD80:AI80"/>
    <mergeCell ref="C71:F71"/>
    <mergeCell ref="J71:M71"/>
    <mergeCell ref="N71:Q71"/>
    <mergeCell ref="AD72:AI72"/>
    <mergeCell ref="AD73:AI73"/>
    <mergeCell ref="AD74:AI74"/>
    <mergeCell ref="C68:F68"/>
    <mergeCell ref="R68:S68"/>
    <mergeCell ref="T68:U68"/>
    <mergeCell ref="AD68:AI70"/>
    <mergeCell ref="I69:J69"/>
    <mergeCell ref="R69:S69"/>
    <mergeCell ref="T69:U69"/>
    <mergeCell ref="W69:AC69"/>
    <mergeCell ref="AD62:AI62"/>
    <mergeCell ref="AD63:AI63"/>
    <mergeCell ref="AD64:AI64"/>
    <mergeCell ref="AD65:AI65"/>
    <mergeCell ref="AD66:AI66"/>
    <mergeCell ref="N67:Q67"/>
    <mergeCell ref="AD67:AI67"/>
    <mergeCell ref="C58:F58"/>
    <mergeCell ref="J58:M58"/>
    <mergeCell ref="N58:Q58"/>
    <mergeCell ref="AD59:AI59"/>
    <mergeCell ref="AD60:AI60"/>
    <mergeCell ref="AD61:AI61"/>
    <mergeCell ref="C55:F55"/>
    <mergeCell ref="R55:S55"/>
    <mergeCell ref="T55:U55"/>
    <mergeCell ref="AD55:AI57"/>
    <mergeCell ref="I56:J56"/>
    <mergeCell ref="R56:S56"/>
    <mergeCell ref="T56:U56"/>
    <mergeCell ref="W56:AC56"/>
    <mergeCell ref="AD49:AI49"/>
    <mergeCell ref="AD50:AI50"/>
    <mergeCell ref="AD51:AI51"/>
    <mergeCell ref="AD52:AI52"/>
    <mergeCell ref="AD53:AI53"/>
    <mergeCell ref="N54:Q54"/>
    <mergeCell ref="AD54:AI54"/>
    <mergeCell ref="C45:F45"/>
    <mergeCell ref="J45:M45"/>
    <mergeCell ref="N45:Q45"/>
    <mergeCell ref="AD46:AI46"/>
    <mergeCell ref="AD47:AI47"/>
    <mergeCell ref="AD48:AI48"/>
    <mergeCell ref="N41:Q41"/>
    <mergeCell ref="AD41:AI41"/>
    <mergeCell ref="C42:F42"/>
    <mergeCell ref="R42:S42"/>
    <mergeCell ref="T42:U42"/>
    <mergeCell ref="AD42:AI44"/>
    <mergeCell ref="I43:J43"/>
    <mergeCell ref="R43:S43"/>
    <mergeCell ref="T43:U43"/>
    <mergeCell ref="W43:AC43"/>
    <mergeCell ref="AD35:AI35"/>
    <mergeCell ref="AD36:AI36"/>
    <mergeCell ref="AD37:AI37"/>
    <mergeCell ref="AD38:AI38"/>
    <mergeCell ref="AD39:AI39"/>
    <mergeCell ref="AD40:AI40"/>
    <mergeCell ref="W30:AC30"/>
    <mergeCell ref="C32:F32"/>
    <mergeCell ref="J32:M32"/>
    <mergeCell ref="N32:Q32"/>
    <mergeCell ref="AD33:AI33"/>
    <mergeCell ref="AD34:AI34"/>
    <mergeCell ref="AD27:AI27"/>
    <mergeCell ref="N28:Q28"/>
    <mergeCell ref="AD28:AI28"/>
    <mergeCell ref="C29:F29"/>
    <mergeCell ref="R29:S29"/>
    <mergeCell ref="T29:U29"/>
    <mergeCell ref="AD29:AI31"/>
    <mergeCell ref="I30:J30"/>
    <mergeCell ref="R30:S30"/>
    <mergeCell ref="T30:U30"/>
    <mergeCell ref="AD21:AI21"/>
    <mergeCell ref="AD22:AI22"/>
    <mergeCell ref="AD23:AI23"/>
    <mergeCell ref="AD24:AI24"/>
    <mergeCell ref="AD25:AI25"/>
    <mergeCell ref="AD26:AI26"/>
    <mergeCell ref="T17:U17"/>
    <mergeCell ref="W17:AC17"/>
    <mergeCell ref="C19:F19"/>
    <mergeCell ref="J19:M19"/>
    <mergeCell ref="N19:Q19"/>
    <mergeCell ref="AD20:AI20"/>
    <mergeCell ref="AD13:AI13"/>
    <mergeCell ref="AD14:AI14"/>
    <mergeCell ref="N15:Q15"/>
    <mergeCell ref="AD15:AI15"/>
    <mergeCell ref="C16:F16"/>
    <mergeCell ref="R16:S16"/>
    <mergeCell ref="T16:U16"/>
    <mergeCell ref="AD16:AI18"/>
    <mergeCell ref="I17:J17"/>
    <mergeCell ref="R17:S17"/>
    <mergeCell ref="AD7:AI7"/>
    <mergeCell ref="AD8:AI8"/>
    <mergeCell ref="AD9:AI9"/>
    <mergeCell ref="AD10:AI10"/>
    <mergeCell ref="AD11:AI11"/>
    <mergeCell ref="AD12:AI12"/>
    <mergeCell ref="E2:H3"/>
    <mergeCell ref="I2:J3"/>
    <mergeCell ref="M2:W4"/>
    <mergeCell ref="C6:F6"/>
    <mergeCell ref="J6:M6"/>
    <mergeCell ref="N6:Q6"/>
  </mergeCells>
  <conditionalFormatting sqref="A175:AI176 A177:M182 O177:AI182 A183:AI185 A186:M186 P186:Q186 A187:AI187 T186:AI186">
    <cfRule type="expression" dxfId="109" priority="1">
      <formula>$A$175="February"</formula>
    </cfRule>
  </conditionalFormatting>
  <conditionalFormatting sqref="A188:AI189 A190:M195 O190:AI195 A196:AI198 A199:M199 P199:Q199 A200:AI200 T199:AI199">
    <cfRule type="expression" dxfId="108" priority="2">
      <formula>$A$188="February"</formula>
    </cfRule>
  </conditionalFormatting>
  <conditionalFormatting sqref="A201:AI202 A203:M208 O203:AI208 A209:AI211 A212:M212 P212:Q212 A213:AI213 T212:AI212">
    <cfRule type="expression" dxfId="107" priority="3">
      <formula>$A$201="November"</formula>
    </cfRule>
    <cfRule type="expression" dxfId="106" priority="4">
      <formula>$A$201="September"</formula>
    </cfRule>
    <cfRule type="expression" dxfId="105" priority="5">
      <formula>$A$201="June"</formula>
    </cfRule>
    <cfRule type="expression" dxfId="104" priority="6">
      <formula>$A$201="February"</formula>
    </cfRule>
    <cfRule type="expression" dxfId="103" priority="7">
      <formula>$A$201="April"</formula>
    </cfRule>
    <cfRule type="containsText" dxfId="102" priority="8" operator="containsText" text="April, February, June, September, November">
      <formula>NOT(ISERROR(SEARCH("April, February, June, September, November",A201)))</formula>
    </cfRule>
  </conditionalFormatting>
  <dataValidations count="1">
    <dataValidation allowBlank="1" showInputMessage="1" showErrorMessage="1" sqref="A16 A29 A42 A55 A68 A81 A94 A107 A120 A133 A146 A159 A172 A185 A198 A211" xr:uid="{31BBC9E0-86A7-4664-A6DA-F03B2B6A8609}"/>
  </dataValidations>
  <pageMargins left="0.7" right="0.7" top="0.75" bottom="0.75" header="0.3" footer="0.3"/>
  <pageSetup orientation="portrait" r:id="rId1"/>
  <drawing r:id="rId2"/>
  <legacyDrawing r:id="rId3"/>
  <extLst>
    <ext xmlns:x14="http://schemas.microsoft.com/office/spreadsheetml/2009/9/main" uri="{CCE6A557-97BC-4b89-ADB6-D9C93CAAB3DF}">
      <x14:dataValidations xmlns:xm="http://schemas.microsoft.com/office/excel/2006/main" count="4">
        <x14:dataValidation type="list" allowBlank="1" showInputMessage="1" showErrorMessage="1" xr:uid="{13714A5F-6EBA-4853-BB17-3500B8196CC3}">
          <x14:formula1>
            <xm:f>Setup_and_Criteria!$N$27:$N$31</xm:f>
          </x14:formula1>
          <xm:sqref>B199 B108 B173 B160 B147 B134 B17 B186 B95 B82 B69 B56 B43 B30 B212</xm:sqref>
        </x14:dataValidation>
        <x14:dataValidation type="list" allowBlank="1" showInputMessage="1" showErrorMessage="1" xr:uid="{63CC67E0-7E5E-41E2-B014-F3FCAE7E943A}">
          <x14:formula1>
            <xm:f>Setup_and_Criteria!$P$12:$P$23</xm:f>
          </x14:formula1>
          <xm:sqref>A203:A208 A8:A13 A21:A26 A47:A52 A34:A39 A60:A65 A73:A78 A86:A91 A99:A104 A112:A117 A125:A130 A138:A143 A151:A156 A164:A169 A177:A182 A190:A195</xm:sqref>
        </x14:dataValidation>
        <x14:dataValidation type="list" allowBlank="1" showInputMessage="1" showErrorMessage="1" xr:uid="{4B9C93C2-E4A5-477D-B321-BA47A9846CC7}">
          <x14:formula1>
            <xm:f>Setup_and_Criteria!$P$27:$P$31</xm:f>
          </x14:formula1>
          <xm:sqref>A17 A30 A43 A56 A69 A82 A95 A108 A121 A134 A147 A160 A173 A186 A199 A212</xm:sqref>
        </x14:dataValidation>
        <x14:dataValidation type="list" allowBlank="1" showInputMessage="1" showErrorMessage="1" xr:uid="{04588EFE-09C1-4FE7-99EB-F859EDF8848D}">
          <x14:formula1>
            <xm:f>Setup_and_Criteria!$BF$5:$BF$12</xm:f>
          </x14:formula1>
          <xm:sqref>R17:S17 R30:S30 R43:S43 R56:S56 R69:S69 R82:S82 R95:S95 R108:S108 R121:S121 R134:S134 R147:S147 R160:S160 R173:S173 R186:S186 R199:S199 R212:S212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BEE698-1486-4B68-B9E5-1C8D0B0D4E92}">
  <sheetPr codeName="Sheet6"/>
  <dimension ref="A1:AD60"/>
  <sheetViews>
    <sheetView topLeftCell="A11" workbookViewId="0">
      <selection activeCell="W24" sqref="W24"/>
    </sheetView>
  </sheetViews>
  <sheetFormatPr defaultRowHeight="15" x14ac:dyDescent="0.25"/>
  <cols>
    <col min="1" max="1" width="16" customWidth="1"/>
    <col min="2" max="2" width="4.85546875" customWidth="1"/>
    <col min="3" max="3" width="10.7109375" customWidth="1"/>
    <col min="4" max="4" width="1.7109375" customWidth="1"/>
    <col min="5" max="5" width="10.7109375" customWidth="1"/>
    <col min="6" max="6" width="1.7109375" customWidth="1"/>
    <col min="7" max="7" width="8.7109375" style="1" customWidth="1"/>
    <col min="8" max="8" width="3.42578125" customWidth="1"/>
    <col min="9" max="9" width="10.7109375" customWidth="1"/>
    <col min="10" max="10" width="1.7109375" customWidth="1"/>
    <col min="11" max="11" width="10.7109375" customWidth="1"/>
    <col min="12" max="12" width="1.7109375" customWidth="1"/>
    <col min="13" max="13" width="8.7109375" customWidth="1"/>
    <col min="14" max="14" width="3.7109375" customWidth="1"/>
    <col min="15" max="15" width="10.7109375" customWidth="1"/>
    <col min="16" max="16" width="1.7109375" customWidth="1"/>
    <col min="17" max="17" width="10.7109375" customWidth="1"/>
    <col min="18" max="18" width="1.7109375" customWidth="1"/>
    <col min="19" max="19" width="9.7109375" customWidth="1"/>
    <col min="20" max="20" width="2" customWidth="1"/>
    <col min="21" max="21" width="10.28515625" customWidth="1"/>
    <col min="22" max="22" width="1.7109375" customWidth="1"/>
  </cols>
  <sheetData>
    <row r="1" spans="1:30" ht="15" customHeight="1" x14ac:dyDescent="0.25">
      <c r="F1" s="848" t="s">
        <v>112</v>
      </c>
      <c r="G1" s="848"/>
      <c r="H1" s="848"/>
      <c r="I1" s="848"/>
      <c r="J1" s="848"/>
      <c r="K1" s="848"/>
      <c r="L1" s="848"/>
      <c r="M1" s="848"/>
      <c r="N1" s="848"/>
      <c r="O1" s="848"/>
      <c r="P1" s="848"/>
      <c r="Q1" s="848"/>
      <c r="R1" s="848"/>
      <c r="S1" s="848"/>
    </row>
    <row r="2" spans="1:30" ht="15" customHeight="1" x14ac:dyDescent="0.25">
      <c r="F2" s="848"/>
      <c r="G2" s="848"/>
      <c r="H2" s="848"/>
      <c r="I2" s="848"/>
      <c r="J2" s="848"/>
      <c r="K2" s="848"/>
      <c r="L2" s="848"/>
      <c r="M2" s="848"/>
      <c r="N2" s="848"/>
      <c r="O2" s="848"/>
      <c r="P2" s="848"/>
      <c r="Q2" s="848"/>
      <c r="R2" s="848"/>
      <c r="S2" s="848"/>
    </row>
    <row r="3" spans="1:30" ht="15" customHeight="1" x14ac:dyDescent="0.25">
      <c r="F3" s="848"/>
      <c r="G3" s="848"/>
      <c r="H3" s="848"/>
      <c r="I3" s="848"/>
      <c r="J3" s="848"/>
      <c r="K3" s="848"/>
      <c r="L3" s="848"/>
      <c r="M3" s="848"/>
      <c r="N3" s="848"/>
      <c r="O3" s="848"/>
      <c r="P3" s="848"/>
      <c r="Q3" s="848"/>
      <c r="R3" s="848"/>
      <c r="S3" s="848"/>
    </row>
    <row r="4" spans="1:30" ht="29.25" thickBot="1" x14ac:dyDescent="0.3">
      <c r="F4" s="618"/>
      <c r="G4" s="764" t="str">
        <f>+Setup_and_Criteria!H5</f>
        <v>Quality Inn</v>
      </c>
      <c r="H4" s="764"/>
      <c r="I4" s="764"/>
      <c r="J4" s="764"/>
      <c r="K4" s="764"/>
      <c r="L4" s="764"/>
      <c r="M4" s="764"/>
      <c r="N4" s="764"/>
      <c r="O4" s="764"/>
      <c r="P4" s="764"/>
      <c r="Q4" s="764"/>
      <c r="R4" s="764"/>
      <c r="S4" s="764"/>
    </row>
    <row r="5" spans="1:30" ht="11.25" customHeight="1" x14ac:dyDescent="0.25">
      <c r="G5" s="769" t="s">
        <v>2</v>
      </c>
      <c r="H5" s="769"/>
      <c r="I5" s="769"/>
      <c r="J5" s="769"/>
      <c r="K5" s="770"/>
      <c r="L5" s="912" t="str">
        <f>+Setup_and_Criteria!J6</f>
        <v>Q2</v>
      </c>
      <c r="M5" s="913"/>
    </row>
    <row r="6" spans="1:30" ht="13.5" customHeight="1" thickBot="1" x14ac:dyDescent="0.3">
      <c r="F6" s="352"/>
      <c r="G6" s="769"/>
      <c r="H6" s="769"/>
      <c r="I6" s="769"/>
      <c r="J6" s="769"/>
      <c r="K6" s="770"/>
      <c r="L6" s="914"/>
      <c r="M6" s="915"/>
    </row>
    <row r="7" spans="1:30" ht="4.5" customHeight="1" x14ac:dyDescent="0.25"/>
    <row r="8" spans="1:30" ht="18.75" x14ac:dyDescent="0.3">
      <c r="A8" s="910" t="s">
        <v>14</v>
      </c>
      <c r="B8" s="910"/>
      <c r="C8" s="917" t="s">
        <v>17</v>
      </c>
      <c r="D8" s="917"/>
      <c r="E8" s="917"/>
      <c r="F8" s="917"/>
      <c r="G8" s="917"/>
      <c r="H8" s="615"/>
      <c r="I8" s="901" t="s">
        <v>18</v>
      </c>
      <c r="J8" s="901"/>
      <c r="K8" s="901"/>
      <c r="L8" s="901"/>
      <c r="M8" s="901"/>
      <c r="O8" s="902" t="s">
        <v>19</v>
      </c>
      <c r="P8" s="902"/>
      <c r="Q8" s="902"/>
      <c r="R8" s="902"/>
      <c r="S8" s="902"/>
    </row>
    <row r="9" spans="1:30" ht="30.75" customHeight="1" x14ac:dyDescent="0.25">
      <c r="A9" s="910"/>
      <c r="B9" s="910"/>
      <c r="C9" s="617" t="s">
        <v>113</v>
      </c>
      <c r="D9" s="411"/>
      <c r="E9" s="420" t="s">
        <v>114</v>
      </c>
      <c r="F9" s="617"/>
      <c r="G9" s="412" t="s">
        <v>115</v>
      </c>
      <c r="H9" s="617"/>
      <c r="I9" s="617" t="s">
        <v>113</v>
      </c>
      <c r="J9" s="411"/>
      <c r="K9" s="420" t="s">
        <v>114</v>
      </c>
      <c r="L9" s="617"/>
      <c r="M9" s="412" t="s">
        <v>115</v>
      </c>
      <c r="N9" s="617"/>
      <c r="O9" s="617" t="s">
        <v>113</v>
      </c>
      <c r="P9" s="411"/>
      <c r="Q9" s="420" t="s">
        <v>114</v>
      </c>
      <c r="R9" s="617"/>
      <c r="S9" s="412" t="s">
        <v>115</v>
      </c>
    </row>
    <row r="10" spans="1:30" ht="21" customHeight="1" x14ac:dyDescent="0.25">
      <c r="A10" s="741" t="s">
        <v>116</v>
      </c>
      <c r="B10" s="741"/>
      <c r="C10" s="413">
        <f>+C50</f>
        <v>0</v>
      </c>
      <c r="D10" s="97"/>
      <c r="E10" s="414">
        <f>+E50</f>
        <v>0</v>
      </c>
      <c r="F10" s="97"/>
      <c r="G10" s="413">
        <f>+E10+C10</f>
        <v>0</v>
      </c>
      <c r="H10" s="413"/>
      <c r="I10" s="413">
        <f ca="1">+K50</f>
        <v>0</v>
      </c>
      <c r="J10" s="97"/>
      <c r="K10" s="414">
        <f>+M50</f>
        <v>0</v>
      </c>
      <c r="L10" s="97"/>
      <c r="M10" s="413">
        <f ca="1">+K10+I10</f>
        <v>0</v>
      </c>
      <c r="O10" s="413">
        <f>+S50</f>
        <v>0</v>
      </c>
      <c r="P10" s="97"/>
      <c r="Q10" s="414">
        <f>+U50</f>
        <v>0</v>
      </c>
      <c r="R10" s="97"/>
      <c r="S10" s="413">
        <f>+Q10+O10</f>
        <v>0</v>
      </c>
    </row>
    <row r="11" spans="1:30" ht="6.75" customHeight="1" thickBot="1" x14ac:dyDescent="0.3">
      <c r="A11" s="614"/>
      <c r="B11" s="614"/>
      <c r="C11" s="413"/>
      <c r="D11" s="97"/>
      <c r="E11" s="414"/>
      <c r="F11" s="97"/>
      <c r="G11" s="413"/>
      <c r="H11" s="413"/>
      <c r="I11" s="413"/>
      <c r="J11" s="97"/>
      <c r="K11" s="414"/>
      <c r="L11" s="97"/>
      <c r="M11" s="413"/>
      <c r="O11" s="413"/>
      <c r="P11" s="97"/>
      <c r="Q11" s="414"/>
      <c r="R11" s="97"/>
      <c r="S11" s="413"/>
    </row>
    <row r="12" spans="1:30" ht="20.100000000000001" customHeight="1" thickBot="1" x14ac:dyDescent="0.3">
      <c r="A12" s="741" t="s">
        <v>117</v>
      </c>
      <c r="B12" s="741"/>
      <c r="C12" s="417">
        <v>0</v>
      </c>
      <c r="E12" s="418">
        <v>0</v>
      </c>
      <c r="F12" s="97"/>
      <c r="G12" s="413">
        <f>+C12+E12</f>
        <v>0</v>
      </c>
      <c r="H12" s="413"/>
      <c r="I12" s="417">
        <v>0</v>
      </c>
      <c r="K12" s="418">
        <v>0</v>
      </c>
      <c r="L12" s="97"/>
      <c r="M12" s="413">
        <f>+I12+K12</f>
        <v>0</v>
      </c>
      <c r="O12" s="417">
        <v>0</v>
      </c>
      <c r="Q12" s="418">
        <v>0</v>
      </c>
      <c r="R12" s="97"/>
      <c r="S12" s="413">
        <f>+O12+Q12</f>
        <v>0</v>
      </c>
    </row>
    <row r="13" spans="1:30" ht="20.100000000000001" customHeight="1" thickBot="1" x14ac:dyDescent="0.3">
      <c r="A13" s="748" t="s">
        <v>118</v>
      </c>
      <c r="B13" s="748"/>
      <c r="C13" s="417">
        <v>0</v>
      </c>
      <c r="E13" s="418">
        <v>0</v>
      </c>
      <c r="F13" s="97"/>
      <c r="G13" s="413">
        <f>+E13+C13</f>
        <v>0</v>
      </c>
      <c r="H13" s="413"/>
      <c r="I13" s="417">
        <v>0</v>
      </c>
      <c r="K13" s="418">
        <v>0</v>
      </c>
      <c r="L13" s="97"/>
      <c r="M13" s="413">
        <f>+K13+I13</f>
        <v>0</v>
      </c>
      <c r="O13" s="417">
        <v>0</v>
      </c>
      <c r="Q13" s="418">
        <v>0</v>
      </c>
      <c r="R13" s="97"/>
      <c r="S13" s="413">
        <f>+Q13+O13</f>
        <v>0</v>
      </c>
    </row>
    <row r="14" spans="1:30" ht="6.75" customHeight="1" thickBot="1" x14ac:dyDescent="0.3">
      <c r="A14" s="614"/>
      <c r="B14" s="614"/>
      <c r="C14" s="413"/>
      <c r="D14" s="97"/>
      <c r="E14" s="414"/>
      <c r="F14" s="97"/>
      <c r="G14" s="413"/>
      <c r="H14" s="413"/>
      <c r="I14" s="413"/>
      <c r="J14" s="97"/>
      <c r="K14" s="414"/>
      <c r="L14" s="97"/>
      <c r="M14" s="413"/>
      <c r="O14" s="413"/>
      <c r="P14" s="97"/>
      <c r="Q14" s="414"/>
      <c r="R14" s="97"/>
      <c r="S14" s="413"/>
    </row>
    <row r="15" spans="1:30" ht="20.100000000000001" customHeight="1" thickBot="1" x14ac:dyDescent="0.35">
      <c r="A15" s="748" t="s">
        <v>119</v>
      </c>
      <c r="B15" s="748"/>
      <c r="C15" s="417">
        <v>0</v>
      </c>
      <c r="E15" s="418">
        <v>0</v>
      </c>
      <c r="G15" s="416">
        <f>+E15+C15</f>
        <v>0</v>
      </c>
      <c r="H15" s="416"/>
      <c r="I15" s="417">
        <v>0</v>
      </c>
      <c r="K15" s="418">
        <v>0</v>
      </c>
      <c r="M15" s="416">
        <f>+K15+I15</f>
        <v>0</v>
      </c>
      <c r="O15" s="417">
        <v>0</v>
      </c>
      <c r="Q15" s="418">
        <v>0</v>
      </c>
      <c r="S15" s="416">
        <f>+Q15+O15</f>
        <v>0</v>
      </c>
      <c r="AD15" s="415"/>
    </row>
    <row r="16" spans="1:30" ht="6.75" customHeight="1" x14ac:dyDescent="0.25">
      <c r="A16" s="616"/>
      <c r="B16" s="616"/>
      <c r="E16" s="1"/>
      <c r="H16" s="1"/>
      <c r="K16" s="1"/>
      <c r="M16" s="1"/>
      <c r="Q16" s="1"/>
      <c r="S16" s="1"/>
    </row>
    <row r="17" spans="1:19" x14ac:dyDescent="0.25">
      <c r="A17" s="748" t="s">
        <v>120</v>
      </c>
      <c r="B17" s="748"/>
      <c r="C17" s="628">
        <f>+C15-(C10+C12+C13)</f>
        <v>0</v>
      </c>
      <c r="E17" s="628">
        <f>+E15-(E10+E12+E13)</f>
        <v>0</v>
      </c>
      <c r="G17" s="628">
        <f>+G15-(G10+G12+G13)</f>
        <v>0</v>
      </c>
      <c r="H17" s="628"/>
      <c r="I17" s="628">
        <f ca="1">+I15-(I10+I12+I13)</f>
        <v>0</v>
      </c>
      <c r="K17" s="628">
        <f>+K15-(K10+K12+K13)</f>
        <v>0</v>
      </c>
      <c r="M17" s="628">
        <f ca="1">+M15-(M10+M12+M13)</f>
        <v>0</v>
      </c>
      <c r="O17" s="628">
        <f>+O15-(O10+O12+O13)</f>
        <v>0</v>
      </c>
      <c r="Q17" s="628">
        <f>+Q15-(Q10+Q12+Q13)</f>
        <v>0</v>
      </c>
      <c r="S17" s="628">
        <f>+S15-(S10+S12+S13)</f>
        <v>0</v>
      </c>
    </row>
    <row r="18" spans="1:19" ht="3.75" customHeight="1" x14ac:dyDescent="0.25">
      <c r="A18" s="1"/>
      <c r="B18" s="1"/>
      <c r="C18" s="628"/>
      <c r="E18" s="628"/>
      <c r="H18" s="1"/>
      <c r="I18" s="628"/>
      <c r="K18" s="628"/>
      <c r="M18" s="1"/>
      <c r="O18" s="628"/>
      <c r="Q18" s="628"/>
      <c r="S18" s="1"/>
    </row>
    <row r="19" spans="1:19" ht="30.75" customHeight="1" x14ac:dyDescent="0.25">
      <c r="A19" s="1"/>
      <c r="B19" s="1"/>
      <c r="C19" s="415" t="str">
        <f>IF(C17&gt;3,"More than 3 Hours Missing On Worksheet","Balanced - nice job")</f>
        <v>Balanced - nice job</v>
      </c>
      <c r="E19" s="415" t="str">
        <f>IF(E17&gt;3,"More than 3 Hours Missing On Worksheet","Balanced - nice job")</f>
        <v>Balanced - nice job</v>
      </c>
      <c r="G19" s="415" t="str">
        <f>IF(G17&gt;3,"More than 3 Hours Missing On Worksheet","Balanced - nice job")</f>
        <v>Balanced - nice job</v>
      </c>
      <c r="H19" s="415"/>
      <c r="I19" s="415" t="str">
        <f ca="1">IF(I17&gt;3,"More than 3 Hours Missing On Worksheet","Balanced - nice job")</f>
        <v>Balanced - nice job</v>
      </c>
      <c r="K19" s="415" t="str">
        <f>IF(K17&gt;3,"More than 3 Hours Missing On Worksheet","Balanced - nice job")</f>
        <v>Balanced - nice job</v>
      </c>
      <c r="M19" s="415" t="str">
        <f ca="1">IF(M17&gt;3,"More than 3 Hours Missing On Worksheet","Balanced - nice job")</f>
        <v>Balanced - nice job</v>
      </c>
      <c r="O19" s="415" t="str">
        <f>IF(O17&gt;3,"More than 3 Hours Missing On Worksheet","Balanced - nice job")</f>
        <v>Balanced - nice job</v>
      </c>
      <c r="Q19" s="415" t="str">
        <f>IF(Q17&gt;3,"More than 3 Hours Missing On Worksheet","Balanced - nice job")</f>
        <v>Balanced - nice job</v>
      </c>
      <c r="S19" s="415" t="str">
        <f>IF(S17&gt;3,"More than 3 Hours Missing On Worksheet","Balanced - nice job")</f>
        <v>Balanced - nice job</v>
      </c>
    </row>
    <row r="20" spans="1:19" ht="30.75" customHeight="1" x14ac:dyDescent="0.25">
      <c r="A20" s="1"/>
      <c r="B20" s="1"/>
      <c r="C20" s="626"/>
    </row>
    <row r="21" spans="1:19" ht="21" customHeight="1" x14ac:dyDescent="0.3">
      <c r="A21" s="910" t="s">
        <v>121</v>
      </c>
      <c r="B21" s="910"/>
      <c r="C21" s="917" t="s">
        <v>17</v>
      </c>
      <c r="D21" s="917"/>
      <c r="E21" s="917"/>
      <c r="F21" s="917"/>
      <c r="G21" s="917"/>
      <c r="H21" s="615"/>
      <c r="I21" s="901" t="s">
        <v>18</v>
      </c>
      <c r="J21" s="901"/>
      <c r="K21" s="901"/>
      <c r="L21" s="901"/>
      <c r="M21" s="901"/>
      <c r="O21" s="902" t="s">
        <v>19</v>
      </c>
      <c r="P21" s="902"/>
      <c r="Q21" s="902"/>
      <c r="R21" s="902"/>
      <c r="S21" s="902"/>
    </row>
    <row r="22" spans="1:19" ht="33.75" customHeight="1" x14ac:dyDescent="0.25">
      <c r="A22" s="910"/>
      <c r="B22" s="910"/>
      <c r="C22" s="617" t="s">
        <v>113</v>
      </c>
      <c r="D22" s="411"/>
      <c r="E22" s="420" t="s">
        <v>114</v>
      </c>
      <c r="F22" s="411"/>
      <c r="G22" s="412" t="s">
        <v>115</v>
      </c>
      <c r="H22" s="411"/>
      <c r="I22" s="617" t="s">
        <v>113</v>
      </c>
      <c r="J22" s="411"/>
      <c r="K22" s="420" t="s">
        <v>114</v>
      </c>
      <c r="L22" s="411"/>
      <c r="M22" s="412" t="s">
        <v>115</v>
      </c>
      <c r="N22" s="411"/>
      <c r="O22" s="617" t="s">
        <v>113</v>
      </c>
      <c r="P22" s="411"/>
      <c r="Q22" s="420" t="s">
        <v>114</v>
      </c>
      <c r="R22" s="411"/>
      <c r="S22" s="410" t="s">
        <v>115</v>
      </c>
    </row>
    <row r="23" spans="1:19" ht="15" customHeight="1" x14ac:dyDescent="0.25">
      <c r="A23" s="741" t="s">
        <v>116</v>
      </c>
      <c r="B23" s="741"/>
      <c r="C23" s="413">
        <f>+C59</f>
        <v>0</v>
      </c>
      <c r="D23" s="97"/>
      <c r="E23" s="414">
        <f>+E59</f>
        <v>0</v>
      </c>
      <c r="F23" s="97"/>
      <c r="G23" s="413">
        <f>+E23+C23</f>
        <v>0</v>
      </c>
      <c r="H23" s="413"/>
      <c r="I23" s="413">
        <f ca="1">+K59</f>
        <v>0</v>
      </c>
      <c r="J23" s="97"/>
      <c r="K23" s="414">
        <f ca="1">+K59</f>
        <v>0</v>
      </c>
      <c r="L23" s="97"/>
      <c r="M23" s="413">
        <f ca="1">+K23+I23</f>
        <v>0</v>
      </c>
      <c r="O23" s="413">
        <f>+S59</f>
        <v>0</v>
      </c>
      <c r="P23" s="97"/>
      <c r="Q23" s="414">
        <f>+U59</f>
        <v>0</v>
      </c>
      <c r="R23" s="97"/>
      <c r="S23" s="413">
        <f>+Q23+O23</f>
        <v>0</v>
      </c>
    </row>
    <row r="24" spans="1:19" ht="6" customHeight="1" thickBot="1" x14ac:dyDescent="0.3">
      <c r="A24" s="614"/>
      <c r="B24" s="614"/>
      <c r="C24" s="413"/>
      <c r="D24" s="97"/>
      <c r="E24" s="414"/>
      <c r="F24" s="97"/>
      <c r="G24" s="413"/>
      <c r="H24" s="413"/>
      <c r="I24" s="413"/>
      <c r="J24" s="97"/>
      <c r="K24" s="414"/>
      <c r="L24" s="97"/>
      <c r="M24" s="413"/>
      <c r="O24" s="413"/>
      <c r="P24" s="97"/>
      <c r="Q24" s="414"/>
      <c r="R24" s="97"/>
      <c r="S24" s="413"/>
    </row>
    <row r="25" spans="1:19" ht="20.100000000000001" customHeight="1" thickBot="1" x14ac:dyDescent="0.3">
      <c r="A25" s="741" t="s">
        <v>117</v>
      </c>
      <c r="B25" s="741"/>
      <c r="C25" s="417">
        <v>0</v>
      </c>
      <c r="E25" s="418">
        <v>0</v>
      </c>
      <c r="F25" s="97"/>
      <c r="G25" s="413">
        <f>+C25+E25</f>
        <v>0</v>
      </c>
      <c r="H25" s="413"/>
      <c r="I25" s="417">
        <v>0</v>
      </c>
      <c r="K25" s="418">
        <v>0</v>
      </c>
      <c r="L25" s="97"/>
      <c r="M25" s="413">
        <f>+I25+K25</f>
        <v>0</v>
      </c>
      <c r="O25" s="417">
        <v>0</v>
      </c>
      <c r="Q25" s="418">
        <v>0</v>
      </c>
      <c r="R25" s="97"/>
      <c r="S25" s="413">
        <f>+O25+Q25</f>
        <v>0</v>
      </c>
    </row>
    <row r="26" spans="1:19" ht="20.100000000000001" customHeight="1" thickBot="1" x14ac:dyDescent="0.3">
      <c r="A26" s="741" t="s">
        <v>122</v>
      </c>
      <c r="B26" s="741"/>
      <c r="C26" s="417">
        <v>0</v>
      </c>
      <c r="E26" s="418">
        <v>0</v>
      </c>
      <c r="F26" s="97"/>
      <c r="G26" s="413">
        <f>+E26+C26</f>
        <v>0</v>
      </c>
      <c r="H26" s="413"/>
      <c r="I26" s="417">
        <v>0</v>
      </c>
      <c r="K26" s="418">
        <v>0</v>
      </c>
      <c r="L26" s="97"/>
      <c r="M26" s="413">
        <f>+K26+I26</f>
        <v>0</v>
      </c>
      <c r="O26" s="417">
        <v>0</v>
      </c>
      <c r="Q26" s="418">
        <v>0</v>
      </c>
      <c r="R26" s="97"/>
      <c r="S26" s="413">
        <f>+Q26+O26</f>
        <v>0</v>
      </c>
    </row>
    <row r="27" spans="1:19" ht="6" customHeight="1" thickBot="1" x14ac:dyDescent="0.3">
      <c r="A27" s="614"/>
      <c r="B27" s="614"/>
      <c r="C27" s="413"/>
      <c r="D27" s="97"/>
      <c r="E27" s="414"/>
      <c r="F27" s="97"/>
      <c r="G27" s="413"/>
      <c r="H27" s="413"/>
      <c r="I27" s="413"/>
      <c r="J27" s="97"/>
      <c r="K27" s="414"/>
      <c r="L27" s="97"/>
      <c r="M27" s="413"/>
      <c r="O27" s="413"/>
      <c r="P27" s="97"/>
      <c r="Q27" s="414"/>
      <c r="R27" s="97"/>
      <c r="S27" s="413"/>
    </row>
    <row r="28" spans="1:19" ht="20.100000000000001" customHeight="1" thickBot="1" x14ac:dyDescent="0.35">
      <c r="A28" s="748" t="s">
        <v>119</v>
      </c>
      <c r="B28" s="748"/>
      <c r="C28" s="417">
        <v>0</v>
      </c>
      <c r="E28" s="418">
        <v>0</v>
      </c>
      <c r="G28" s="416">
        <f>+E28+C28</f>
        <v>0</v>
      </c>
      <c r="H28" s="416"/>
      <c r="I28" s="417">
        <v>0</v>
      </c>
      <c r="K28" s="418">
        <v>0</v>
      </c>
      <c r="M28" s="416">
        <f>+K28+I28</f>
        <v>0</v>
      </c>
      <c r="O28" s="417">
        <v>0</v>
      </c>
      <c r="Q28" s="418">
        <v>0</v>
      </c>
      <c r="S28" s="416">
        <f>+Q28+O28</f>
        <v>0</v>
      </c>
    </row>
    <row r="29" spans="1:19" ht="4.5" customHeight="1" x14ac:dyDescent="0.25">
      <c r="A29" s="616"/>
      <c r="B29" s="616"/>
      <c r="E29" s="1"/>
      <c r="H29" s="1"/>
      <c r="K29" s="1"/>
      <c r="M29" s="1"/>
      <c r="Q29" s="1"/>
      <c r="S29" s="1"/>
    </row>
    <row r="30" spans="1:19" x14ac:dyDescent="0.25">
      <c r="A30" s="748" t="s">
        <v>120</v>
      </c>
      <c r="B30" s="748"/>
      <c r="C30" s="628">
        <f>+(C23+C25+C26)-C28</f>
        <v>0</v>
      </c>
      <c r="E30" s="628">
        <f>+(E23+E25+E26)-E28</f>
        <v>0</v>
      </c>
      <c r="G30" s="628">
        <f>+(G23+G25+G26)-G28</f>
        <v>0</v>
      </c>
      <c r="H30" s="628"/>
      <c r="I30" s="628">
        <f ca="1">+(I23+I25+I26)-I28</f>
        <v>0</v>
      </c>
      <c r="K30" s="628">
        <f ca="1">+(K23+K25+K26)-K28</f>
        <v>0</v>
      </c>
      <c r="M30" s="628">
        <f ca="1">+(M23+M25+M26)-M28</f>
        <v>0</v>
      </c>
      <c r="O30" s="628">
        <f>+(O23+O25+O26)-O28</f>
        <v>0</v>
      </c>
      <c r="Q30" s="628">
        <f>+(Q23+Q25+Q26)-Q28</f>
        <v>0</v>
      </c>
      <c r="S30" s="628">
        <f>+(S23+S25+S26)-S28</f>
        <v>0</v>
      </c>
    </row>
    <row r="31" spans="1:19" ht="6.75" customHeight="1" x14ac:dyDescent="0.25">
      <c r="A31" s="1"/>
      <c r="B31" s="1"/>
      <c r="C31" s="628"/>
      <c r="E31" s="628"/>
      <c r="H31" s="1"/>
      <c r="I31" s="628"/>
      <c r="K31" s="628"/>
      <c r="M31" s="1"/>
      <c r="O31" s="628"/>
      <c r="Q31" s="628"/>
      <c r="S31" s="1"/>
    </row>
    <row r="32" spans="1:19" ht="42.75" customHeight="1" x14ac:dyDescent="0.25">
      <c r="A32" s="1"/>
      <c r="B32" s="1"/>
      <c r="C32" s="415" t="str">
        <f>IF(C30&gt;3,"More than 3 Hours Missing On Worksheet","Balanced - nice job")</f>
        <v>Balanced - nice job</v>
      </c>
      <c r="E32" s="415" t="str">
        <f>IF(E30&gt;3,"More than 3 Hours Missing On Worksheet","Balanced - nice job")</f>
        <v>Balanced - nice job</v>
      </c>
      <c r="G32" s="415" t="str">
        <f>IF(G30&gt;3,"More than 3 Hours Missing On Worksheet","Balanced - nice job")</f>
        <v>Balanced - nice job</v>
      </c>
      <c r="H32" s="415"/>
      <c r="I32" s="415" t="str">
        <f ca="1">IF(I30&gt;3,"More than 3 Hours Missing On Worksheet","Balanced - nice job")</f>
        <v>Balanced - nice job</v>
      </c>
      <c r="K32" s="415" t="str">
        <f ca="1">IF(K30&gt;3,"More than 3 Hours Missing On Worksheet","Balanced - nice job")</f>
        <v>Balanced - nice job</v>
      </c>
      <c r="M32" s="415" t="str">
        <f ca="1">IF(M30&gt;3,"More than 3 Hours Missing On Worksheet","Balanced - nice job")</f>
        <v>Balanced - nice job</v>
      </c>
      <c r="O32" s="415" t="str">
        <f>IF(O30&gt;3,"More than 3 Hours Missing On Worksheet","Balanced - nice job")</f>
        <v>Balanced - nice job</v>
      </c>
      <c r="Q32" s="415" t="str">
        <f>IF(Q30&gt;3,"More than 3 Hours Missing On Worksheet","Balanced - nice job")</f>
        <v>Balanced - nice job</v>
      </c>
      <c r="S32" s="415" t="str">
        <f>IF(S30&gt;3,"More than 3 Hours Missing On Worksheet","Balanced - nice job")</f>
        <v>Balanced - nice job</v>
      </c>
    </row>
    <row r="33" spans="1:23" ht="45.75" customHeight="1" x14ac:dyDescent="0.25">
      <c r="A33" s="900" t="s">
        <v>123</v>
      </c>
      <c r="B33" s="900"/>
      <c r="C33" s="900"/>
      <c r="D33" s="900"/>
      <c r="E33" s="900"/>
      <c r="F33" s="900"/>
      <c r="G33" s="900"/>
      <c r="H33" s="900"/>
      <c r="I33" s="900"/>
      <c r="J33" s="900"/>
      <c r="K33" s="900"/>
      <c r="L33" s="900"/>
      <c r="M33" s="900"/>
      <c r="N33" s="900"/>
      <c r="O33" s="900"/>
      <c r="P33" s="900"/>
      <c r="Q33" s="900"/>
      <c r="R33" s="900"/>
      <c r="S33" s="900"/>
      <c r="T33" s="415"/>
      <c r="V33" s="415"/>
    </row>
    <row r="34" spans="1:23" ht="31.5" x14ac:dyDescent="0.5">
      <c r="A34" s="903" t="s">
        <v>124</v>
      </c>
      <c r="B34" s="904"/>
      <c r="C34" s="904"/>
      <c r="D34" s="904"/>
      <c r="E34" s="904"/>
      <c r="F34" s="904"/>
      <c r="G34" s="904"/>
      <c r="H34" s="904"/>
      <c r="I34" s="904"/>
      <c r="J34" s="904"/>
      <c r="K34" s="904"/>
      <c r="L34" s="904"/>
      <c r="M34" s="904"/>
      <c r="N34" s="904"/>
      <c r="O34" s="904"/>
      <c r="P34" s="904"/>
      <c r="Q34" s="904"/>
      <c r="R34" s="904"/>
      <c r="S34" s="904"/>
      <c r="T34" s="904"/>
      <c r="U34" s="904"/>
      <c r="V34" s="904"/>
      <c r="W34" s="904"/>
    </row>
    <row r="35" spans="1:23" ht="15" customHeight="1" x14ac:dyDescent="0.25">
      <c r="A35" s="908" t="str">
        <f>+A8</f>
        <v>Room Attendants</v>
      </c>
      <c r="B35" s="908"/>
    </row>
    <row r="36" spans="1:23" ht="15" customHeight="1" x14ac:dyDescent="0.25">
      <c r="A36" s="908"/>
      <c r="B36" s="908"/>
      <c r="C36" s="916" t="s">
        <v>17</v>
      </c>
      <c r="D36" s="916"/>
      <c r="E36" s="916"/>
      <c r="F36" s="916"/>
      <c r="G36" s="916"/>
      <c r="H36" s="1"/>
      <c r="I36" s="905" t="s">
        <v>18</v>
      </c>
      <c r="J36" s="905"/>
      <c r="K36" s="905"/>
      <c r="L36" s="905"/>
      <c r="M36" s="905"/>
      <c r="N36" s="905"/>
      <c r="O36" s="905"/>
      <c r="P36" s="1"/>
      <c r="Q36" s="907" t="s">
        <v>19</v>
      </c>
      <c r="R36" s="907"/>
      <c r="S36" s="907"/>
      <c r="T36" s="907"/>
      <c r="U36" s="907"/>
      <c r="V36" s="907"/>
      <c r="W36" s="907"/>
    </row>
    <row r="37" spans="1:23" ht="30" customHeight="1" x14ac:dyDescent="0.25">
      <c r="A37" s="908"/>
      <c r="B37" s="908"/>
      <c r="C37" s="1" t="s">
        <v>113</v>
      </c>
      <c r="E37" s="269" t="s">
        <v>114</v>
      </c>
      <c r="G37" s="269" t="s">
        <v>125</v>
      </c>
      <c r="H37" s="269"/>
      <c r="K37" s="1" t="s">
        <v>113</v>
      </c>
      <c r="M37" s="269" t="s">
        <v>114</v>
      </c>
      <c r="O37" s="269" t="s">
        <v>125</v>
      </c>
      <c r="P37" s="269"/>
      <c r="S37" s="1" t="s">
        <v>113</v>
      </c>
      <c r="U37" s="269" t="s">
        <v>126</v>
      </c>
      <c r="W37" s="269" t="s">
        <v>125</v>
      </c>
    </row>
    <row r="38" spans="1:23" ht="15.75" x14ac:dyDescent="0.25">
      <c r="A38" s="614" cm="1">
        <f t="array" ref="A38:A49">+Setup_and_Criteria!N12:N23</f>
        <v>0</v>
      </c>
      <c r="C38" s="408">
        <f>SUMIF('M1_1-15th'!$A$8:$A$91,$A38,'M1_1-15th'!$H$8:$H$91)/60</f>
        <v>0</v>
      </c>
      <c r="E38" s="628">
        <f>SUMIF('M1_16-EOM'!$A$8:$A$212,$A38,'M1_16-EOM'!$H$8:$H$212)/60</f>
        <v>0</v>
      </c>
      <c r="G38" s="628">
        <f>+C38+E38</f>
        <v>0</v>
      </c>
      <c r="H38" s="628"/>
      <c r="I38">
        <f>+Setup_and_Criteria!O12</f>
        <v>0</v>
      </c>
      <c r="K38" s="408">
        <f ca="1">+SUMIF('M2_1-15th'!$A$8:$A$199,$A38,'M2_1-15th'!$H$8:$H$196)/60</f>
        <v>0</v>
      </c>
      <c r="M38" s="628">
        <f>SUMIF('M2_16-EOM'!$A$8:$A$212,$A38,'M2_16-EOM'!$H$8:$H$213)/60</f>
        <v>0</v>
      </c>
      <c r="O38" s="628">
        <f ca="1">+K38+M38</f>
        <v>0</v>
      </c>
      <c r="P38" s="628"/>
      <c r="Q38">
        <f>+Setup_and_Criteria!P12</f>
        <v>0</v>
      </c>
      <c r="S38" s="408">
        <f>SUMIF('M3_1-15th'!$A$8:$A$91,$A38,'M3_1-15th'!$H$8:$H$91)/60</f>
        <v>0</v>
      </c>
      <c r="U38" s="628">
        <f>SUMIF('M3_16-EOM'!$A$8:$A$212,$A38,'M3_16-EOM'!$H$8:$H$212)/60</f>
        <v>0</v>
      </c>
      <c r="W38" s="628">
        <f>+S38+U38</f>
        <v>0</v>
      </c>
    </row>
    <row r="39" spans="1:23" ht="15.75" x14ac:dyDescent="0.25">
      <c r="A39" s="614">
        <v>0</v>
      </c>
      <c r="C39" s="408">
        <f>SUMIF('M1_1-15th'!$A$8:$A$91,$A39,'M1_1-15th'!$H$8:$H$91)/60</f>
        <v>0</v>
      </c>
      <c r="E39" s="628">
        <f>SUMIF('M1_16-EOM'!$A$8:$A$212,$A39,'M1_16-EOM'!$H$8:$H$212)/60</f>
        <v>0</v>
      </c>
      <c r="G39" s="628">
        <f t="shared" ref="G39:G49" si="0">+C39+E39</f>
        <v>0</v>
      </c>
      <c r="H39" s="1"/>
      <c r="I39">
        <f>+Setup_and_Criteria!O13</f>
        <v>0</v>
      </c>
      <c r="K39" s="408">
        <f ca="1">+SUMIF('M2_1-15th'!$A$8:$A$199,$A39,'M2_1-15th'!$H$8:$H$196)/60</f>
        <v>0</v>
      </c>
      <c r="M39" s="628">
        <f>SUMIF('M2_16-EOM'!$A$8:$A$212,$A39,'M2_16-EOM'!$H$8:$H$213)/60</f>
        <v>0</v>
      </c>
      <c r="O39" s="628">
        <f t="shared" ref="O39:O49" ca="1" si="1">+K39+M39</f>
        <v>0</v>
      </c>
      <c r="P39" s="1"/>
      <c r="Q39">
        <f>+Setup_and_Criteria!P13</f>
        <v>0</v>
      </c>
      <c r="S39" s="408">
        <f>SUMIF('M3_1-15th'!$A$8:$A$91,$A39,'M3_1-15th'!$H$8:$H$91)/60</f>
        <v>0</v>
      </c>
      <c r="U39" s="628">
        <f>SUMIF('M3_16-EOM'!$A$8:$A$212,$A39,'M3_16-EOM'!$H$8:$H$212)/60</f>
        <v>0</v>
      </c>
      <c r="W39" s="628">
        <f t="shared" ref="W39:W49" si="2">+S39+U39</f>
        <v>0</v>
      </c>
    </row>
    <row r="40" spans="1:23" ht="15.75" x14ac:dyDescent="0.25">
      <c r="A40" s="614">
        <v>0</v>
      </c>
      <c r="C40" s="408">
        <f>SUMIF('M1_1-15th'!$A$8:$A$91,$A40,'M1_1-15th'!$H$8:$H$91)/60</f>
        <v>0</v>
      </c>
      <c r="E40" s="628">
        <f>SUMIF('M1_16-EOM'!$A$8:$A$212,$A40,'M1_16-EOM'!$H$8:$H$212)/60</f>
        <v>0</v>
      </c>
      <c r="G40" s="628">
        <f t="shared" si="0"/>
        <v>0</v>
      </c>
      <c r="H40" s="1"/>
      <c r="I40">
        <f>+Setup_and_Criteria!O14</f>
        <v>0</v>
      </c>
      <c r="K40" s="408">
        <f ca="1">+SUMIF('M2_1-15th'!$A$8:$A$199,$A40,'M2_1-15th'!$H$8:$H$196)/60</f>
        <v>0</v>
      </c>
      <c r="M40" s="628">
        <f>SUMIF('M2_16-EOM'!$A$8:$A$212,$A40,'M2_16-EOM'!$H$8:$H$213)/60</f>
        <v>0</v>
      </c>
      <c r="O40" s="628">
        <f t="shared" ca="1" si="1"/>
        <v>0</v>
      </c>
      <c r="P40" s="1"/>
      <c r="Q40">
        <f>+Setup_and_Criteria!P14</f>
        <v>0</v>
      </c>
      <c r="S40" s="408">
        <f>SUMIF('M3_1-15th'!$A$8:$A$91,$A40,'M3_1-15th'!$H$8:$H$91)/60</f>
        <v>0</v>
      </c>
      <c r="U40" s="628">
        <f>SUMIF('M3_16-EOM'!$A$8:$A$212,$A40,'M3_16-EOM'!$H$8:$H$212)/60</f>
        <v>0</v>
      </c>
      <c r="W40" s="628">
        <f t="shared" si="2"/>
        <v>0</v>
      </c>
    </row>
    <row r="41" spans="1:23" ht="15.75" x14ac:dyDescent="0.25">
      <c r="A41" s="614">
        <v>0</v>
      </c>
      <c r="C41" s="408">
        <f>SUMIF('M1_1-15th'!$A$8:$A$91,$A41,'M1_1-15th'!$H$8:$H$91)/60</f>
        <v>0</v>
      </c>
      <c r="E41" s="628">
        <f>SUMIF('M1_16-EOM'!$A$8:$A$212,$A41,'M1_16-EOM'!$H$8:$H$212)/60</f>
        <v>0</v>
      </c>
      <c r="G41" s="628">
        <f t="shared" si="0"/>
        <v>0</v>
      </c>
      <c r="H41" s="1"/>
      <c r="I41">
        <f>+Setup_and_Criteria!O15</f>
        <v>0</v>
      </c>
      <c r="K41" s="408">
        <f ca="1">+SUMIF('M2_1-15th'!$A$8:$A$199,$A41,'M2_1-15th'!$H$8:$H$196)/60</f>
        <v>0</v>
      </c>
      <c r="M41" s="628">
        <f>SUMIF('M2_16-EOM'!$A$8:$A$212,$A41,'M2_16-EOM'!$H$8:$H$213)/60</f>
        <v>0</v>
      </c>
      <c r="O41" s="628">
        <f t="shared" ca="1" si="1"/>
        <v>0</v>
      </c>
      <c r="P41" s="1"/>
      <c r="Q41">
        <f>+Setup_and_Criteria!P15</f>
        <v>0</v>
      </c>
      <c r="S41" s="408">
        <f>SUMIF('M3_1-15th'!$A$8:$A$91,$A41,'M3_1-15th'!$H$8:$H$91)/60</f>
        <v>0</v>
      </c>
      <c r="U41" s="628">
        <f>SUMIF('M3_16-EOM'!$A$8:$A$212,$A41,'M3_16-EOM'!$H$8:$H$212)/60</f>
        <v>0</v>
      </c>
      <c r="W41" s="628">
        <f t="shared" si="2"/>
        <v>0</v>
      </c>
    </row>
    <row r="42" spans="1:23" ht="15.75" x14ac:dyDescent="0.25">
      <c r="A42" s="614">
        <v>0</v>
      </c>
      <c r="C42" s="408">
        <f>SUMIF('M1_1-15th'!$A$8:$A$91,$A42,'M1_1-15th'!$H$8:$H$91)/60</f>
        <v>0</v>
      </c>
      <c r="E42" s="628">
        <f>SUMIF('M1_16-EOM'!$A$8:$A$212,$A42,'M1_16-EOM'!$H$8:$H$212)/60</f>
        <v>0</v>
      </c>
      <c r="G42" s="628">
        <f t="shared" si="0"/>
        <v>0</v>
      </c>
      <c r="H42" s="1"/>
      <c r="I42">
        <f>+Setup_and_Criteria!O16</f>
        <v>0</v>
      </c>
      <c r="K42" s="408">
        <f ca="1">+SUMIF('M2_1-15th'!$A$8:$A$199,$A42,'M2_1-15th'!$H$8:$H$196)/60</f>
        <v>0</v>
      </c>
      <c r="M42" s="628">
        <f>SUMIF('M2_16-EOM'!$A$8:$A$212,$A42,'M2_16-EOM'!$H$8:$H$213)/60</f>
        <v>0</v>
      </c>
      <c r="O42" s="628">
        <f t="shared" ca="1" si="1"/>
        <v>0</v>
      </c>
      <c r="P42" s="1"/>
      <c r="Q42">
        <f>+Setup_and_Criteria!P16</f>
        <v>0</v>
      </c>
      <c r="S42" s="408">
        <f>SUMIF('M3_1-15th'!$A$8:$A$91,$A42,'M3_1-15th'!$H$8:$H$91)/60</f>
        <v>0</v>
      </c>
      <c r="U42" s="628">
        <f>SUMIF('M3_16-EOM'!$A$8:$A$212,$A42,'M3_16-EOM'!$H$8:$H$212)/60</f>
        <v>0</v>
      </c>
      <c r="W42" s="628">
        <f t="shared" si="2"/>
        <v>0</v>
      </c>
    </row>
    <row r="43" spans="1:23" ht="15.75" x14ac:dyDescent="0.25">
      <c r="A43" s="614">
        <v>0</v>
      </c>
      <c r="C43" s="408">
        <f>SUMIF('M1_1-15th'!$A$8:$A$91,$A43,'M1_1-15th'!$H$8:$H$91)/60</f>
        <v>0</v>
      </c>
      <c r="E43" s="628">
        <f>SUMIF('M1_16-EOM'!$A$8:$A$212,$A43,'M1_16-EOM'!$H$8:$H$212)/60</f>
        <v>0</v>
      </c>
      <c r="G43" s="628">
        <f t="shared" si="0"/>
        <v>0</v>
      </c>
      <c r="H43" s="1"/>
      <c r="I43">
        <f>+Setup_and_Criteria!O17</f>
        <v>0</v>
      </c>
      <c r="K43" s="408">
        <f ca="1">+SUMIF('M2_1-15th'!$A$8:$A$199,$A43,'M2_1-15th'!$H$8:$H$196)/60</f>
        <v>0</v>
      </c>
      <c r="M43" s="628">
        <f>SUMIF('M2_16-EOM'!$A$8:$A$212,$A43,'M2_16-EOM'!$H$8:$H$213)/60</f>
        <v>0</v>
      </c>
      <c r="O43" s="628">
        <f t="shared" ca="1" si="1"/>
        <v>0</v>
      </c>
      <c r="P43" s="1"/>
      <c r="Q43">
        <f>+Setup_and_Criteria!P17</f>
        <v>0</v>
      </c>
      <c r="S43" s="408">
        <f>SUMIF('M3_1-15th'!$A$8:$A$91,$A43,'M3_1-15th'!$H$8:$H$91)/60</f>
        <v>0</v>
      </c>
      <c r="U43" s="628">
        <f>SUMIF('M3_16-EOM'!$A$8:$A$212,$A43,'M3_16-EOM'!$H$8:$H$212)/60</f>
        <v>0</v>
      </c>
      <c r="W43" s="628">
        <f t="shared" si="2"/>
        <v>0</v>
      </c>
    </row>
    <row r="44" spans="1:23" ht="15.75" x14ac:dyDescent="0.25">
      <c r="A44" s="614">
        <v>0</v>
      </c>
      <c r="C44" s="408">
        <f>SUMIF('M1_1-15th'!$A$8:$A$91,$A44,'M1_1-15th'!$H$8:$H$91)/60</f>
        <v>0</v>
      </c>
      <c r="E44" s="628">
        <f>SUMIF('M1_16-EOM'!$A$8:$A$212,$A44,'M1_16-EOM'!$H$8:$H$212)/60</f>
        <v>0</v>
      </c>
      <c r="G44" s="628">
        <f t="shared" si="0"/>
        <v>0</v>
      </c>
      <c r="H44" s="1"/>
      <c r="I44">
        <f>+Setup_and_Criteria!O18</f>
        <v>0</v>
      </c>
      <c r="K44" s="408">
        <f ca="1">+SUMIF('M2_1-15th'!$A$8:$A$199,$A44,'M2_1-15th'!$H$8:$H$196)/60</f>
        <v>0</v>
      </c>
      <c r="M44" s="628">
        <f>SUMIF('M2_16-EOM'!$A$8:$A$212,$A44,'M2_16-EOM'!$H$8:$H$213)/60</f>
        <v>0</v>
      </c>
      <c r="O44" s="628">
        <f t="shared" ca="1" si="1"/>
        <v>0</v>
      </c>
      <c r="P44" s="1"/>
      <c r="Q44">
        <f>+Setup_and_Criteria!P18</f>
        <v>0</v>
      </c>
      <c r="S44" s="408">
        <f>SUMIF('M3_1-15th'!$A$8:$A$91,$A44,'M3_1-15th'!$H$8:$H$91)/60</f>
        <v>0</v>
      </c>
      <c r="U44" s="628">
        <f>SUMIF('M3_16-EOM'!$A$8:$A$212,$A44,'M3_16-EOM'!$H$8:$H$212)/60</f>
        <v>0</v>
      </c>
      <c r="W44" s="628">
        <f t="shared" si="2"/>
        <v>0</v>
      </c>
    </row>
    <row r="45" spans="1:23" ht="15.75" x14ac:dyDescent="0.25">
      <c r="A45" s="614">
        <v>0</v>
      </c>
      <c r="C45" s="408">
        <f>SUMIF('M1_1-15th'!$A$8:$A$91,$A45,'M1_1-15th'!$H$8:$H$91)/60</f>
        <v>0</v>
      </c>
      <c r="E45" s="628">
        <f>SUMIF('M1_16-EOM'!$A$8:$A$212,$A45,'M1_16-EOM'!$H$8:$H$212)/60</f>
        <v>0</v>
      </c>
      <c r="G45" s="628">
        <f t="shared" si="0"/>
        <v>0</v>
      </c>
      <c r="H45" s="1"/>
      <c r="I45">
        <f>+Setup_and_Criteria!O19</f>
        <v>0</v>
      </c>
      <c r="K45" s="408">
        <f ca="1">+SUMIF('M2_1-15th'!$A$8:$A$199,$A45,'M2_1-15th'!$H$8:$H$196)/60</f>
        <v>0</v>
      </c>
      <c r="M45" s="628">
        <f>SUMIF('M2_16-EOM'!$A$8:$A$212,$A45,'M2_16-EOM'!$H$8:$H$213)/60</f>
        <v>0</v>
      </c>
      <c r="O45" s="628">
        <f t="shared" ca="1" si="1"/>
        <v>0</v>
      </c>
      <c r="P45" s="1"/>
      <c r="Q45">
        <f>+Setup_and_Criteria!P19</f>
        <v>0</v>
      </c>
      <c r="S45" s="408">
        <f>SUMIF('M3_1-15th'!$A$8:$A$91,$A45,'M3_1-15th'!$H$8:$H$91)/60</f>
        <v>0</v>
      </c>
      <c r="U45" s="628">
        <f>SUMIF('M3_16-EOM'!$A$8:$A$212,$A45,'M3_16-EOM'!$H$8:$H$212)/60</f>
        <v>0</v>
      </c>
      <c r="W45" s="628">
        <f t="shared" si="2"/>
        <v>0</v>
      </c>
    </row>
    <row r="46" spans="1:23" ht="15.75" x14ac:dyDescent="0.25">
      <c r="A46" s="614">
        <v>0</v>
      </c>
      <c r="C46" s="408">
        <f>SUMIF('M1_1-15th'!$A$8:$A$91,$A46,'M1_1-15th'!$H$8:$H$91)/60</f>
        <v>0</v>
      </c>
      <c r="E46" s="628">
        <f>SUMIF('M1_16-EOM'!$A$8:$A$212,$A46,'M1_16-EOM'!$H$8:$H$212)/60</f>
        <v>0</v>
      </c>
      <c r="G46" s="628">
        <f t="shared" si="0"/>
        <v>0</v>
      </c>
      <c r="H46" s="1"/>
      <c r="I46">
        <f>+Setup_and_Criteria!O20</f>
        <v>0</v>
      </c>
      <c r="K46" s="408">
        <f ca="1">+SUMIF('M2_1-15th'!$A$8:$A$199,$A46,'M2_1-15th'!$H$8:$H$196)/60</f>
        <v>0</v>
      </c>
      <c r="M46" s="628">
        <f>SUMIF('M2_16-EOM'!$A$8:$A$212,$A46,'M2_16-EOM'!$H$8:$H$213)/60</f>
        <v>0</v>
      </c>
      <c r="O46" s="628">
        <f t="shared" ca="1" si="1"/>
        <v>0</v>
      </c>
      <c r="P46" s="1"/>
      <c r="Q46">
        <f>+Setup_and_Criteria!P20</f>
        <v>0</v>
      </c>
      <c r="S46" s="408">
        <f>SUMIF('M3_1-15th'!$A$8:$A$91,$A46,'M3_1-15th'!$H$8:$H$91)/60</f>
        <v>0</v>
      </c>
      <c r="U46" s="628">
        <f>SUMIF('M3_16-EOM'!$A$8:$A$212,$A46,'M3_16-EOM'!$H$8:$H$212)/60</f>
        <v>0</v>
      </c>
      <c r="W46" s="628">
        <f t="shared" si="2"/>
        <v>0</v>
      </c>
    </row>
    <row r="47" spans="1:23" ht="15.75" x14ac:dyDescent="0.25">
      <c r="A47" s="614">
        <v>0</v>
      </c>
      <c r="C47" s="408">
        <f>SUMIF('M1_1-15th'!$A$8:$A$91,$A47,'M1_1-15th'!$H$8:$H$91)/60</f>
        <v>0</v>
      </c>
      <c r="E47" s="628">
        <f>SUMIF('M1_16-EOM'!$A$8:$A$212,$A47,'M1_16-EOM'!$H$8:$H$212)/60</f>
        <v>0</v>
      </c>
      <c r="G47" s="628">
        <v>2</v>
      </c>
      <c r="H47" s="1"/>
      <c r="I47">
        <f>+Setup_and_Criteria!O21</f>
        <v>0</v>
      </c>
      <c r="K47" s="408">
        <f ca="1">+SUMIF('M2_1-15th'!$A$8:$A$199,$A47,'M2_1-15th'!$H$8:$H$196)/60</f>
        <v>0</v>
      </c>
      <c r="M47" s="628">
        <f>SUMIF('M2_16-EOM'!$A$8:$A$212,$A47,'M2_16-EOM'!$H$8:$H$213)/60</f>
        <v>0</v>
      </c>
      <c r="O47" s="628">
        <v>2</v>
      </c>
      <c r="P47" s="1"/>
      <c r="Q47">
        <f>+Setup_and_Criteria!P21</f>
        <v>0</v>
      </c>
      <c r="S47" s="408">
        <f>SUMIF('M3_1-15th'!$A$8:$A$91,$A47,'M3_1-15th'!$H$8:$H$91)/60</f>
        <v>0</v>
      </c>
      <c r="U47" s="628">
        <f>SUMIF('M3_16-EOM'!$A$8:$A$212,$A47,'M3_16-EOM'!$H$8:$H$212)/60</f>
        <v>0</v>
      </c>
      <c r="W47" s="628">
        <v>2</v>
      </c>
    </row>
    <row r="48" spans="1:23" ht="15.75" x14ac:dyDescent="0.25">
      <c r="A48" s="614">
        <v>0</v>
      </c>
      <c r="C48" s="408">
        <f>SUMIF('M1_1-15th'!$A$8:$A$91,$A48,'M1_1-15th'!$H$8:$H$91)/60</f>
        <v>0</v>
      </c>
      <c r="E48" s="628">
        <f>SUMIF('M1_16-EOM'!$A$8:$A$212,$A48,'M1_16-EOM'!$H$8:$H$212)/60</f>
        <v>0</v>
      </c>
      <c r="G48" s="628">
        <f t="shared" si="0"/>
        <v>0</v>
      </c>
      <c r="H48" s="1"/>
      <c r="I48">
        <f>+Setup_and_Criteria!O22</f>
        <v>0</v>
      </c>
      <c r="K48" s="408">
        <f ca="1">+SUMIF('M2_1-15th'!$A$8:$A$199,$A48,'M2_1-15th'!$H$8:$H$196)/60</f>
        <v>0</v>
      </c>
      <c r="M48" s="628">
        <f>SUMIF('M2_16-EOM'!$A$8:$A$212,$A48,'M2_16-EOM'!$H$8:$H$213)/60</f>
        <v>0</v>
      </c>
      <c r="O48" s="628">
        <f t="shared" ca="1" si="1"/>
        <v>0</v>
      </c>
      <c r="P48" s="1"/>
      <c r="Q48">
        <f>+Setup_and_Criteria!P22</f>
        <v>0</v>
      </c>
      <c r="S48" s="408">
        <f>SUMIF('M3_1-15th'!$A$8:$A$91,$A48,'M3_1-15th'!$H$8:$H$91)/60</f>
        <v>0</v>
      </c>
      <c r="U48" s="628">
        <f>SUMIF('M3_16-EOM'!$A$8:$A$212,$A48,'M3_16-EOM'!$H$8:$H$212)/60</f>
        <v>0</v>
      </c>
      <c r="W48" s="628">
        <f t="shared" si="2"/>
        <v>0</v>
      </c>
    </row>
    <row r="49" spans="1:23" ht="16.5" thickBot="1" x14ac:dyDescent="0.3">
      <c r="A49" s="614">
        <v>0</v>
      </c>
      <c r="C49" s="409">
        <f>SUMIF('M1_1-15th'!$A$8:$A$91,$A49,'M1_1-15th'!$H$8:$H$91)/60</f>
        <v>0</v>
      </c>
      <c r="E49" s="477">
        <f>SUMIF('M1_16-EOM'!$A$8:$A$212,$A49,'M1_16-EOM'!$H$8:$H$212)/60</f>
        <v>0</v>
      </c>
      <c r="G49" s="477">
        <f t="shared" si="0"/>
        <v>0</v>
      </c>
      <c r="H49" s="1"/>
      <c r="I49">
        <f>+Setup_and_Criteria!O23</f>
        <v>0</v>
      </c>
      <c r="K49" s="409">
        <f ca="1">+SUMIF('M2_1-15th'!$A$8:$A$199,$A49,'M2_1-15th'!$H$8:$H$196)/60</f>
        <v>0</v>
      </c>
      <c r="M49" s="477">
        <f>SUMIF('M2_16-EOM'!$A$8:$A$212,$A49,'M2_16-EOM'!$H$8:$H$213)/60</f>
        <v>0</v>
      </c>
      <c r="O49" s="628">
        <f t="shared" ca="1" si="1"/>
        <v>0</v>
      </c>
      <c r="P49" s="1"/>
      <c r="Q49">
        <f>+Setup_and_Criteria!P23</f>
        <v>0</v>
      </c>
      <c r="S49" s="409">
        <f>SUMIF('M3_1-15th'!$A$8:$A$91,$A49,'M3_1-15th'!$H$8:$H$91)/60</f>
        <v>0</v>
      </c>
      <c r="U49" s="477">
        <f>SUMIF('M3_16-EOM'!$A$8:$A$212,$A49,'M3_16-EOM'!$H$8:$H$212)/60</f>
        <v>0</v>
      </c>
      <c r="W49" s="628">
        <f t="shared" si="2"/>
        <v>0</v>
      </c>
    </row>
    <row r="50" spans="1:23" ht="15.75" thickTop="1" x14ac:dyDescent="0.25">
      <c r="B50" t="s">
        <v>115</v>
      </c>
      <c r="C50" s="628">
        <f>SUM(C38:C49)</f>
        <v>0</v>
      </c>
      <c r="E50" s="357">
        <f>SUM(E38:E49)</f>
        <v>0</v>
      </c>
      <c r="G50" s="628">
        <f>SUM(G38:G49)</f>
        <v>2</v>
      </c>
      <c r="H50" s="628"/>
      <c r="K50" s="628">
        <f ca="1">SUM(K38:K49)</f>
        <v>0</v>
      </c>
      <c r="M50" s="357">
        <f>SUM(M38:M49)</f>
        <v>0</v>
      </c>
      <c r="O50" s="628">
        <f ca="1">SUM(O38:O49)</f>
        <v>2</v>
      </c>
      <c r="P50" s="628"/>
      <c r="S50" s="628">
        <f>SUM(S38:S49)</f>
        <v>0</v>
      </c>
      <c r="U50" s="357">
        <f>SUM(U38:U49)</f>
        <v>0</v>
      </c>
      <c r="W50" s="628">
        <f>SUM(W38:W49)</f>
        <v>2</v>
      </c>
    </row>
    <row r="51" spans="1:23" x14ac:dyDescent="0.25">
      <c r="C51" s="911">
        <f>+C50+E50</f>
        <v>0</v>
      </c>
      <c r="D51" s="749"/>
      <c r="E51" s="749"/>
      <c r="K51" s="911">
        <f ca="1">+K50+M50</f>
        <v>0</v>
      </c>
      <c r="L51" s="749"/>
      <c r="M51" s="749"/>
      <c r="S51" s="911">
        <f>+S50+U50</f>
        <v>0</v>
      </c>
      <c r="T51" s="749"/>
      <c r="U51" s="749"/>
    </row>
    <row r="53" spans="1:23" x14ac:dyDescent="0.25">
      <c r="A53" s="908" t="str">
        <f>+A21</f>
        <v>Supervisor / Inspectress</v>
      </c>
      <c r="B53" s="908"/>
    </row>
    <row r="54" spans="1:23" x14ac:dyDescent="0.25">
      <c r="A54" s="908"/>
      <c r="B54" s="908"/>
      <c r="C54" s="909" t="s">
        <v>17</v>
      </c>
      <c r="D54" s="909"/>
      <c r="E54" s="909"/>
      <c r="F54" s="909"/>
      <c r="G54" s="909"/>
      <c r="H54" s="419"/>
      <c r="I54" s="906" t="s">
        <v>18</v>
      </c>
      <c r="J54" s="906"/>
      <c r="K54" s="906"/>
      <c r="L54" s="906"/>
      <c r="M54" s="906"/>
      <c r="N54" s="906"/>
      <c r="O54" s="906"/>
      <c r="P54" s="419"/>
      <c r="Q54" s="899" t="s">
        <v>19</v>
      </c>
      <c r="R54" s="899"/>
      <c r="S54" s="899"/>
      <c r="T54" s="899"/>
      <c r="U54" s="899"/>
      <c r="V54" s="899"/>
      <c r="W54" s="899"/>
    </row>
    <row r="55" spans="1:23" ht="30" customHeight="1" x14ac:dyDescent="0.25">
      <c r="A55" s="908"/>
      <c r="B55" s="908"/>
      <c r="C55" s="1" t="s">
        <v>113</v>
      </c>
      <c r="E55" s="269" t="s">
        <v>114</v>
      </c>
      <c r="G55" s="269" t="s">
        <v>125</v>
      </c>
      <c r="H55" s="269"/>
      <c r="K55" s="1" t="s">
        <v>113</v>
      </c>
      <c r="M55" s="269" t="s">
        <v>114</v>
      </c>
      <c r="O55" s="269" t="s">
        <v>125</v>
      </c>
      <c r="P55" s="269"/>
      <c r="S55" s="1" t="s">
        <v>113</v>
      </c>
      <c r="U55" s="269" t="s">
        <v>114</v>
      </c>
      <c r="W55" s="269" t="s">
        <v>125</v>
      </c>
    </row>
    <row r="56" spans="1:23" ht="15.75" x14ac:dyDescent="0.25">
      <c r="A56" s="614">
        <f>+Setup_and_Criteria!N27</f>
        <v>0</v>
      </c>
      <c r="C56" s="408">
        <f>SUMIF('M1_1-15th'!$A$8:$A$91,$A56,'M1_1-15th'!$H$8:$H$91)/60</f>
        <v>0</v>
      </c>
      <c r="E56" s="628">
        <f>SUMIF('M1_16-EOM'!$A$8:$A$212,$A56,'M1_16-EOM'!$H$8:$H$212)/60</f>
        <v>0</v>
      </c>
      <c r="G56" s="628">
        <f>+C56+E56</f>
        <v>0</v>
      </c>
      <c r="H56" s="628"/>
      <c r="I56">
        <f>+Setup_and_Criteria!O27</f>
        <v>0</v>
      </c>
      <c r="K56" s="408">
        <f ca="1">+SUMIF('M2_1-15th'!$A$8:$A$199,$A56,'M2_1-15th'!$H$8:$H$196)/60</f>
        <v>0</v>
      </c>
      <c r="M56" s="628">
        <f>SUMIF('M2_16-EOM'!$A$8:$A$212,$A56,'M2_16-EOM'!$H$8:$H$213)/60</f>
        <v>0</v>
      </c>
      <c r="O56" s="628">
        <f ca="1">+K56+M56</f>
        <v>0</v>
      </c>
      <c r="P56" s="628"/>
      <c r="Q56" cm="1">
        <f t="array" ref="Q56:Q60">+Setup_and_Criteria!P27:P31</f>
        <v>0</v>
      </c>
      <c r="S56" s="408">
        <f>SUMIF('M3_1-15th'!$A$8:$A$91,$A56,'M3_1-15th'!$H$8:$H$91)/60</f>
        <v>0</v>
      </c>
      <c r="U56" s="628">
        <f>SUMIF('M3_16-EOM'!$A$8:$A$212,$A56,'M3_16-EOM'!$H$8:$H$212)/60</f>
        <v>0</v>
      </c>
      <c r="W56" s="628">
        <f>+S56+U56</f>
        <v>0</v>
      </c>
    </row>
    <row r="57" spans="1:23" ht="15.75" x14ac:dyDescent="0.25">
      <c r="A57" s="614">
        <f>+Setup_and_Criteria!N30</f>
        <v>0</v>
      </c>
      <c r="C57" s="408">
        <f>SUMIF('M1_1-15th'!$A$8:$A$91,$A57,'M1_1-15th'!$H$8:$H$91)/60</f>
        <v>0</v>
      </c>
      <c r="E57" s="628">
        <f>SUMIF('M1_16-EOM'!$A$8:$A$212,$A57,'M1_16-EOM'!$H$8:$H$212)/60</f>
        <v>0</v>
      </c>
      <c r="G57" s="628">
        <f>+C57+E57</f>
        <v>0</v>
      </c>
      <c r="H57" s="1"/>
      <c r="I57">
        <f>+Setup_and_Criteria!O30</f>
        <v>0</v>
      </c>
      <c r="K57" s="408">
        <f ca="1">+SUMIF('M2_1-15th'!$A$8:$A$199,$A57,'M2_1-15th'!$H$8:$H$196)/60</f>
        <v>0</v>
      </c>
      <c r="M57" s="628">
        <f>SUMIF('M2_16-EOM'!$A$8:$A$212,$A57,'M2_16-EOM'!$H$8:$H$213)/60</f>
        <v>0</v>
      </c>
      <c r="O57" s="628">
        <f ca="1">+K57+M57</f>
        <v>0</v>
      </c>
      <c r="P57" s="1"/>
      <c r="Q57">
        <v>0</v>
      </c>
      <c r="S57" s="408">
        <f>SUMIF('M3_1-15th'!$A$8:$A$91,$A57,'M3_1-15th'!$H$8:$H$91)/60</f>
        <v>0</v>
      </c>
      <c r="U57" s="628">
        <f>SUMIF('M3_16-EOM'!$A$8:$A$212,$A57,'M3_16-EOM'!$H$8:$H$212)/60</f>
        <v>0</v>
      </c>
      <c r="W57" s="628">
        <f>+S57+U57</f>
        <v>0</v>
      </c>
    </row>
    <row r="58" spans="1:23" ht="16.5" thickBot="1" x14ac:dyDescent="0.3">
      <c r="A58" s="614">
        <f>+Setup_and_Criteria!N31</f>
        <v>0</v>
      </c>
      <c r="C58" s="409">
        <f>SUMIF('M1_1-15th'!$A$8:$A$91,$A58,'M1_1-15th'!$H$8:$H$91)/60</f>
        <v>0</v>
      </c>
      <c r="E58" s="477">
        <f>SUMIF('M1_16-EOM'!$A$8:$A$212,$A58,'M1_16-EOM'!$H$8:$H$212)/60</f>
        <v>0</v>
      </c>
      <c r="G58" s="477">
        <f>+C58+E58</f>
        <v>0</v>
      </c>
      <c r="H58" s="1"/>
      <c r="I58">
        <f>+Setup_and_Criteria!O31</f>
        <v>0</v>
      </c>
      <c r="K58" s="409">
        <f ca="1">+SUMIF('M2_1-15th'!$A$8:$A$199,$A58,'M2_1-15th'!$H$8:$H$196)/60</f>
        <v>0</v>
      </c>
      <c r="M58" s="477">
        <f>SUMIF('M2_16-EOM'!$A$8:$A$212,$A58,'M2_16-EOM'!$H$8:$H$213)/60</f>
        <v>0</v>
      </c>
      <c r="O58" s="477">
        <f ca="1">+K58+M58</f>
        <v>0</v>
      </c>
      <c r="P58" s="1"/>
      <c r="Q58">
        <v>0</v>
      </c>
      <c r="S58" s="409">
        <f>SUMIF('M3_1-15th'!$A$8:$A$91,$A58,'M3_1-15th'!$H$8:$H$91)/60</f>
        <v>0</v>
      </c>
      <c r="U58" s="477">
        <f>SUMIF('M3_16-EOM'!$A$8:$A$212,$A58,'M3_16-EOM'!$H$8:$H$212)/60</f>
        <v>0</v>
      </c>
      <c r="W58" s="477">
        <f>+S58+U58</f>
        <v>0</v>
      </c>
    </row>
    <row r="59" spans="1:23" ht="15.75" thickTop="1" x14ac:dyDescent="0.25">
      <c r="B59" t="s">
        <v>115</v>
      </c>
      <c r="C59" s="628">
        <f>SUM(C56:C58)</f>
        <v>0</v>
      </c>
      <c r="E59" s="357">
        <f>SUM(E56:E58)</f>
        <v>0</v>
      </c>
      <c r="G59" s="628">
        <f>SUM(G56:G58)</f>
        <v>0</v>
      </c>
      <c r="H59" s="628"/>
      <c r="K59" s="628">
        <f ca="1">SUM(K56:K58)</f>
        <v>0</v>
      </c>
      <c r="M59" s="357">
        <f>SUM(M56:M58)</f>
        <v>0</v>
      </c>
      <c r="O59" s="628">
        <f ca="1">SUM(O56:O58)</f>
        <v>0</v>
      </c>
      <c r="P59" s="628"/>
      <c r="Q59">
        <v>0</v>
      </c>
      <c r="S59" s="628">
        <f>SUM(S56:S58)</f>
        <v>0</v>
      </c>
      <c r="U59" s="357">
        <f>SUM(U56:U58)</f>
        <v>0</v>
      </c>
      <c r="W59" s="628">
        <f>SUM(W56:W58)</f>
        <v>0</v>
      </c>
    </row>
    <row r="60" spans="1:23" x14ac:dyDescent="0.25">
      <c r="Q60">
        <v>0</v>
      </c>
    </row>
  </sheetData>
  <sheetProtection algorithmName="SHA-512" hashValue="Ej2dq4FGaOUAXvfDz4ktJl3dXBYwLfvl9awHWxguYQzSdloCQnuas2HBJyp25tBUigGBWgOZvy5PfseZHcVtjg==" saltValue="83W9pMz0v1FW5lwED9IEew==" spinCount="100000" sheet="1" objects="1" scenarios="1"/>
  <protectedRanges>
    <protectedRange algorithmName="SHA-512" hashValue="xdkljRyjplpJdS239mk78821c2r1xL+47DnzTgOa6ORlLuaXTFSwW5fT/Diwqas5ke1aC6iyLHtH44qBQgwwkA==" saltValue="7eWK4mSca2PhHjwcPoMHJw==" spinCount="100000" sqref="C25:Q28" name="Supervisor_Hours Entry"/>
    <protectedRange algorithmName="SHA-512" hashValue="17zb5Rovc2LJ6cwr9Uut0rFptiq64e9eJqCKEJ62PWm8AgaJZ9jb1EqOW9QXAYVgGjlVNfvpoOvAUqKmhqG4Fw==" saltValue="RIhhaCYN64/Ki0VDucKYWg==" spinCount="100000" sqref="C12:Q15" name="RmAtt_Hours"/>
    <protectedRange algorithmName="SHA-512" hashValue="yxZ0JFlIlLH9cEeaYF1K5B4ekcCO3Yy8UnDAyhZdPdiJDsiONM7bUT+rlFe0zxcvBD59RiXCFyMZd2YiZs5AiA==" saltValue="Hc7DdqD74GnzDSNpuy4Asw==" spinCount="100000" sqref="L5:M6" name="NewMonthInput"/>
  </protectedRanges>
  <mergeCells count="35">
    <mergeCell ref="S51:U51"/>
    <mergeCell ref="C51:E51"/>
    <mergeCell ref="G5:K6"/>
    <mergeCell ref="L5:M6"/>
    <mergeCell ref="C36:G36"/>
    <mergeCell ref="C21:G21"/>
    <mergeCell ref="C8:G8"/>
    <mergeCell ref="K51:M51"/>
    <mergeCell ref="A12:B12"/>
    <mergeCell ref="A13:B13"/>
    <mergeCell ref="F1:S3"/>
    <mergeCell ref="G4:S4"/>
    <mergeCell ref="A30:B30"/>
    <mergeCell ref="A10:B10"/>
    <mergeCell ref="A15:B15"/>
    <mergeCell ref="A17:B17"/>
    <mergeCell ref="A25:B25"/>
    <mergeCell ref="A26:B26"/>
    <mergeCell ref="A28:B28"/>
    <mergeCell ref="Q54:W54"/>
    <mergeCell ref="A33:S33"/>
    <mergeCell ref="I8:M8"/>
    <mergeCell ref="I21:M21"/>
    <mergeCell ref="O21:S21"/>
    <mergeCell ref="O8:S8"/>
    <mergeCell ref="A34:W34"/>
    <mergeCell ref="I36:O36"/>
    <mergeCell ref="I54:O54"/>
    <mergeCell ref="Q36:W36"/>
    <mergeCell ref="A35:B37"/>
    <mergeCell ref="A53:B55"/>
    <mergeCell ref="C54:G54"/>
    <mergeCell ref="A23:B23"/>
    <mergeCell ref="A8:B9"/>
    <mergeCell ref="A21:B22"/>
  </mergeCells>
  <conditionalFormatting sqref="A34">
    <cfRule type="expression" dxfId="101" priority="95">
      <formula>$G$4="Sleep Inn"</formula>
    </cfRule>
    <cfRule type="expression" dxfId="100" priority="97">
      <formula>$G$4= "Holiday Inn Express"</formula>
    </cfRule>
    <cfRule type="expression" dxfId="99" priority="98">
      <formula>$G$4="Quality Inn"</formula>
    </cfRule>
  </conditionalFormatting>
  <conditionalFormatting sqref="C51:E51">
    <cfRule type="expression" dxfId="98" priority="5">
      <formula>$C$51-$G$50&lt;&gt;0</formula>
    </cfRule>
    <cfRule type="cellIs" dxfId="97" priority="9" operator="equal">
      <formula>$G$50</formula>
    </cfRule>
  </conditionalFormatting>
  <conditionalFormatting sqref="C19:M19 O19:S19 C32:M32 O32:S32 T33:V33">
    <cfRule type="containsText" dxfId="96" priority="13" operator="containsText" text="Balanced - nice job">
      <formula>NOT(ISERROR(SEARCH("Balanced - nice job",C19)))</formula>
    </cfRule>
    <cfRule type="containsText" dxfId="95" priority="14" operator="containsText" text="more than 3 Hours Missing On Worksheet">
      <formula>NOT(ISERROR(SEARCH("more than 3 Hours Missing On Worksheet",C19)))</formula>
    </cfRule>
  </conditionalFormatting>
  <conditionalFormatting sqref="G4">
    <cfRule type="containsText" dxfId="94" priority="31" operator="containsText" text="Quality Inn">
      <formula>NOT(ISERROR(SEARCH("Quality Inn",G4)))</formula>
    </cfRule>
    <cfRule type="containsText" dxfId="93" priority="32" operator="containsText" text="Sleep Inn">
      <formula>NOT(ISERROR(SEARCH("Sleep Inn",G4)))</formula>
    </cfRule>
    <cfRule type="containsText" dxfId="92" priority="33" operator="containsText" text="Holiday Inn Express">
      <formula>NOT(ISERROR(SEARCH("Holiday Inn Express",G4)))</formula>
    </cfRule>
    <cfRule type="cellIs" dxfId="91" priority="34" operator="equal">
      <formula>"""Quality Inn"""</formula>
    </cfRule>
  </conditionalFormatting>
  <conditionalFormatting sqref="K51">
    <cfRule type="expression" dxfId="90" priority="4">
      <formula>$K$51-$O$50&lt;&gt;0</formula>
    </cfRule>
  </conditionalFormatting>
  <conditionalFormatting sqref="K51:M51">
    <cfRule type="cellIs" dxfId="89" priority="7" operator="equal">
      <formula>$O$50</formula>
    </cfRule>
    <cfRule type="cellIs" dxfId="88" priority="8" operator="equal">
      <formula>$G$50</formula>
    </cfRule>
  </conditionalFormatting>
  <conditionalFormatting sqref="S51:U51">
    <cfRule type="cellIs" dxfId="87" priority="6" operator="equal">
      <formula>$W$50</formula>
    </cfRule>
  </conditionalFormatting>
  <conditionalFormatting sqref="Y59">
    <cfRule type="cellIs" dxfId="86" priority="10" operator="equal">
      <formula>$G$50</formula>
    </cfRule>
  </conditionalFormatting>
  <conditionalFormatting sqref="AD15">
    <cfRule type="cellIs" dxfId="85" priority="20" operator="equal">
      <formula>"""More than 5 Hours Missing On Worksheet"""</formula>
    </cfRule>
  </conditionalFormatting>
  <pageMargins left="0.25" right="0.25" top="0.5" bottom="0.5" header="0.3" footer="0.3"/>
  <pageSetup orientation="landscape" r:id="rId1"/>
  <drawing r:id="rId2"/>
  <legacy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D2E0CC-ACB0-44E1-9B6A-9933FD12EC5E}">
  <sheetPr codeName="Sheet4">
    <tabColor rgb="FFFF0000"/>
  </sheetPr>
  <dimension ref="A1:CD71"/>
  <sheetViews>
    <sheetView zoomScale="85" zoomScaleNormal="130" workbookViewId="0">
      <selection activeCell="T3" sqref="T3:Y18"/>
    </sheetView>
  </sheetViews>
  <sheetFormatPr defaultRowHeight="15" x14ac:dyDescent="0.25"/>
  <cols>
    <col min="1" max="1" width="17.42578125" customWidth="1"/>
    <col min="2" max="3" width="8.7109375" customWidth="1"/>
    <col min="4" max="4" width="0.85546875" customWidth="1"/>
    <col min="5" max="6" width="8.7109375" customWidth="1"/>
    <col min="7" max="7" width="1" customWidth="1"/>
    <col min="8" max="8" width="8.7109375" customWidth="1"/>
    <col min="9" max="9" width="8.28515625" customWidth="1"/>
    <col min="10" max="10" width="1" customWidth="1"/>
    <col min="11" max="11" width="8.7109375" customWidth="1"/>
    <col min="12" max="12" width="8.42578125" customWidth="1"/>
    <col min="13" max="14" width="1.140625" customWidth="1"/>
    <col min="15" max="15" width="8.7109375" customWidth="1"/>
    <col min="16" max="16" width="8.28515625" customWidth="1"/>
    <col min="17" max="17" width="3.140625" style="1" customWidth="1"/>
    <col min="18" max="31" width="8.7109375" customWidth="1"/>
    <col min="32" max="32" width="21.85546875" customWidth="1"/>
    <col min="33" max="33" width="1.42578125" customWidth="1"/>
    <col min="34" max="39" width="5.7109375" style="1" customWidth="1"/>
    <col min="40" max="40" width="6.28515625" style="1" customWidth="1"/>
    <col min="41" max="42" width="6.7109375" style="1" customWidth="1"/>
    <col min="43" max="46" width="5.7109375" style="1" customWidth="1"/>
    <col min="47" max="47" width="1.5703125" style="1" customWidth="1"/>
    <col min="48" max="52" width="5.7109375" style="1" customWidth="1"/>
    <col min="53" max="53" width="1.7109375" style="1" customWidth="1"/>
    <col min="54" max="58" width="5.7109375" style="1" customWidth="1"/>
    <col min="59" max="59" width="1.42578125" style="1" customWidth="1"/>
    <col min="60" max="64" width="5.7109375" style="1" customWidth="1"/>
    <col min="65" max="65" width="1.42578125" style="1" customWidth="1"/>
    <col min="66" max="70" width="5.7109375" style="1" customWidth="1"/>
    <col min="71" max="71" width="1.42578125" style="1" customWidth="1"/>
    <col min="72" max="76" width="5.7109375" style="1" customWidth="1"/>
    <col min="77" max="77" width="1.5703125" style="1" customWidth="1"/>
    <col min="78" max="82" width="5.7109375" style="1" customWidth="1"/>
    <col min="83" max="99" width="5.7109375" customWidth="1"/>
  </cols>
  <sheetData>
    <row r="1" spans="1:46" ht="15" customHeight="1" x14ac:dyDescent="0.25">
      <c r="A1" s="83"/>
      <c r="B1" s="21"/>
      <c r="C1" s="21"/>
      <c r="D1" s="21"/>
      <c r="E1" s="21"/>
      <c r="F1" s="21"/>
      <c r="G1" s="480"/>
      <c r="H1" s="921" t="s">
        <v>74</v>
      </c>
      <c r="I1" s="921"/>
      <c r="J1" s="921"/>
      <c r="K1" s="921"/>
      <c r="L1" s="921"/>
      <c r="M1" s="921"/>
      <c r="N1" s="921"/>
      <c r="O1" s="921"/>
      <c r="P1" s="922"/>
      <c r="Q1" s="320"/>
    </row>
    <row r="2" spans="1:46" ht="13.5" customHeight="1" thickBot="1" x14ac:dyDescent="0.3">
      <c r="A2" s="58"/>
      <c r="F2" s="320"/>
      <c r="G2" s="320"/>
      <c r="H2" s="931"/>
      <c r="I2" s="931"/>
      <c r="J2" s="931"/>
      <c r="K2" s="931"/>
      <c r="L2" s="931"/>
      <c r="M2" s="931"/>
      <c r="N2" s="931"/>
      <c r="O2" s="931"/>
      <c r="P2" s="932"/>
      <c r="Q2" s="320"/>
    </row>
    <row r="3" spans="1:46" ht="21" customHeight="1" thickBot="1" x14ac:dyDescent="0.4">
      <c r="A3" s="613"/>
      <c r="B3" s="2"/>
      <c r="C3" s="2"/>
      <c r="D3" s="2"/>
      <c r="E3" s="943"/>
      <c r="F3" s="943"/>
      <c r="G3" s="2"/>
      <c r="H3" s="923"/>
      <c r="I3" s="923"/>
      <c r="J3" s="923"/>
      <c r="K3" s="923"/>
      <c r="L3" s="923"/>
      <c r="M3" s="923"/>
      <c r="N3" s="923"/>
      <c r="O3" s="923"/>
      <c r="P3" s="924"/>
      <c r="Q3" s="320"/>
      <c r="T3" s="925" t="s">
        <v>75</v>
      </c>
      <c r="U3" s="926"/>
      <c r="V3" s="926"/>
      <c r="W3" s="926"/>
      <c r="X3" s="926"/>
      <c r="Y3" s="927"/>
    </row>
    <row r="4" spans="1:46" ht="21" customHeight="1" thickBot="1" x14ac:dyDescent="0.4">
      <c r="A4" s="587" t="str">
        <f>+'M1_1-15th'!A6</f>
        <v>April</v>
      </c>
      <c r="B4" s="587"/>
      <c r="C4" s="587"/>
      <c r="D4" s="587"/>
      <c r="E4" s="587"/>
      <c r="F4" s="587"/>
      <c r="G4" s="587"/>
      <c r="H4" s="587"/>
      <c r="I4" s="587"/>
      <c r="J4" s="587"/>
      <c r="K4" s="587"/>
      <c r="L4" s="587"/>
      <c r="M4" s="587"/>
      <c r="N4" s="587"/>
      <c r="O4" s="587"/>
      <c r="P4" s="588"/>
      <c r="Q4" s="320"/>
      <c r="T4" s="928" t="s">
        <v>76</v>
      </c>
      <c r="U4" s="929"/>
      <c r="V4" s="929"/>
      <c r="W4" s="929"/>
      <c r="X4" s="929"/>
      <c r="Y4" s="930"/>
    </row>
    <row r="5" spans="1:46" ht="20.25" customHeight="1" x14ac:dyDescent="0.25">
      <c r="A5" s="83"/>
      <c r="B5" s="941" t="s">
        <v>69</v>
      </c>
      <c r="C5" s="944"/>
      <c r="D5" s="21"/>
      <c r="E5" s="941" t="s">
        <v>71</v>
      </c>
      <c r="F5" s="944"/>
      <c r="G5" s="21"/>
      <c r="H5" s="941" t="s">
        <v>72</v>
      </c>
      <c r="I5" s="944"/>
      <c r="J5" s="21"/>
      <c r="K5" s="941" t="s">
        <v>73</v>
      </c>
      <c r="L5" s="944"/>
      <c r="M5" s="21"/>
      <c r="N5" s="267"/>
      <c r="O5" s="941" t="s">
        <v>50</v>
      </c>
      <c r="P5" s="942"/>
      <c r="T5" s="58" t="s">
        <v>77</v>
      </c>
      <c r="Y5" s="24"/>
      <c r="AH5" s="540" t="s">
        <v>78</v>
      </c>
      <c r="AI5" s="540"/>
      <c r="AJ5" s="540"/>
      <c r="AK5" s="540"/>
      <c r="AL5" s="540"/>
      <c r="AM5" s="540"/>
      <c r="AN5" s="540"/>
      <c r="AO5" s="540"/>
      <c r="AP5" s="540"/>
      <c r="AQ5" s="540"/>
      <c r="AR5" s="540"/>
      <c r="AS5" s="540"/>
    </row>
    <row r="6" spans="1:46" x14ac:dyDescent="0.25">
      <c r="A6" s="58"/>
      <c r="B6" s="81" t="s">
        <v>79</v>
      </c>
      <c r="C6" s="82" t="s">
        <v>80</v>
      </c>
      <c r="E6" s="81" t="s">
        <v>81</v>
      </c>
      <c r="F6" s="82" t="s">
        <v>80</v>
      </c>
      <c r="H6" s="81" t="s">
        <v>81</v>
      </c>
      <c r="I6" s="82" t="s">
        <v>80</v>
      </c>
      <c r="K6" s="81" t="s">
        <v>81</v>
      </c>
      <c r="L6" s="82" t="s">
        <v>80</v>
      </c>
      <c r="N6" s="485"/>
      <c r="O6" s="81" t="s">
        <v>81</v>
      </c>
      <c r="P6" s="631" t="s">
        <v>80</v>
      </c>
      <c r="T6" s="58" t="s">
        <v>82</v>
      </c>
      <c r="Y6" s="24"/>
      <c r="AH6" s="1" t="s">
        <v>83</v>
      </c>
      <c r="AI6" s="1" t="s">
        <v>84</v>
      </c>
      <c r="AJ6" s="1" t="s">
        <v>85</v>
      </c>
      <c r="AK6" s="1" t="s">
        <v>86</v>
      </c>
      <c r="AL6" s="1" t="s">
        <v>87</v>
      </c>
      <c r="AM6" s="1" t="s">
        <v>88</v>
      </c>
      <c r="AN6" s="1" t="s">
        <v>89</v>
      </c>
      <c r="AO6" s="1" t="s">
        <v>90</v>
      </c>
      <c r="AP6" s="1" t="s">
        <v>91</v>
      </c>
      <c r="AQ6" s="1" t="s">
        <v>92</v>
      </c>
      <c r="AR6" s="1" t="s">
        <v>93</v>
      </c>
      <c r="AS6" s="1" t="s">
        <v>94</v>
      </c>
    </row>
    <row r="7" spans="1:46" s="110" customFormat="1" ht="24" customHeight="1" x14ac:dyDescent="0.25">
      <c r="A7" s="349">
        <f>+Setup_and_Criteria!N12</f>
        <v>0</v>
      </c>
      <c r="B7" s="465" t="e">
        <f>+SUMIF('M1_1-15th'!#REF!,$A7,'M1_1-15th'!#REF!)</f>
        <v>#REF!</v>
      </c>
      <c r="C7" s="337">
        <f>IFERROR(+SUMIF('M1_1-15th'!#REF!,$A7,'M1_1-15th'!#REF!),0)</f>
        <v>0</v>
      </c>
      <c r="D7" s="486"/>
      <c r="E7" s="465" t="e">
        <f>SUMIF('M1_1-15th'!#REF!,$A7,'M1_1-15th'!#REF!)</f>
        <v>#REF!</v>
      </c>
      <c r="F7" s="337">
        <f>IFERROR(SUMIF('M1_1-15th'!#REF!,A7,'M1_1-15th'!#REF!),0)</f>
        <v>0</v>
      </c>
      <c r="G7" s="486"/>
      <c r="H7" s="465" t="e">
        <f>+SUMIF('M1_1-15th'!#REF!,$A7,'M1_1-15th'!#REF!)</f>
        <v>#REF!</v>
      </c>
      <c r="I7" s="337">
        <f>IFERROR(SUMIF('M1_16-EOM'!#REF!,A7,'M1_16-EOM'!#REF!),0)</f>
        <v>0</v>
      </c>
      <c r="J7" s="486"/>
      <c r="K7" s="465" t="e">
        <f>+SUMIF('M1_1-15th'!#REF!,$A7,'M1_1-15th'!#REF!)</f>
        <v>#REF!</v>
      </c>
      <c r="L7" s="337">
        <f>IFERROR(SUMIF('M1_16-EOM'!#REF!,A7,'M1_16-EOM'!#REF!),0)</f>
        <v>0</v>
      </c>
      <c r="M7" s="486"/>
      <c r="N7" s="487" t="e">
        <f>COUNTIF(B7,"&gt;0")+COUNTIF(E7,"&gt;0")+COUNTIF(H7,"&gt;0")+COUNTIF(K7,"&gt;0")+COUNTIF(#REF!,"&gt;0")</f>
        <v>#REF!</v>
      </c>
      <c r="O7" s="465" t="e">
        <f>+B7+E7+H7+K7</f>
        <v>#REF!</v>
      </c>
      <c r="P7" s="338">
        <f>IFERROR(AVERAGE(C7,F7,I7,L7),0)</f>
        <v>0</v>
      </c>
      <c r="Q7" s="304"/>
      <c r="T7" s="596"/>
      <c r="Y7" s="597"/>
      <c r="AF7" s="105">
        <f t="shared" ref="AF7:AF18" si="0">+A7</f>
        <v>0</v>
      </c>
      <c r="AH7" s="534" t="e">
        <f t="shared" ref="AH7:AH18" si="1">+B7</f>
        <v>#REF!</v>
      </c>
      <c r="AI7" s="534" t="e">
        <f>+E7</f>
        <v>#REF!</v>
      </c>
      <c r="AJ7" s="534" t="e">
        <f>+H7</f>
        <v>#REF!</v>
      </c>
      <c r="AK7" s="534" t="e">
        <f>+K7</f>
        <v>#REF!</v>
      </c>
      <c r="AL7" s="181">
        <f>IFERROR(+B30,0)</f>
        <v>0</v>
      </c>
      <c r="AM7" s="181">
        <f>IFERROR(E30,0)</f>
        <v>0</v>
      </c>
      <c r="AN7" s="181">
        <f>IFERROR(H30,0)</f>
        <v>0</v>
      </c>
      <c r="AO7" s="181">
        <f>IFERROR(K30,0)</f>
        <v>0</v>
      </c>
      <c r="AP7" s="181" t="e">
        <f>+B55</f>
        <v>#REF!</v>
      </c>
      <c r="AQ7" s="181" t="e">
        <f>+E55</f>
        <v>#REF!</v>
      </c>
      <c r="AR7" s="181" t="e">
        <f>+H55</f>
        <v>#REF!</v>
      </c>
      <c r="AS7" s="181" t="e">
        <f>+K55</f>
        <v>#REF!</v>
      </c>
      <c r="AT7" s="181"/>
    </row>
    <row r="8" spans="1:46" s="117" customFormat="1" ht="24" customHeight="1" x14ac:dyDescent="0.25">
      <c r="A8" s="350">
        <f>+Setup_and_Criteria!N13</f>
        <v>0</v>
      </c>
      <c r="B8" s="466" t="e">
        <f>+SUMIF('M1_1-15th'!#REF!,$A8,'M1_1-15th'!#REF!)</f>
        <v>#REF!</v>
      </c>
      <c r="C8" s="339">
        <f>IFERROR(+SUMIF('M1_1-15th'!#REF!,$A8,'M1_1-15th'!#REF!),0)</f>
        <v>0</v>
      </c>
      <c r="D8" s="488"/>
      <c r="E8" s="465" t="e">
        <f>SUMIF('M1_1-15th'!#REF!,$A8,'M1_1-15th'!#REF!)</f>
        <v>#REF!</v>
      </c>
      <c r="F8" s="339">
        <f>IFERROR(SUMIF('M1_1-15th'!#REF!,A8,'M1_1-15th'!#REF!),0)</f>
        <v>0</v>
      </c>
      <c r="G8" s="488"/>
      <c r="H8" s="466" t="e">
        <f>+SUMIF('M1_1-15th'!#REF!,$A8,'M1_1-15th'!#REF!)</f>
        <v>#REF!</v>
      </c>
      <c r="I8" s="339">
        <f>IFERROR(SUMIF('M1_16-EOM'!A215:A215,A8,'M1_16-EOM'!Q215:Q215),0)</f>
        <v>0</v>
      </c>
      <c r="J8" s="488"/>
      <c r="K8" s="466" t="e">
        <f>+SUMIF('M1_1-15th'!#REF!,$A8,'M1_1-15th'!#REF!)</f>
        <v>#REF!</v>
      </c>
      <c r="L8" s="339">
        <f>IFERROR(SUMIF('M1_16-EOM'!A215:A215,A8,'M1_16-EOM'!AG215:AG215),0)</f>
        <v>0</v>
      </c>
      <c r="M8" s="488"/>
      <c r="N8" s="487" t="e">
        <f>COUNTIF(B8,"&gt;0")+COUNTIF(E8,"&gt;0")+COUNTIF(H8,"&gt;0")+COUNTIF(K8,"&gt;0")+COUNTIF(#REF!,"&gt;0")</f>
        <v>#REF!</v>
      </c>
      <c r="O8" s="465" t="e">
        <f t="shared" ref="O8:O18" si="2">+B8+E8+H8+K8</f>
        <v>#REF!</v>
      </c>
      <c r="P8" s="489">
        <f t="shared" ref="P8:P18" si="3">IFERROR(AVERAGE(C8,F8,I8,L8),0)</f>
        <v>0</v>
      </c>
      <c r="Q8" s="305"/>
      <c r="T8" s="598"/>
      <c r="Y8" s="599"/>
      <c r="AF8" s="105">
        <f t="shared" si="0"/>
        <v>0</v>
      </c>
      <c r="AH8" s="534" t="e">
        <f t="shared" si="1"/>
        <v>#REF!</v>
      </c>
      <c r="AI8" s="534" t="e">
        <f t="shared" ref="AI8:AI18" si="4">+E8</f>
        <v>#REF!</v>
      </c>
      <c r="AJ8" s="534" t="e">
        <f t="shared" ref="AJ8:AJ18" si="5">+H8</f>
        <v>#REF!</v>
      </c>
      <c r="AK8" s="534" t="e">
        <f t="shared" ref="AK8:AK18" si="6">+K8</f>
        <v>#REF!</v>
      </c>
      <c r="AL8" s="181">
        <f t="shared" ref="AL8:AL18" si="7">IFERROR(+B31,0)</f>
        <v>0</v>
      </c>
      <c r="AM8" s="181">
        <f t="shared" ref="AM8:AM18" si="8">IFERROR(E31,0)</f>
        <v>0</v>
      </c>
      <c r="AN8" s="181">
        <f t="shared" ref="AN8:AN18" si="9">IFERROR(H31,0)</f>
        <v>0</v>
      </c>
      <c r="AO8" s="181">
        <f t="shared" ref="AO8:AO18" si="10">IFERROR(K31,0)</f>
        <v>0</v>
      </c>
      <c r="AP8" s="181">
        <f t="shared" ref="AP8:AP17" si="11">IFERROR(+J31,0)</f>
        <v>0</v>
      </c>
      <c r="AQ8" s="181">
        <f t="shared" ref="AQ8:AQ17" si="12">IFERROR(M31,0)</f>
        <v>0</v>
      </c>
      <c r="AR8" s="181">
        <f t="shared" ref="AR8:AR17" si="13">IFERROR(P31,0)</f>
        <v>0</v>
      </c>
      <c r="AS8" s="181">
        <f>IFERROR(AF37,0)</f>
        <v>0</v>
      </c>
      <c r="AT8" s="181"/>
    </row>
    <row r="9" spans="1:46" s="210" customFormat="1" ht="24" customHeight="1" x14ac:dyDescent="0.25">
      <c r="A9" s="351">
        <f>+Setup_and_Criteria!N14</f>
        <v>0</v>
      </c>
      <c r="B9" s="467" t="e">
        <f>+SUMIF('M1_1-15th'!#REF!,$A9,'M1_1-15th'!#REF!)</f>
        <v>#REF!</v>
      </c>
      <c r="C9" s="340">
        <f>IFERROR(+SUMIF('M1_1-15th'!#REF!,$A9,'M1_1-15th'!#REF!),0)</f>
        <v>0</v>
      </c>
      <c r="D9" s="490"/>
      <c r="E9" s="465" t="e">
        <f>SUMIF('M1_1-15th'!#REF!,$A9,'M1_1-15th'!#REF!)</f>
        <v>#REF!</v>
      </c>
      <c r="F9" s="340">
        <f>IFERROR(SUMIF('M1_1-15th'!#REF!,A9,'M1_1-15th'!#REF!),0)</f>
        <v>0</v>
      </c>
      <c r="G9" s="490"/>
      <c r="H9" s="467" t="e">
        <f>+SUMIF('M1_1-15th'!#REF!,$A9,'M1_1-15th'!#REF!)</f>
        <v>#REF!</v>
      </c>
      <c r="I9" s="340">
        <f>IFERROR(SUMIF('M1_16-EOM'!A215:A216,A9,'M1_16-EOM'!Q215:Q216),0)</f>
        <v>0</v>
      </c>
      <c r="J9" s="490"/>
      <c r="K9" s="467" t="e">
        <f>+SUMIF('M1_1-15th'!#REF!,$A9,'M1_1-15th'!#REF!)</f>
        <v>#REF!</v>
      </c>
      <c r="L9" s="340">
        <f>IFERROR(SUMIF('M1_16-EOM'!A215:A216,A9,'M1_16-EOM'!AG215:AG216),0)</f>
        <v>0</v>
      </c>
      <c r="M9" s="490"/>
      <c r="N9" s="487" t="e">
        <f>COUNTIF(B9,"&gt;0")+COUNTIF(E9,"&gt;0")+COUNTIF(H9,"&gt;0")+COUNTIF(K9,"&gt;0")+COUNTIF(#REF!,"&gt;0")</f>
        <v>#REF!</v>
      </c>
      <c r="O9" s="465" t="e">
        <f t="shared" si="2"/>
        <v>#REF!</v>
      </c>
      <c r="P9" s="491">
        <f t="shared" si="3"/>
        <v>0</v>
      </c>
      <c r="Q9" s="306"/>
      <c r="T9" s="600" t="s">
        <v>95</v>
      </c>
      <c r="Y9" s="601"/>
      <c r="AF9" s="105">
        <f t="shared" si="0"/>
        <v>0</v>
      </c>
      <c r="AH9" s="534" t="e">
        <f t="shared" si="1"/>
        <v>#REF!</v>
      </c>
      <c r="AI9" s="534" t="e">
        <f t="shared" si="4"/>
        <v>#REF!</v>
      </c>
      <c r="AJ9" s="534" t="e">
        <f t="shared" si="5"/>
        <v>#REF!</v>
      </c>
      <c r="AK9" s="534" t="e">
        <f t="shared" si="6"/>
        <v>#REF!</v>
      </c>
      <c r="AL9" s="181">
        <f t="shared" si="7"/>
        <v>0</v>
      </c>
      <c r="AM9" s="181">
        <f t="shared" si="8"/>
        <v>0</v>
      </c>
      <c r="AN9" s="181">
        <f t="shared" si="9"/>
        <v>0</v>
      </c>
      <c r="AO9" s="181">
        <f t="shared" si="10"/>
        <v>0</v>
      </c>
      <c r="AP9" s="181">
        <f t="shared" si="11"/>
        <v>0</v>
      </c>
      <c r="AQ9" s="181">
        <f t="shared" si="12"/>
        <v>0</v>
      </c>
      <c r="AR9" s="181">
        <f t="shared" si="13"/>
        <v>0</v>
      </c>
      <c r="AS9" s="181">
        <f>IFERROR(AF38,0)</f>
        <v>0</v>
      </c>
      <c r="AT9" s="181"/>
    </row>
    <row r="10" spans="1:46" s="124" customFormat="1" ht="24" customHeight="1" x14ac:dyDescent="0.25">
      <c r="A10" s="351">
        <f>+Setup_and_Criteria!N15</f>
        <v>0</v>
      </c>
      <c r="B10" s="468" t="e">
        <f>+SUMIF('M1_1-15th'!#REF!,$A10,'M1_1-15th'!#REF!)</f>
        <v>#REF!</v>
      </c>
      <c r="C10" s="341">
        <f>IFERROR(+SUMIF('M1_1-15th'!#REF!,$A10,'M1_1-15th'!#REF!),0)</f>
        <v>0</v>
      </c>
      <c r="D10" s="492"/>
      <c r="E10" s="465" t="e">
        <f>SUMIF('M1_1-15th'!#REF!,$A10,'M1_1-15th'!#REF!)</f>
        <v>#REF!</v>
      </c>
      <c r="F10" s="341">
        <f>IFERROR(SUMIF('M1_1-15th'!$A$202:$A202,A10,'M1_1-15th'!#REF!),0)</f>
        <v>0</v>
      </c>
      <c r="G10" s="492"/>
      <c r="H10" s="468" t="e">
        <f>+SUMIF('M1_1-15th'!#REF!,$A10,'M1_1-15th'!#REF!)</f>
        <v>#REF!</v>
      </c>
      <c r="I10" s="341">
        <f>IFERROR(SUMIF('M1_16-EOM'!A215:A217,A10,'M1_16-EOM'!Q215:Q217),0)</f>
        <v>0</v>
      </c>
      <c r="J10" s="492"/>
      <c r="K10" s="468" t="e">
        <f>+SUMIF('M1_1-15th'!#REF!,$A10,'M1_1-15th'!#REF!)</f>
        <v>#REF!</v>
      </c>
      <c r="L10" s="341">
        <f>IFERROR(SUMIF('M1_16-EOM'!A215:A217,A10,'M1_16-EOM'!AG215:AG217),0)</f>
        <v>0</v>
      </c>
      <c r="M10" s="492"/>
      <c r="N10" s="487" t="e">
        <f>COUNTIF(B10,"&gt;0")+COUNTIF(E10,"&gt;0")+COUNTIF(H10,"&gt;0")+COUNTIF(K10,"&gt;0")+COUNTIF(#REF!,"&gt;0")</f>
        <v>#REF!</v>
      </c>
      <c r="O10" s="465" t="e">
        <f t="shared" si="2"/>
        <v>#REF!</v>
      </c>
      <c r="P10" s="493">
        <f t="shared" si="3"/>
        <v>0</v>
      </c>
      <c r="Q10" s="307"/>
      <c r="T10" s="602" t="s">
        <v>96</v>
      </c>
      <c r="Y10" s="603"/>
      <c r="AF10" s="105">
        <f t="shared" si="0"/>
        <v>0</v>
      </c>
      <c r="AH10" s="534" t="e">
        <f t="shared" si="1"/>
        <v>#REF!</v>
      </c>
      <c r="AI10" s="534" t="e">
        <f t="shared" si="4"/>
        <v>#REF!</v>
      </c>
      <c r="AJ10" s="534" t="e">
        <f t="shared" si="5"/>
        <v>#REF!</v>
      </c>
      <c r="AK10" s="534" t="e">
        <f t="shared" si="6"/>
        <v>#REF!</v>
      </c>
      <c r="AL10" s="181">
        <f t="shared" si="7"/>
        <v>0</v>
      </c>
      <c r="AM10" s="181">
        <f t="shared" si="8"/>
        <v>0</v>
      </c>
      <c r="AN10" s="181">
        <f t="shared" si="9"/>
        <v>0</v>
      </c>
      <c r="AO10" s="181">
        <f t="shared" si="10"/>
        <v>0</v>
      </c>
      <c r="AP10" s="181">
        <f t="shared" si="11"/>
        <v>0</v>
      </c>
      <c r="AQ10" s="181">
        <f t="shared" si="12"/>
        <v>0</v>
      </c>
      <c r="AR10" s="181">
        <f t="shared" si="13"/>
        <v>0</v>
      </c>
      <c r="AS10" s="181">
        <f>IFERROR(#REF!,0)</f>
        <v>0</v>
      </c>
      <c r="AT10" s="181"/>
    </row>
    <row r="11" spans="1:46" s="138" customFormat="1" ht="24" customHeight="1" x14ac:dyDescent="0.25">
      <c r="A11" s="351">
        <f>+Setup_and_Criteria!N16</f>
        <v>0</v>
      </c>
      <c r="B11" s="469" t="e">
        <f>+SUMIF('M1_1-15th'!#REF!,$A11,'M1_1-15th'!#REF!)</f>
        <v>#REF!</v>
      </c>
      <c r="C11" s="342">
        <f>IFERROR(+SUMIF('M1_1-15th'!#REF!,$A11,'M1_1-15th'!#REF!),0)</f>
        <v>0</v>
      </c>
      <c r="D11" s="494"/>
      <c r="E11" s="465" t="e">
        <f>SUMIF('M1_1-15th'!#REF!,$A11,'M1_1-15th'!#REF!)</f>
        <v>#REF!</v>
      </c>
      <c r="F11" s="342">
        <f>IFERROR(SUMIF('M1_1-15th'!$A$202:$A203,A11,'M1_1-15th'!#REF!),0)</f>
        <v>0</v>
      </c>
      <c r="G11" s="494"/>
      <c r="H11" s="469" t="e">
        <f>+SUMIF('M1_1-15th'!#REF!,$A11,'M1_1-15th'!#REF!)</f>
        <v>#REF!</v>
      </c>
      <c r="I11" s="342">
        <f>IFERROR(SUMIF('M1_16-EOM'!A215:A218,A11,'M1_16-EOM'!Q215:Q218),0)</f>
        <v>0</v>
      </c>
      <c r="J11" s="494"/>
      <c r="K11" s="469" t="e">
        <f>+SUMIF('M1_1-15th'!#REF!,$A11,'M1_1-15th'!#REF!)</f>
        <v>#REF!</v>
      </c>
      <c r="L11" s="342">
        <f>IFERROR(SUMIF('M1_16-EOM'!A215:A218,A11,'M1_16-EOM'!AG215:AG218),0)</f>
        <v>0</v>
      </c>
      <c r="M11" s="494"/>
      <c r="N11" s="487" t="e">
        <f>COUNTIF(B11,"&gt;0")+COUNTIF(E11,"&gt;0")+COUNTIF(H11,"&gt;0")+COUNTIF(K11,"&gt;0")+COUNTIF(#REF!,"&gt;0")</f>
        <v>#REF!</v>
      </c>
      <c r="O11" s="465" t="e">
        <f t="shared" si="2"/>
        <v>#REF!</v>
      </c>
      <c r="P11" s="495">
        <f t="shared" si="3"/>
        <v>0</v>
      </c>
      <c r="Q11" s="308"/>
      <c r="T11" s="604"/>
      <c r="Y11" s="605"/>
      <c r="AF11" s="105">
        <f t="shared" si="0"/>
        <v>0</v>
      </c>
      <c r="AH11" s="534" t="e">
        <f t="shared" si="1"/>
        <v>#REF!</v>
      </c>
      <c r="AI11" s="534" t="e">
        <f t="shared" si="4"/>
        <v>#REF!</v>
      </c>
      <c r="AJ11" s="534" t="e">
        <f t="shared" si="5"/>
        <v>#REF!</v>
      </c>
      <c r="AK11" s="534" t="e">
        <f t="shared" si="6"/>
        <v>#REF!</v>
      </c>
      <c r="AL11" s="181">
        <f t="shared" si="7"/>
        <v>0</v>
      </c>
      <c r="AM11" s="181">
        <f t="shared" si="8"/>
        <v>0</v>
      </c>
      <c r="AN11" s="181">
        <f t="shared" si="9"/>
        <v>0</v>
      </c>
      <c r="AO11" s="181">
        <f t="shared" si="10"/>
        <v>0</v>
      </c>
      <c r="AP11" s="181">
        <f t="shared" si="11"/>
        <v>0</v>
      </c>
      <c r="AQ11" s="181">
        <f t="shared" si="12"/>
        <v>0</v>
      </c>
      <c r="AR11" s="181">
        <f t="shared" si="13"/>
        <v>0</v>
      </c>
      <c r="AS11" s="181">
        <f>IFERROR(#REF!,0)</f>
        <v>0</v>
      </c>
      <c r="AT11" s="181"/>
    </row>
    <row r="12" spans="1:46" s="153" customFormat="1" ht="24" customHeight="1" x14ac:dyDescent="0.25">
      <c r="A12" s="351">
        <f>+Setup_and_Criteria!N17</f>
        <v>0</v>
      </c>
      <c r="B12" s="470" t="e">
        <f>+SUMIF('M1_1-15th'!#REF!,$A12,'M1_1-15th'!#REF!)</f>
        <v>#REF!</v>
      </c>
      <c r="C12" s="343">
        <f>IFERROR(+SUMIF('M1_1-15th'!#REF!,$A12,'M1_1-15th'!#REF!),0)</f>
        <v>0</v>
      </c>
      <c r="D12" s="496"/>
      <c r="E12" s="465" t="e">
        <f>SUMIF('M1_1-15th'!#REF!,$A12,'M1_1-15th'!#REF!)</f>
        <v>#REF!</v>
      </c>
      <c r="F12" s="343">
        <f>IFERROR(SUMIF('M1_1-15th'!$A$202:$A204,A12,'M1_1-15th'!#REF!),0)</f>
        <v>0</v>
      </c>
      <c r="G12" s="496"/>
      <c r="H12" s="470" t="e">
        <f>+SUMIF('M1_1-15th'!#REF!,$A12,'M1_1-15th'!#REF!)</f>
        <v>#REF!</v>
      </c>
      <c r="I12" s="343">
        <f>IFERROR(SUMIF('M1_16-EOM'!A215:A219,A12,'M1_16-EOM'!Q215:Q219),0)</f>
        <v>0</v>
      </c>
      <c r="J12" s="496"/>
      <c r="K12" s="470" t="e">
        <f>+SUMIF('M1_1-15th'!#REF!,$A12,'M1_1-15th'!#REF!)</f>
        <v>#REF!</v>
      </c>
      <c r="L12" s="343">
        <f>IFERROR(SUMIF('M1_16-EOM'!A215:A219,A12,'M1_16-EOM'!AG215:AG219),0)</f>
        <v>0</v>
      </c>
      <c r="M12" s="496"/>
      <c r="N12" s="487" t="e">
        <f>COUNTIF(B12,"&gt;0")+COUNTIF(E12,"&gt;0")+COUNTIF(H12,"&gt;0")+COUNTIF(K12,"&gt;0")+COUNTIF(#REF!,"&gt;0")</f>
        <v>#REF!</v>
      </c>
      <c r="O12" s="465" t="e">
        <f t="shared" si="2"/>
        <v>#REF!</v>
      </c>
      <c r="P12" s="497">
        <f t="shared" si="3"/>
        <v>0</v>
      </c>
      <c r="Q12" s="309"/>
      <c r="T12" s="606"/>
      <c r="Y12" s="607"/>
      <c r="AF12" s="105">
        <f t="shared" si="0"/>
        <v>0</v>
      </c>
      <c r="AH12" s="534" t="e">
        <f t="shared" si="1"/>
        <v>#REF!</v>
      </c>
      <c r="AI12" s="534" t="e">
        <f t="shared" si="4"/>
        <v>#REF!</v>
      </c>
      <c r="AJ12" s="534" t="e">
        <f t="shared" si="5"/>
        <v>#REF!</v>
      </c>
      <c r="AK12" s="534" t="e">
        <f t="shared" si="6"/>
        <v>#REF!</v>
      </c>
      <c r="AL12" s="181">
        <f t="shared" si="7"/>
        <v>0</v>
      </c>
      <c r="AM12" s="181">
        <f t="shared" si="8"/>
        <v>0</v>
      </c>
      <c r="AN12" s="181">
        <f t="shared" si="9"/>
        <v>0</v>
      </c>
      <c r="AO12" s="181">
        <f t="shared" si="10"/>
        <v>0</v>
      </c>
      <c r="AP12" s="181">
        <f t="shared" si="11"/>
        <v>0</v>
      </c>
      <c r="AQ12" s="181">
        <f t="shared" si="12"/>
        <v>0</v>
      </c>
      <c r="AR12" s="181">
        <f t="shared" si="13"/>
        <v>0</v>
      </c>
      <c r="AS12" s="181">
        <f>IFERROR(#REF!,0)</f>
        <v>0</v>
      </c>
      <c r="AT12" s="181"/>
    </row>
    <row r="13" spans="1:46" s="226" customFormat="1" ht="24" customHeight="1" x14ac:dyDescent="0.25">
      <c r="A13" s="351">
        <f>+Setup_and_Criteria!N18</f>
        <v>0</v>
      </c>
      <c r="B13" s="471" t="e">
        <f>+SUMIF('M1_1-15th'!#REF!,$A13,'M1_1-15th'!#REF!)</f>
        <v>#REF!</v>
      </c>
      <c r="C13" s="344">
        <f>IFERROR(+SUMIF('M1_1-15th'!#REF!,$A13,'M1_1-15th'!#REF!),0)</f>
        <v>0</v>
      </c>
      <c r="D13" s="498"/>
      <c r="E13" s="465" t="e">
        <f>SUMIF('M1_1-15th'!#REF!,$A13,'M1_1-15th'!#REF!)</f>
        <v>#REF!</v>
      </c>
      <c r="F13" s="344">
        <f>IFERROR(SUMIF('M1_1-15th'!$A$202:$A205,A13,'M1_1-15th'!#REF!),0)</f>
        <v>0</v>
      </c>
      <c r="G13" s="498"/>
      <c r="H13" s="471" t="e">
        <f>+SUMIF('M1_1-15th'!#REF!,$A13,'M1_1-15th'!#REF!)</f>
        <v>#REF!</v>
      </c>
      <c r="I13" s="344">
        <f>IFERROR(SUMIF('M1_16-EOM'!A215:A220,A13,'M1_16-EOM'!Q215:Q220),0)</f>
        <v>0</v>
      </c>
      <c r="J13" s="498"/>
      <c r="K13" s="471" t="e">
        <f>+SUMIF('M1_1-15th'!#REF!,$A13,'M1_1-15th'!#REF!)</f>
        <v>#REF!</v>
      </c>
      <c r="L13" s="344">
        <f>IFERROR(SUMIF('M1_16-EOM'!A215:A220,A13,'M1_16-EOM'!AG215:AG220),0)</f>
        <v>0</v>
      </c>
      <c r="M13" s="498"/>
      <c r="N13" s="487" t="e">
        <f>COUNTIF(B13,"&gt;0")+COUNTIF(E13,"&gt;0")+COUNTIF(H13,"&gt;0")+COUNTIF(K13,"&gt;0")+COUNTIF(#REF!,"&gt;0")</f>
        <v>#REF!</v>
      </c>
      <c r="O13" s="465" t="e">
        <f t="shared" si="2"/>
        <v>#REF!</v>
      </c>
      <c r="P13" s="499">
        <f t="shared" si="3"/>
        <v>0</v>
      </c>
      <c r="Q13" s="310"/>
      <c r="T13" s="608"/>
      <c r="Y13" s="609"/>
      <c r="AF13" s="105">
        <f t="shared" si="0"/>
        <v>0</v>
      </c>
      <c r="AH13" s="534" t="e">
        <f t="shared" si="1"/>
        <v>#REF!</v>
      </c>
      <c r="AI13" s="534" t="e">
        <f t="shared" si="4"/>
        <v>#REF!</v>
      </c>
      <c r="AJ13" s="534" t="e">
        <f t="shared" si="5"/>
        <v>#REF!</v>
      </c>
      <c r="AK13" s="534" t="e">
        <f t="shared" si="6"/>
        <v>#REF!</v>
      </c>
      <c r="AL13" s="181">
        <f t="shared" si="7"/>
        <v>0</v>
      </c>
      <c r="AM13" s="181">
        <f t="shared" si="8"/>
        <v>0</v>
      </c>
      <c r="AN13" s="181">
        <f t="shared" si="9"/>
        <v>0</v>
      </c>
      <c r="AO13" s="181">
        <f t="shared" si="10"/>
        <v>0</v>
      </c>
      <c r="AP13" s="181">
        <f t="shared" si="11"/>
        <v>0</v>
      </c>
      <c r="AQ13" s="181">
        <f t="shared" si="12"/>
        <v>0</v>
      </c>
      <c r="AR13" s="181">
        <f t="shared" si="13"/>
        <v>0</v>
      </c>
      <c r="AS13" s="181">
        <f>IFERROR(#REF!,0)</f>
        <v>0</v>
      </c>
      <c r="AT13" s="181"/>
    </row>
    <row r="14" spans="1:46" s="110" customFormat="1" ht="24" customHeight="1" x14ac:dyDescent="0.25">
      <c r="A14" s="351">
        <f>+Setup_and_Criteria!N19</f>
        <v>0</v>
      </c>
      <c r="B14" s="465" t="e">
        <f>+SUMIF('M1_1-15th'!#REF!,$A14,'M1_1-15th'!#REF!)</f>
        <v>#REF!</v>
      </c>
      <c r="C14" s="337">
        <f>IFERROR(+SUMIF('M1_1-15th'!#REF!,$A14,'M1_1-15th'!#REF!),0)</f>
        <v>0</v>
      </c>
      <c r="D14" s="486"/>
      <c r="E14" s="465" t="e">
        <f>SUMIF('M1_1-15th'!#REF!,$A14,'M1_1-15th'!#REF!)</f>
        <v>#REF!</v>
      </c>
      <c r="F14" s="337">
        <f>IFERROR(SUMIF('M1_1-15th'!$A$202:$A206,A14,'M1_1-15th'!#REF!),0)</f>
        <v>0</v>
      </c>
      <c r="G14" s="486"/>
      <c r="H14" s="465" t="e">
        <f>+SUMIF('M1_1-15th'!#REF!,$A14,'M1_1-15th'!#REF!)</f>
        <v>#REF!</v>
      </c>
      <c r="I14" s="337">
        <f>IFERROR(SUMIF('M1_16-EOM'!A215:A221,A14,'M1_16-EOM'!Q215:Q221),0)</f>
        <v>0</v>
      </c>
      <c r="J14" s="486"/>
      <c r="K14" s="465" t="e">
        <f>+SUMIF('M1_1-15th'!#REF!,$A14,'M1_1-15th'!#REF!)</f>
        <v>#REF!</v>
      </c>
      <c r="L14" s="337">
        <f>IFERROR(SUMIF('M1_16-EOM'!A215:A221,A14,'M1_16-EOM'!AG215:AG221),0)</f>
        <v>0</v>
      </c>
      <c r="M14" s="486"/>
      <c r="N14" s="487" t="e">
        <f>COUNTIF(B14,"&gt;0")+COUNTIF(E14,"&gt;0")+COUNTIF(H14,"&gt;0")+COUNTIF(K14,"&gt;0")+COUNTIF(#REF!,"&gt;0")</f>
        <v>#REF!</v>
      </c>
      <c r="O14" s="465" t="e">
        <f t="shared" si="2"/>
        <v>#REF!</v>
      </c>
      <c r="P14" s="338">
        <f t="shared" si="3"/>
        <v>0</v>
      </c>
      <c r="Q14" s="304"/>
      <c r="T14" s="933" t="s">
        <v>97</v>
      </c>
      <c r="U14" s="934"/>
      <c r="V14" s="934"/>
      <c r="W14" s="934"/>
      <c r="X14" s="934"/>
      <c r="Y14" s="597"/>
      <c r="AF14" s="105">
        <f t="shared" si="0"/>
        <v>0</v>
      </c>
      <c r="AH14" s="534" t="e">
        <f t="shared" si="1"/>
        <v>#REF!</v>
      </c>
      <c r="AI14" s="534" t="e">
        <f t="shared" si="4"/>
        <v>#REF!</v>
      </c>
      <c r="AJ14" s="534" t="e">
        <f t="shared" si="5"/>
        <v>#REF!</v>
      </c>
      <c r="AK14" s="534" t="e">
        <f t="shared" si="6"/>
        <v>#REF!</v>
      </c>
      <c r="AL14" s="181">
        <f t="shared" si="7"/>
        <v>0</v>
      </c>
      <c r="AM14" s="181">
        <f t="shared" si="8"/>
        <v>0</v>
      </c>
      <c r="AN14" s="181">
        <f t="shared" si="9"/>
        <v>0</v>
      </c>
      <c r="AO14" s="181">
        <f t="shared" si="10"/>
        <v>0</v>
      </c>
      <c r="AP14" s="181">
        <f t="shared" si="11"/>
        <v>0</v>
      </c>
      <c r="AQ14" s="181">
        <f t="shared" si="12"/>
        <v>0</v>
      </c>
      <c r="AR14" s="181">
        <f t="shared" si="13"/>
        <v>0</v>
      </c>
      <c r="AS14" s="181">
        <f>IFERROR(#REF!,0)</f>
        <v>0</v>
      </c>
      <c r="AT14" s="181"/>
    </row>
    <row r="15" spans="1:46" s="240" customFormat="1" ht="24" customHeight="1" x14ac:dyDescent="0.25">
      <c r="A15" s="351">
        <f>+Setup_and_Criteria!N20</f>
        <v>0</v>
      </c>
      <c r="B15" s="472" t="e">
        <f>+SUMIF('M1_1-15th'!#REF!,$A15,'M1_1-15th'!#REF!)</f>
        <v>#REF!</v>
      </c>
      <c r="C15" s="345">
        <f>IFERROR(+SUMIF('M1_1-15th'!#REF!,$A15,'M1_1-15th'!#REF!),0)</f>
        <v>0</v>
      </c>
      <c r="D15" s="500"/>
      <c r="E15" s="465" t="e">
        <f>SUMIF('M1_1-15th'!#REF!,$A15,'M1_1-15th'!#REF!)</f>
        <v>#REF!</v>
      </c>
      <c r="F15" s="345">
        <f>IFERROR(SUMIF('M1_1-15th'!$A$202:$A207,A15,'M1_1-15th'!#REF!),0)</f>
        <v>0</v>
      </c>
      <c r="G15" s="500"/>
      <c r="H15" s="472" t="e">
        <f>+SUMIF('M1_1-15th'!#REF!,$A15,'M1_1-15th'!#REF!)</f>
        <v>#REF!</v>
      </c>
      <c r="I15" s="345">
        <f>IFERROR(SUMIF('M1_16-EOM'!A215:A222,A15,'M1_16-EOM'!Q215:Q222),0)</f>
        <v>0</v>
      </c>
      <c r="J15" s="500"/>
      <c r="K15" s="472" t="e">
        <f>+SUMIF('M1_1-15th'!#REF!,$A15,'M1_1-15th'!#REF!)</f>
        <v>#REF!</v>
      </c>
      <c r="L15" s="345">
        <f>IFERROR(SUMIF('M1_16-EOM'!A215:A222,A15,'M1_16-EOM'!AG215:AG222),0)</f>
        <v>0</v>
      </c>
      <c r="M15" s="500"/>
      <c r="N15" s="487" t="e">
        <f>COUNTIF(B15,"&gt;0")+COUNTIF(E15,"&gt;0")+COUNTIF(H15,"&gt;0")+COUNTIF(K15,"&gt;0")+COUNTIF(#REF!,"&gt;0")</f>
        <v>#REF!</v>
      </c>
      <c r="O15" s="465" t="e">
        <f t="shared" si="2"/>
        <v>#REF!</v>
      </c>
      <c r="P15" s="501">
        <f t="shared" si="3"/>
        <v>0</v>
      </c>
      <c r="Q15" s="311"/>
      <c r="T15" s="933"/>
      <c r="U15" s="934"/>
      <c r="V15" s="934"/>
      <c r="W15" s="934"/>
      <c r="X15" s="934"/>
      <c r="Y15" s="610"/>
      <c r="AF15" s="105">
        <f t="shared" si="0"/>
        <v>0</v>
      </c>
      <c r="AH15" s="534" t="e">
        <f t="shared" si="1"/>
        <v>#REF!</v>
      </c>
      <c r="AI15" s="534" t="e">
        <f t="shared" si="4"/>
        <v>#REF!</v>
      </c>
      <c r="AJ15" s="534" t="e">
        <f t="shared" si="5"/>
        <v>#REF!</v>
      </c>
      <c r="AK15" s="534" t="e">
        <f t="shared" si="6"/>
        <v>#REF!</v>
      </c>
      <c r="AL15" s="181">
        <f t="shared" si="7"/>
        <v>0</v>
      </c>
      <c r="AM15" s="181">
        <f t="shared" si="8"/>
        <v>0</v>
      </c>
      <c r="AN15" s="181">
        <f t="shared" si="9"/>
        <v>0</v>
      </c>
      <c r="AO15" s="181">
        <f t="shared" si="10"/>
        <v>0</v>
      </c>
      <c r="AP15" s="181">
        <f t="shared" si="11"/>
        <v>0</v>
      </c>
      <c r="AQ15" s="181">
        <f t="shared" si="12"/>
        <v>0</v>
      </c>
      <c r="AR15" s="181">
        <f t="shared" si="13"/>
        <v>0</v>
      </c>
      <c r="AS15" s="181">
        <f>IFERROR(#REF!,0)</f>
        <v>0</v>
      </c>
      <c r="AT15" s="181"/>
    </row>
    <row r="16" spans="1:46" s="131" customFormat="1" ht="24" customHeight="1" x14ac:dyDescent="0.25">
      <c r="A16" s="351">
        <f>+Setup_and_Criteria!N21</f>
        <v>0</v>
      </c>
      <c r="B16" s="473" t="e">
        <f>+SUMIF('M1_1-15th'!#REF!,$A16,'M1_1-15th'!#REF!)</f>
        <v>#REF!</v>
      </c>
      <c r="C16" s="346">
        <f>IFERROR(+SUMIF('M1_1-15th'!#REF!,$A16,'M1_1-15th'!#REF!),0)</f>
        <v>0</v>
      </c>
      <c r="D16" s="502"/>
      <c r="E16" s="465" t="e">
        <f>SUMIF('M1_1-15th'!#REF!,$A16,'M1_1-15th'!#REF!)</f>
        <v>#REF!</v>
      </c>
      <c r="F16" s="346">
        <f>IFERROR(SUMIF('M1_1-15th'!$A$202:$A208,A16,'M1_1-15th'!#REF!),0)</f>
        <v>0</v>
      </c>
      <c r="G16" s="502"/>
      <c r="H16" s="473" t="e">
        <f>+SUMIF('M1_1-15th'!#REF!,$A16,'M1_1-15th'!#REF!)</f>
        <v>#REF!</v>
      </c>
      <c r="I16" s="346">
        <f>IFERROR(SUMIF('M1_16-EOM'!A215:A223,A16,'M1_16-EOM'!Q215:Q223),0)</f>
        <v>0</v>
      </c>
      <c r="J16" s="502"/>
      <c r="K16" s="473" t="e">
        <f>+SUMIF('M1_1-15th'!#REF!,$A16,'M1_1-15th'!#REF!)</f>
        <v>#REF!</v>
      </c>
      <c r="L16" s="346">
        <f>IFERROR(SUMIF('M1_16-EOM'!A215:A223,A16,'M1_16-EOM'!AG215:AG223),0)</f>
        <v>0</v>
      </c>
      <c r="M16" s="502"/>
      <c r="N16" s="487" t="e">
        <f>COUNTIF(B16,"&gt;0")+COUNTIF(E16,"&gt;0")+COUNTIF(H16,"&gt;0")+COUNTIF(K16,"&gt;0")+COUNTIF(#REF!,"&gt;0")</f>
        <v>#REF!</v>
      </c>
      <c r="O16" s="465" t="e">
        <f t="shared" si="2"/>
        <v>#REF!</v>
      </c>
      <c r="P16" s="503">
        <f t="shared" si="3"/>
        <v>0</v>
      </c>
      <c r="Q16" s="312"/>
      <c r="T16" s="611"/>
      <c r="Y16" s="612"/>
      <c r="AF16" s="105">
        <f t="shared" si="0"/>
        <v>0</v>
      </c>
      <c r="AH16" s="534" t="e">
        <f t="shared" si="1"/>
        <v>#REF!</v>
      </c>
      <c r="AI16" s="534" t="e">
        <f t="shared" si="4"/>
        <v>#REF!</v>
      </c>
      <c r="AJ16" s="534" t="e">
        <f t="shared" si="5"/>
        <v>#REF!</v>
      </c>
      <c r="AK16" s="534" t="e">
        <f t="shared" si="6"/>
        <v>#REF!</v>
      </c>
      <c r="AL16" s="181">
        <f t="shared" si="7"/>
        <v>0</v>
      </c>
      <c r="AM16" s="181">
        <f t="shared" si="8"/>
        <v>0</v>
      </c>
      <c r="AN16" s="181">
        <f t="shared" si="9"/>
        <v>0</v>
      </c>
      <c r="AO16" s="181">
        <f t="shared" si="10"/>
        <v>0</v>
      </c>
      <c r="AP16" s="181">
        <f t="shared" si="11"/>
        <v>0</v>
      </c>
      <c r="AQ16" s="181">
        <f t="shared" si="12"/>
        <v>0</v>
      </c>
      <c r="AR16" s="181">
        <f t="shared" si="13"/>
        <v>0</v>
      </c>
      <c r="AS16" s="181">
        <f>IFERROR(AF39,0)</f>
        <v>0</v>
      </c>
      <c r="AT16" s="181"/>
    </row>
    <row r="17" spans="1:46" s="146" customFormat="1" ht="24" customHeight="1" x14ac:dyDescent="0.25">
      <c r="A17" s="351">
        <f>+Setup_and_Criteria!N22</f>
        <v>0</v>
      </c>
      <c r="B17" s="474" t="e">
        <f>+SUMIF('M1_1-15th'!#REF!,$A17,'M1_1-15th'!#REF!)</f>
        <v>#REF!</v>
      </c>
      <c r="C17" s="347">
        <f>IFERROR(+SUMIF('M1_1-15th'!#REF!,$A17,'M1_1-15th'!#REF!),0)</f>
        <v>0</v>
      </c>
      <c r="D17" s="504"/>
      <c r="E17" s="465" t="e">
        <f>SUMIF('M1_1-15th'!#REF!,$A17,'M1_1-15th'!#REF!)</f>
        <v>#REF!</v>
      </c>
      <c r="F17" s="347">
        <f>IFERROR(SUMIF('M1_1-15th'!$A$202:$A209,A17,'M1_1-15th'!#REF!),0)</f>
        <v>0</v>
      </c>
      <c r="G17" s="504"/>
      <c r="H17" s="474" t="e">
        <f>+SUMIF('M1_1-15th'!#REF!,$A17,'M1_1-15th'!#REF!)</f>
        <v>#REF!</v>
      </c>
      <c r="I17" s="347">
        <f>IFERROR(SUMIF('M1_16-EOM'!A215:A224,A17,'M1_16-EOM'!Q215:Q224),0)</f>
        <v>0</v>
      </c>
      <c r="J17" s="504"/>
      <c r="K17" s="474" t="e">
        <f>+SUMIF('M1_1-15th'!#REF!,$A17,'M1_1-15th'!#REF!)</f>
        <v>#REF!</v>
      </c>
      <c r="L17" s="347">
        <f>IFERROR(SUMIF('M1_16-EOM'!A215:A224,A17,'M1_16-EOM'!AG215:AG224),0)</f>
        <v>0</v>
      </c>
      <c r="M17" s="504"/>
      <c r="N17" s="487" t="e">
        <f>COUNTIF(B17,"&gt;0")+COUNTIF(E17,"&gt;0")+COUNTIF(H17,"&gt;0")+COUNTIF(K17,"&gt;0")+COUNTIF(#REF!,"&gt;0")</f>
        <v>#REF!</v>
      </c>
      <c r="O17" s="465" t="e">
        <f t="shared" si="2"/>
        <v>#REF!</v>
      </c>
      <c r="P17" s="505">
        <f t="shared" si="3"/>
        <v>0</v>
      </c>
      <c r="Q17" s="313"/>
      <c r="T17" s="935" t="s">
        <v>98</v>
      </c>
      <c r="U17" s="936"/>
      <c r="V17" s="936"/>
      <c r="W17" s="936"/>
      <c r="X17" s="936"/>
      <c r="Y17" s="937"/>
      <c r="AF17" s="105">
        <f t="shared" si="0"/>
        <v>0</v>
      </c>
      <c r="AH17" s="534" t="e">
        <f t="shared" si="1"/>
        <v>#REF!</v>
      </c>
      <c r="AI17" s="534" t="e">
        <f t="shared" si="4"/>
        <v>#REF!</v>
      </c>
      <c r="AJ17" s="534" t="e">
        <f t="shared" si="5"/>
        <v>#REF!</v>
      </c>
      <c r="AK17" s="534" t="e">
        <f t="shared" si="6"/>
        <v>#REF!</v>
      </c>
      <c r="AL17" s="181">
        <f t="shared" si="7"/>
        <v>0</v>
      </c>
      <c r="AM17" s="181">
        <f t="shared" si="8"/>
        <v>0</v>
      </c>
      <c r="AN17" s="181">
        <f t="shared" si="9"/>
        <v>0</v>
      </c>
      <c r="AO17" s="181">
        <f t="shared" si="10"/>
        <v>0</v>
      </c>
      <c r="AP17" s="181">
        <f t="shared" si="11"/>
        <v>0</v>
      </c>
      <c r="AQ17" s="181">
        <f t="shared" si="12"/>
        <v>0</v>
      </c>
      <c r="AR17" s="181">
        <f t="shared" si="13"/>
        <v>0</v>
      </c>
      <c r="AS17" s="181">
        <f>IFERROR(AF40,0)</f>
        <v>0</v>
      </c>
      <c r="AT17" s="181"/>
    </row>
    <row r="18" spans="1:46" s="255" customFormat="1" ht="24" customHeight="1" thickBot="1" x14ac:dyDescent="0.3">
      <c r="A18" s="351">
        <f>+Setup_and_Criteria!N23</f>
        <v>0</v>
      </c>
      <c r="B18" s="475" t="e">
        <f>+SUMIF('M1_1-15th'!#REF!,$A18,'M1_1-15th'!#REF!)</f>
        <v>#REF!</v>
      </c>
      <c r="C18" s="348">
        <f>IFERROR(+SUMIF('M1_1-15th'!#REF!,$A18,'M1_1-15th'!#REF!),0)</f>
        <v>0</v>
      </c>
      <c r="D18" s="506"/>
      <c r="E18" s="465" t="e">
        <f>SUMIF('M1_1-15th'!#REF!,$A18,'M1_1-15th'!#REF!)</f>
        <v>#REF!</v>
      </c>
      <c r="F18" s="348">
        <f>IFERROR(SUMIF('M1_1-15th'!$A$202:$A210,A18,'M1_1-15th'!#REF!),0)</f>
        <v>0</v>
      </c>
      <c r="G18" s="506"/>
      <c r="H18" s="475" t="e">
        <f>+SUMIF('M1_1-15th'!#REF!,$A18,'M1_1-15th'!#REF!)</f>
        <v>#REF!</v>
      </c>
      <c r="I18" s="348">
        <f>IFERROR(SUMIF('M1_16-EOM'!A215:A225,A18,'M1_16-EOM'!Q215:Q225),0)</f>
        <v>0</v>
      </c>
      <c r="J18" s="506"/>
      <c r="K18" s="475" t="e">
        <f>+SUMIF('M1_1-15th'!#REF!,$A18,'M1_1-15th'!#REF!)</f>
        <v>#REF!</v>
      </c>
      <c r="L18" s="348">
        <f>IFERROR(SUMIF('M1_16-EOM'!A215:A225,A18,'M1_16-EOM'!AG215:AG225),0)</f>
        <v>0</v>
      </c>
      <c r="M18" s="506"/>
      <c r="N18" s="487" t="e">
        <f>COUNTIF(B18,"&gt;0")+COUNTIF(E18,"&gt;0")+COUNTIF(H18,"&gt;0")+COUNTIF(K18,"&gt;0")+COUNTIF(#REF!,"&gt;0")</f>
        <v>#REF!</v>
      </c>
      <c r="O18" s="465" t="e">
        <f t="shared" si="2"/>
        <v>#REF!</v>
      </c>
      <c r="P18" s="507">
        <f t="shared" si="3"/>
        <v>0</v>
      </c>
      <c r="Q18" s="314"/>
      <c r="T18" s="938"/>
      <c r="U18" s="939"/>
      <c r="V18" s="939"/>
      <c r="W18" s="939"/>
      <c r="X18" s="939"/>
      <c r="Y18" s="940"/>
      <c r="AF18" s="105">
        <f t="shared" si="0"/>
        <v>0</v>
      </c>
      <c r="AH18" s="534" t="e">
        <f t="shared" si="1"/>
        <v>#REF!</v>
      </c>
      <c r="AI18" s="534" t="e">
        <f t="shared" si="4"/>
        <v>#REF!</v>
      </c>
      <c r="AJ18" s="534" t="e">
        <f t="shared" si="5"/>
        <v>#REF!</v>
      </c>
      <c r="AK18" s="534" t="e">
        <f t="shared" si="6"/>
        <v>#REF!</v>
      </c>
      <c r="AL18" s="181">
        <f t="shared" si="7"/>
        <v>0</v>
      </c>
      <c r="AM18" s="181">
        <f t="shared" si="8"/>
        <v>0</v>
      </c>
      <c r="AN18" s="181">
        <f t="shared" si="9"/>
        <v>0</v>
      </c>
      <c r="AO18" s="181">
        <f t="shared" si="10"/>
        <v>0</v>
      </c>
      <c r="AP18" s="181">
        <f>IFERROR(+J41,0)</f>
        <v>0</v>
      </c>
      <c r="AQ18" s="181">
        <f>IFERROR(M41,0)</f>
        <v>0</v>
      </c>
      <c r="AR18" s="181">
        <f>IFERROR(P41,0)</f>
        <v>0</v>
      </c>
      <c r="AS18" s="181">
        <f>IFERROR(AF41,0)</f>
        <v>0</v>
      </c>
      <c r="AT18" s="181"/>
    </row>
    <row r="19" spans="1:46" ht="3" customHeight="1" x14ac:dyDescent="0.25">
      <c r="A19" s="84"/>
      <c r="B19" s="85"/>
      <c r="C19" s="86"/>
      <c r="D19" s="508"/>
      <c r="E19" s="85"/>
      <c r="F19" s="86"/>
      <c r="G19" s="508"/>
      <c r="H19" s="85"/>
      <c r="I19" s="86"/>
      <c r="J19" s="508"/>
      <c r="K19" s="85"/>
      <c r="L19" s="86"/>
      <c r="M19" s="508"/>
      <c r="N19" s="509"/>
      <c r="O19" s="85"/>
      <c r="P19" s="316"/>
      <c r="Q19" s="315"/>
      <c r="AF19" s="105"/>
      <c r="AH19" s="534"/>
      <c r="AI19" s="534"/>
      <c r="AJ19" s="534"/>
      <c r="AK19" s="534"/>
    </row>
    <row r="20" spans="1:46" s="158" customFormat="1" ht="24" customHeight="1" thickBot="1" x14ac:dyDescent="0.3">
      <c r="A20" s="482" t="s">
        <v>99</v>
      </c>
      <c r="B20" s="483" t="e">
        <f>SUM(B7:B19)</f>
        <v>#REF!</v>
      </c>
      <c r="C20" s="263">
        <f>IFERROR(AVERAGEIF(C7:C18,"&gt;0"),0)</f>
        <v>0</v>
      </c>
      <c r="D20" s="73"/>
      <c r="E20" s="483" t="e">
        <f>SUM(E7:E19)</f>
        <v>#REF!</v>
      </c>
      <c r="F20" s="263">
        <f>IFERROR(AVERAGEIF(F7:F18,"&gt;0"),0)</f>
        <v>0</v>
      </c>
      <c r="G20" s="73"/>
      <c r="H20" s="483" t="e">
        <f>SUM(H7:H19)</f>
        <v>#REF!</v>
      </c>
      <c r="I20" s="263">
        <f>IFERROR(AVERAGEIF(I7:I18,"&gt;0"),0)</f>
        <v>0</v>
      </c>
      <c r="J20" s="73"/>
      <c r="K20" s="483" t="e">
        <f>SUM(K7:K19)</f>
        <v>#REF!</v>
      </c>
      <c r="L20" s="263">
        <f>IFERROR(AVERAGEIF(L7:L18,"&gt;0"),0)</f>
        <v>0</v>
      </c>
      <c r="M20" s="73"/>
      <c r="N20" s="266" t="e">
        <f>COUNTIF(B20,"&gt;0")+COUNTIF(E20,"&gt;0")+COUNTIF(H20,"&gt;0")+COUNTIF(K20,"&gt;0")+COUNTIF(#REF!,"&gt;0")</f>
        <v>#REF!</v>
      </c>
      <c r="O20" s="483" t="e">
        <f>SUM(O7:O19)</f>
        <v>#REF!</v>
      </c>
      <c r="P20" s="510">
        <f>IFERROR(AVERAGEIF(P7:P18,"&gt;0"),0)</f>
        <v>0</v>
      </c>
      <c r="Q20" s="18"/>
    </row>
    <row r="21" spans="1:46" s="158" customFormat="1" ht="24" hidden="1" customHeight="1" thickBot="1" x14ac:dyDescent="0.3">
      <c r="A21" s="482"/>
      <c r="B21" s="17">
        <f>COUNTIF(B7:B19,"&gt;0")</f>
        <v>0</v>
      </c>
      <c r="C21" s="17">
        <f>COUNTIF(C7:C19,"&gt;0")</f>
        <v>0</v>
      </c>
      <c r="D21" s="5"/>
      <c r="E21" s="17">
        <f>COUNTIF(E7:E19,"&gt;0")</f>
        <v>0</v>
      </c>
      <c r="F21" s="17">
        <f>COUNTIF(F7:F19,"&gt;0")</f>
        <v>0</v>
      </c>
      <c r="G21" s="5"/>
      <c r="H21" s="17">
        <f>COUNTIF(H7:H19,"&gt;0")</f>
        <v>0</v>
      </c>
      <c r="I21" s="17">
        <f>COUNTIF(I7:I19,"&gt;0")</f>
        <v>0</v>
      </c>
      <c r="J21" s="5"/>
      <c r="K21" s="17">
        <f>COUNTIF(K7:K19,"&gt;0")</f>
        <v>0</v>
      </c>
      <c r="L21" s="17">
        <f>COUNTIF(L7:L19,"&gt;0")</f>
        <v>0</v>
      </c>
      <c r="M21" s="5"/>
      <c r="N21" s="5"/>
      <c r="O21" s="17">
        <f>COUNTIF(O7:O19,"&gt;0")</f>
        <v>0</v>
      </c>
      <c r="P21" s="513">
        <f>COUNTIF(P7:P19,"&gt;0")</f>
        <v>0</v>
      </c>
      <c r="Q21" s="17">
        <f>COUNTIF(Q7:Q19,"&gt;0")</f>
        <v>0</v>
      </c>
    </row>
    <row r="22" spans="1:46" s="158" customFormat="1" ht="24" customHeight="1" x14ac:dyDescent="0.25">
      <c r="A22" s="482" t="s">
        <v>100</v>
      </c>
      <c r="B22" s="918" t="e">
        <f>+B20/60</f>
        <v>#REF!</v>
      </c>
      <c r="C22" s="918"/>
      <c r="D22" s="5"/>
      <c r="E22" s="918" t="e">
        <f>+E20/60</f>
        <v>#REF!</v>
      </c>
      <c r="F22" s="918"/>
      <c r="G22" s="5"/>
      <c r="H22" s="918" t="e">
        <f>+H20/60</f>
        <v>#REF!</v>
      </c>
      <c r="I22" s="918"/>
      <c r="J22" s="5"/>
      <c r="K22" s="918" t="e">
        <f>+K20/60</f>
        <v>#REF!</v>
      </c>
      <c r="L22" s="918"/>
      <c r="M22" s="5"/>
      <c r="N22" s="5"/>
      <c r="O22" s="918" t="e">
        <f>SUM(B22:L22)</f>
        <v>#REF!</v>
      </c>
      <c r="P22" s="919"/>
      <c r="Q22" s="17"/>
    </row>
    <row r="23" spans="1:46" ht="23.25" customHeight="1" thickBot="1" x14ac:dyDescent="0.3">
      <c r="A23" s="537" t="s">
        <v>101</v>
      </c>
      <c r="B23" s="920" t="e">
        <f>+(B20/60)*Setup_and_Criteria!$W$12</f>
        <v>#REF!</v>
      </c>
      <c r="C23" s="920"/>
      <c r="D23" s="514"/>
      <c r="E23" s="920" t="e">
        <f>+(E20/60)*Setup_and_Criteria!$W$12</f>
        <v>#REF!</v>
      </c>
      <c r="F23" s="920"/>
      <c r="G23" s="514"/>
      <c r="H23" s="920" t="e">
        <f>+(H20/60)*Setup_and_Criteria!$W$12</f>
        <v>#REF!</v>
      </c>
      <c r="I23" s="920"/>
      <c r="J23" s="515"/>
      <c r="K23" s="920" t="e">
        <f>+(K20/60)*Setup_and_Criteria!$W$12</f>
        <v>#REF!</v>
      </c>
      <c r="L23" s="920"/>
      <c r="M23" s="516"/>
      <c r="N23" s="945" t="e">
        <f>SUM(B23:M23)</f>
        <v>#REF!</v>
      </c>
      <c r="O23" s="945"/>
      <c r="P23" s="946"/>
      <c r="Q23" s="352"/>
    </row>
    <row r="24" spans="1:46" ht="15.75" customHeight="1" thickBot="1" x14ac:dyDescent="0.3">
      <c r="B24" s="318"/>
      <c r="C24" s="318"/>
      <c r="D24" s="318"/>
      <c r="E24" s="318"/>
      <c r="F24" s="318"/>
      <c r="G24" s="318"/>
      <c r="H24" s="318"/>
      <c r="I24" s="318"/>
      <c r="K24" s="478"/>
      <c r="L24" s="478"/>
      <c r="M24" s="478"/>
    </row>
    <row r="25" spans="1:46" ht="23.25" customHeight="1" x14ac:dyDescent="0.25">
      <c r="A25" s="83"/>
      <c r="B25" s="21"/>
      <c r="C25" s="21"/>
      <c r="D25" s="21"/>
      <c r="E25" s="21"/>
      <c r="F25" s="21"/>
      <c r="G25" s="480"/>
      <c r="H25" s="480"/>
      <c r="I25" s="921" t="s">
        <v>74</v>
      </c>
      <c r="J25" s="921"/>
      <c r="K25" s="921"/>
      <c r="L25" s="921"/>
      <c r="M25" s="921"/>
      <c r="N25" s="921"/>
      <c r="O25" s="921"/>
      <c r="P25" s="922"/>
      <c r="Q25" s="320"/>
      <c r="R25" s="320"/>
      <c r="S25" s="320"/>
      <c r="T25" s="320"/>
      <c r="U25" s="320"/>
      <c r="V25" s="320"/>
      <c r="W25" s="320"/>
      <c r="X25" s="320"/>
      <c r="Y25" s="320"/>
      <c r="Z25" s="320"/>
      <c r="AA25" s="320"/>
      <c r="AB25" s="320"/>
      <c r="AC25" s="320"/>
      <c r="AD25" s="320"/>
      <c r="AE25" s="320"/>
      <c r="AF25" s="158"/>
      <c r="AG25" s="158"/>
      <c r="AH25" s="540" t="s">
        <v>78</v>
      </c>
      <c r="AI25" s="540"/>
      <c r="AJ25" s="540"/>
      <c r="AK25" s="540"/>
      <c r="AL25" s="540"/>
      <c r="AM25" s="540"/>
      <c r="AN25" s="540"/>
      <c r="AO25" s="540"/>
      <c r="AP25" s="540"/>
      <c r="AQ25" s="540"/>
      <c r="AR25" s="540"/>
      <c r="AS25" s="540"/>
    </row>
    <row r="26" spans="1:46" ht="24.75" customHeight="1" thickBot="1" x14ac:dyDescent="0.3">
      <c r="A26" s="376"/>
      <c r="B26" s="2"/>
      <c r="C26" s="943"/>
      <c r="D26" s="943"/>
      <c r="E26" s="943"/>
      <c r="F26" s="947"/>
      <c r="G26" s="947"/>
      <c r="H26" s="947"/>
      <c r="I26" s="923"/>
      <c r="J26" s="923"/>
      <c r="K26" s="923"/>
      <c r="L26" s="923"/>
      <c r="M26" s="923"/>
      <c r="N26" s="923"/>
      <c r="O26" s="923"/>
      <c r="P26" s="924"/>
      <c r="Q26" s="320"/>
      <c r="R26" s="320"/>
      <c r="S26" s="320"/>
      <c r="T26" s="320"/>
      <c r="U26" s="320"/>
      <c r="V26" s="320"/>
      <c r="W26" s="320"/>
      <c r="X26" s="320"/>
      <c r="Y26" s="320"/>
      <c r="Z26" s="320"/>
      <c r="AA26" s="320"/>
      <c r="AB26" s="320"/>
      <c r="AC26" s="320"/>
      <c r="AD26" s="320"/>
      <c r="AE26" s="320"/>
      <c r="AF26" s="158"/>
      <c r="AG26" s="158"/>
      <c r="AH26" s="1" t="s">
        <v>83</v>
      </c>
      <c r="AI26" s="1" t="s">
        <v>84</v>
      </c>
      <c r="AJ26" s="1" t="s">
        <v>85</v>
      </c>
      <c r="AK26" s="1" t="s">
        <v>86</v>
      </c>
      <c r="AL26" s="1" t="s">
        <v>87</v>
      </c>
      <c r="AM26" s="1" t="s">
        <v>88</v>
      </c>
      <c r="AN26" s="1" t="s">
        <v>89</v>
      </c>
      <c r="AO26" s="1" t="s">
        <v>90</v>
      </c>
      <c r="AP26" s="1" t="s">
        <v>91</v>
      </c>
      <c r="AQ26" s="1" t="s">
        <v>92</v>
      </c>
      <c r="AR26" s="1" t="s">
        <v>93</v>
      </c>
      <c r="AS26" s="1" t="s">
        <v>94</v>
      </c>
    </row>
    <row r="27" spans="1:46" ht="25.5" customHeight="1" thickBot="1" x14ac:dyDescent="0.45">
      <c r="A27" s="591" t="str">
        <f>+'M2_1-15th'!A6</f>
        <v>May</v>
      </c>
      <c r="B27" s="589"/>
      <c r="C27" s="589"/>
      <c r="D27" s="589"/>
      <c r="E27" s="589"/>
      <c r="F27" s="589"/>
      <c r="G27" s="589"/>
      <c r="H27" s="589"/>
      <c r="I27" s="589"/>
      <c r="J27" s="589"/>
      <c r="K27" s="589"/>
      <c r="L27" s="589"/>
      <c r="M27" s="589"/>
      <c r="N27" s="589"/>
      <c r="O27" s="589"/>
      <c r="P27" s="590"/>
      <c r="AF27" s="105">
        <f>+Setup_and_Criteria!F1332</f>
        <v>0</v>
      </c>
      <c r="AG27" s="110"/>
      <c r="AH27" s="534" t="e">
        <f>+B23</f>
        <v>#REF!</v>
      </c>
      <c r="AI27" s="534" t="e">
        <f>+E23</f>
        <v>#REF!</v>
      </c>
      <c r="AJ27" s="534" t="e">
        <f>+H23</f>
        <v>#REF!</v>
      </c>
      <c r="AK27" s="534" t="e">
        <f>+K23</f>
        <v>#REF!</v>
      </c>
      <c r="AL27" s="181">
        <f>IFERROR(+B46,0)</f>
        <v>0</v>
      </c>
      <c r="AM27" s="181">
        <f>IFERROR(E46,0)</f>
        <v>0</v>
      </c>
      <c r="AN27" s="181">
        <f>IFERROR(H46,0)</f>
        <v>0</v>
      </c>
      <c r="AO27" s="181">
        <f>IFERROR(K46,0)</f>
        <v>0</v>
      </c>
      <c r="AP27" s="181">
        <f>+B71</f>
        <v>0</v>
      </c>
      <c r="AQ27" s="181">
        <f>+E71</f>
        <v>0</v>
      </c>
      <c r="AR27" s="181">
        <f>+H71</f>
        <v>0</v>
      </c>
      <c r="AS27" s="181">
        <f>+K71</f>
        <v>0</v>
      </c>
    </row>
    <row r="28" spans="1:46" ht="15.75" x14ac:dyDescent="0.25">
      <c r="A28" s="83"/>
      <c r="B28" s="941" t="s">
        <v>102</v>
      </c>
      <c r="C28" s="944"/>
      <c r="D28" s="21"/>
      <c r="E28" s="941" t="s">
        <v>103</v>
      </c>
      <c r="F28" s="944"/>
      <c r="G28" s="21"/>
      <c r="H28" s="941" t="s">
        <v>104</v>
      </c>
      <c r="I28" s="944"/>
      <c r="J28" s="21"/>
      <c r="K28" s="941" t="s">
        <v>105</v>
      </c>
      <c r="L28" s="944"/>
      <c r="M28" s="21"/>
      <c r="N28" s="267"/>
      <c r="O28" s="941" t="s">
        <v>106</v>
      </c>
      <c r="P28" s="942"/>
      <c r="AF28" s="105">
        <f>+A24</f>
        <v>0</v>
      </c>
      <c r="AG28" s="117"/>
      <c r="AH28" s="534">
        <f>+B24</f>
        <v>0</v>
      </c>
      <c r="AI28" s="534">
        <f>+E24</f>
        <v>0</v>
      </c>
      <c r="AJ28" s="534">
        <f>+H24</f>
        <v>0</v>
      </c>
      <c r="AK28" s="534">
        <f>+K24</f>
        <v>0</v>
      </c>
      <c r="AL28" s="181">
        <f>IFERROR(+B47,0)</f>
        <v>0</v>
      </c>
      <c r="AM28" s="181">
        <f>IFERROR(E47,0)</f>
        <v>0</v>
      </c>
      <c r="AN28" s="181">
        <f>IFERROR(H47,0)</f>
        <v>0</v>
      </c>
      <c r="AO28" s="181">
        <f>IFERROR(K47,0)</f>
        <v>0</v>
      </c>
      <c r="AP28" s="181">
        <f>IFERROR(+J47,0)</f>
        <v>0</v>
      </c>
      <c r="AQ28" s="181">
        <f>IFERROR(M47,0)</f>
        <v>0</v>
      </c>
      <c r="AR28" s="181">
        <f>IFERROR(P47,0)</f>
        <v>0</v>
      </c>
      <c r="AS28" s="181">
        <f>IFERROR(AF47,0)</f>
        <v>0</v>
      </c>
    </row>
    <row r="29" spans="1:46" ht="15.75" x14ac:dyDescent="0.25">
      <c r="A29" s="58"/>
      <c r="B29" s="81" t="s">
        <v>79</v>
      </c>
      <c r="C29" s="82" t="s">
        <v>80</v>
      </c>
      <c r="E29" s="81" t="s">
        <v>81</v>
      </c>
      <c r="F29" s="82" t="s">
        <v>80</v>
      </c>
      <c r="H29" s="81" t="s">
        <v>81</v>
      </c>
      <c r="I29" s="82" t="s">
        <v>80</v>
      </c>
      <c r="K29" s="81" t="s">
        <v>81</v>
      </c>
      <c r="L29" s="82" t="s">
        <v>80</v>
      </c>
      <c r="N29" s="485"/>
      <c r="O29" s="81" t="s">
        <v>81</v>
      </c>
      <c r="P29" s="631" t="s">
        <v>80</v>
      </c>
      <c r="AF29" s="105" t="e">
        <f>+#REF!</f>
        <v>#REF!</v>
      </c>
      <c r="AG29" s="210"/>
      <c r="AH29" s="534" t="e">
        <f>+#REF!</f>
        <v>#REF!</v>
      </c>
      <c r="AI29" s="534" t="e">
        <f>+#REF!</f>
        <v>#REF!</v>
      </c>
      <c r="AJ29" s="534" t="e">
        <f>+#REF!</f>
        <v>#REF!</v>
      </c>
      <c r="AK29" s="534" t="e">
        <f>+#REF!</f>
        <v>#REF!</v>
      </c>
      <c r="AL29" s="181">
        <f>IFERROR(+#REF!,0)</f>
        <v>0</v>
      </c>
      <c r="AM29" s="181">
        <f>IFERROR(#REF!,0)</f>
        <v>0</v>
      </c>
      <c r="AN29" s="181">
        <f>IFERROR(#REF!,0)</f>
        <v>0</v>
      </c>
      <c r="AO29" s="181">
        <f>IFERROR(#REF!,0)</f>
        <v>0</v>
      </c>
      <c r="AP29" s="181">
        <f>IFERROR(+#REF!,0)</f>
        <v>0</v>
      </c>
      <c r="AQ29" s="181">
        <f>IFERROR(#REF!,0)</f>
        <v>0</v>
      </c>
      <c r="AR29" s="181">
        <f>IFERROR(#REF!,0)</f>
        <v>0</v>
      </c>
      <c r="AS29" s="181">
        <f>IFERROR(#REF!,0)</f>
        <v>0</v>
      </c>
    </row>
    <row r="30" spans="1:46" ht="21" x14ac:dyDescent="0.25">
      <c r="A30" s="349">
        <f>+Setup_and_Criteria!O12</f>
        <v>0</v>
      </c>
      <c r="B30" s="465" t="e">
        <f>+SUMIF('M2_1-15th'!#REF!,$A30,'M2_1-15th'!#REF!)</f>
        <v>#REF!</v>
      </c>
      <c r="C30" s="337">
        <f>IFERROR(SUMIF('M2_1-15th'!#REF!,A30,'M2_1-15th'!#REF!),0)</f>
        <v>0</v>
      </c>
      <c r="D30" s="486"/>
      <c r="E30" s="465" t="e">
        <f>+SUMIF('M2_1-15th'!#REF!,$A30,'M2_1-15th'!#REF!)</f>
        <v>#REF!</v>
      </c>
      <c r="F30" s="337">
        <f>IFERROR(SUMIF('M2_1-15th'!#REF!,$A30,'M2_1-15th'!#REF!),0)</f>
        <v>0</v>
      </c>
      <c r="G30" s="486"/>
      <c r="H30" s="465" t="e">
        <f>SUMIF('M2_16-EOM'!#REF!,A30,'M2_16-EOM'!#REF!)</f>
        <v>#REF!</v>
      </c>
      <c r="I30" s="337">
        <f>IFERROR(SUMIF('M2_16-EOM'!#REF!,$A30,'M2_16-EOM'!#REF!),0)</f>
        <v>0</v>
      </c>
      <c r="J30" s="486"/>
      <c r="K30" s="336" t="e">
        <f>SUMIF('M2_16-EOM'!#REF!,$A30,'M2_16-EOM'!#REF!)</f>
        <v>#REF!</v>
      </c>
      <c r="L30" s="337">
        <f>IFERROR(SUMIF('M2_16-EOM'!#REF!,$A30,'M2_16-EOM'!#REF!),0)</f>
        <v>0</v>
      </c>
      <c r="M30" s="486"/>
      <c r="N30" s="487" t="e">
        <f>COUNTIF(B30,"&gt;0")+COUNTIF(E30,"&gt;0")+COUNTIF(H30,"&gt;0")+COUNTIF(K30,"&gt;0")+COUNTIF(#REF!,"&gt;0")</f>
        <v>#REF!</v>
      </c>
      <c r="O30" s="465" t="e">
        <f>+B30+E30+H30+K30</f>
        <v>#REF!</v>
      </c>
      <c r="P30" s="338">
        <f t="shared" ref="P30:P41" si="14">IFERROR(AVERAGE(C30,F30,I30,L30),0)</f>
        <v>0</v>
      </c>
      <c r="AF30" s="105">
        <f>+A25</f>
        <v>0</v>
      </c>
      <c r="AG30" s="124"/>
      <c r="AH30" s="534">
        <f>+B25</f>
        <v>0</v>
      </c>
      <c r="AI30" s="534">
        <f>+E25</f>
        <v>0</v>
      </c>
      <c r="AJ30" s="534">
        <f>+H25</f>
        <v>0</v>
      </c>
      <c r="AK30" s="534">
        <f>+K25</f>
        <v>0</v>
      </c>
      <c r="AL30" s="181">
        <f>IFERROR(+B48,0)</f>
        <v>0</v>
      </c>
      <c r="AM30" s="181">
        <f>IFERROR(E48,0)</f>
        <v>0</v>
      </c>
      <c r="AN30" s="181">
        <f>IFERROR(H48,0)</f>
        <v>0</v>
      </c>
      <c r="AO30" s="181">
        <f>IFERROR(K48,0)</f>
        <v>0</v>
      </c>
      <c r="AP30" s="181">
        <f>IFERROR(+J48,0)</f>
        <v>0</v>
      </c>
      <c r="AQ30" s="181">
        <f>IFERROR(M48,0)</f>
        <v>0</v>
      </c>
      <c r="AR30" s="181">
        <f>IFERROR(P48,0)</f>
        <v>0</v>
      </c>
      <c r="AS30" s="181">
        <f>IFERROR(AF48,0)</f>
        <v>0</v>
      </c>
    </row>
    <row r="31" spans="1:46" ht="21" x14ac:dyDescent="0.25">
      <c r="A31" s="349">
        <f>+Setup_and_Criteria!O13</f>
        <v>0</v>
      </c>
      <c r="B31" s="466" t="e">
        <f>+SUMIF('M2_1-15th'!#REF!,$A31,'M2_1-15th'!#REF!)</f>
        <v>#REF!</v>
      </c>
      <c r="C31" s="339">
        <f>IFERROR(SUMIF('M2_1-15th'!#REF!,A31,'M2_1-15th'!#REF!),0)</f>
        <v>0</v>
      </c>
      <c r="D31" s="488"/>
      <c r="E31" s="466" t="e">
        <f>+SUMIF('M2_1-15th'!#REF!,$A31,'M2_1-15th'!#REF!)</f>
        <v>#REF!</v>
      </c>
      <c r="F31" s="337">
        <f>IFERROR(SUMIF('M2_1-15th'!#REF!,$A31,'M2_1-15th'!#REF!),0)</f>
        <v>0</v>
      </c>
      <c r="G31" s="488"/>
      <c r="H31" s="466">
        <f>IFERROR(+'TeamMember 2'!E79,0)</f>
        <v>0</v>
      </c>
      <c r="I31" s="339">
        <f>IFERROR(SUMIF('M2_16-EOM'!#REF!,$A31,'M2_16-EOM'!#REF!),0)</f>
        <v>0</v>
      </c>
      <c r="J31" s="488"/>
      <c r="K31" s="466" t="e">
        <f>SUMIF('M2_16-EOM'!#REF!,$A31,'M2_16-EOM'!#REF!)</f>
        <v>#REF!</v>
      </c>
      <c r="L31" s="339">
        <f>IFERROR(SUMIF('M2_16-EOM'!#REF!,$A31,'M2_16-EOM'!#REF!),0)</f>
        <v>0</v>
      </c>
      <c r="M31" s="488"/>
      <c r="N31" s="487" t="e">
        <f>COUNTIF(B31,"&gt;0")+COUNTIF(E31,"&gt;0")+COUNTIF(H31,"&gt;0")+COUNTIF(K31,"&gt;0")+COUNTIF(#REF!,"&gt;0")</f>
        <v>#REF!</v>
      </c>
      <c r="O31" s="466" t="e">
        <f t="shared" ref="O31:O41" si="15">+B31+E31+H31+K31</f>
        <v>#REF!</v>
      </c>
      <c r="P31" s="489">
        <f t="shared" si="14"/>
        <v>0</v>
      </c>
      <c r="AF31" s="105">
        <f>+A26</f>
        <v>0</v>
      </c>
      <c r="AG31" s="138"/>
      <c r="AH31" s="534">
        <f>+B26</f>
        <v>0</v>
      </c>
      <c r="AI31" s="534">
        <f>+E26</f>
        <v>0</v>
      </c>
      <c r="AJ31" s="534">
        <f>+H26</f>
        <v>0</v>
      </c>
      <c r="AK31" s="534">
        <f>+K26</f>
        <v>0</v>
      </c>
      <c r="AL31" s="181">
        <f>IFERROR(+#REF!,0)</f>
        <v>0</v>
      </c>
      <c r="AM31" s="181">
        <f>IFERROR(#REF!,0)</f>
        <v>0</v>
      </c>
      <c r="AN31" s="181">
        <f>IFERROR(#REF!,0)</f>
        <v>0</v>
      </c>
      <c r="AO31" s="181">
        <f>IFERROR(#REF!,0)</f>
        <v>0</v>
      </c>
      <c r="AP31" s="181">
        <f>IFERROR(+#REF!,0)</f>
        <v>0</v>
      </c>
      <c r="AQ31" s="181">
        <f>IFERROR(#REF!,0)</f>
        <v>0</v>
      </c>
      <c r="AR31" s="181">
        <f>IFERROR(#REF!,0)</f>
        <v>0</v>
      </c>
      <c r="AS31" s="181">
        <f>IFERROR(#REF!,0)</f>
        <v>0</v>
      </c>
    </row>
    <row r="32" spans="1:46" ht="21" x14ac:dyDescent="0.25">
      <c r="A32" s="349">
        <f>+Setup_and_Criteria!O14</f>
        <v>0</v>
      </c>
      <c r="B32" s="467" t="e">
        <f>+SUMIF('M2_1-15th'!#REF!,$A32,'M2_1-15th'!#REF!)</f>
        <v>#REF!</v>
      </c>
      <c r="C32" s="340">
        <f>IFERROR(SUMIF('M2_1-15th'!#REF!,A32,'M2_1-15th'!#REF!),0)</f>
        <v>0</v>
      </c>
      <c r="D32" s="490"/>
      <c r="E32" s="467" t="e">
        <f>+SUMIF('M2_1-15th'!#REF!,$A32,'M2_1-15th'!#REF!)</f>
        <v>#REF!</v>
      </c>
      <c r="F32" s="337">
        <f>IFERROR(SUMIF('M2_1-15th'!#REF!,$A32,'M2_1-15th'!#REF!),0)</f>
        <v>0</v>
      </c>
      <c r="G32" s="490"/>
      <c r="H32" s="467">
        <f>IFERROR(+#REF!,0)</f>
        <v>0</v>
      </c>
      <c r="I32" s="340">
        <f>IFERROR(SUMIF('M2_16-EOM'!#REF!,$A32,'M2_16-EOM'!#REF!),0)</f>
        <v>0</v>
      </c>
      <c r="J32" s="490"/>
      <c r="K32" s="467" t="e">
        <f>SUMIF('M2_16-EOM'!#REF!,$A32,'M2_16-EOM'!#REF!)</f>
        <v>#REF!</v>
      </c>
      <c r="L32" s="340">
        <f>IFERROR(SUMIF('M2_16-EOM'!#REF!,$A32,'M2_16-EOM'!#REF!),0)</f>
        <v>0</v>
      </c>
      <c r="M32" s="490"/>
      <c r="N32" s="487" t="e">
        <f>COUNTIF(B32,"&gt;0")+COUNTIF(E32,"&gt;0")+COUNTIF(H32,"&gt;0")+COUNTIF(K32,"&gt;0")+COUNTIF(#REF!,"&gt;0")</f>
        <v>#REF!</v>
      </c>
      <c r="O32" s="467" t="e">
        <f t="shared" si="15"/>
        <v>#REF!</v>
      </c>
      <c r="P32" s="491">
        <f t="shared" si="14"/>
        <v>0</v>
      </c>
      <c r="AF32" s="105" t="e">
        <f>+#REF!</f>
        <v>#REF!</v>
      </c>
      <c r="AG32" s="153"/>
      <c r="AH32" s="534" t="e">
        <f>+#REF!</f>
        <v>#REF!</v>
      </c>
      <c r="AI32" s="534" t="e">
        <f>+#REF!</f>
        <v>#REF!</v>
      </c>
      <c r="AJ32" s="534" t="e">
        <f>+#REF!</f>
        <v>#REF!</v>
      </c>
      <c r="AK32" s="534" t="e">
        <f>+#REF!</f>
        <v>#REF!</v>
      </c>
      <c r="AL32" s="181">
        <f t="shared" ref="AL32:AL38" si="16">IFERROR(+B49,0)</f>
        <v>0</v>
      </c>
      <c r="AM32" s="181">
        <f t="shared" ref="AM32:AM38" si="17">IFERROR(E49,0)</f>
        <v>0</v>
      </c>
      <c r="AN32" s="181">
        <f t="shared" ref="AN32:AN38" si="18">IFERROR(H49,0)</f>
        <v>0</v>
      </c>
      <c r="AO32" s="181">
        <f t="shared" ref="AO32:AO38" si="19">IFERROR(K49,0)</f>
        <v>0</v>
      </c>
      <c r="AP32" s="181">
        <f t="shared" ref="AP32:AP38" si="20">IFERROR(+J49,0)</f>
        <v>0</v>
      </c>
      <c r="AQ32" s="181">
        <f t="shared" ref="AQ32:AQ38" si="21">IFERROR(M49,0)</f>
        <v>0</v>
      </c>
      <c r="AR32" s="181">
        <f t="shared" ref="AR32:AR38" si="22">IFERROR(P49,0)</f>
        <v>0</v>
      </c>
      <c r="AS32" s="181">
        <f t="shared" ref="AS32:AS38" si="23">IFERROR(AF49,0)</f>
        <v>0</v>
      </c>
    </row>
    <row r="33" spans="1:45" ht="21" x14ac:dyDescent="0.25">
      <c r="A33" s="349">
        <f>+Setup_and_Criteria!O15</f>
        <v>0</v>
      </c>
      <c r="B33" s="468" t="e">
        <f>+SUMIF('M2_1-15th'!#REF!,$A33,'M2_1-15th'!#REF!)</f>
        <v>#REF!</v>
      </c>
      <c r="C33" s="341">
        <f>IFERROR(SUMIF('M2_1-15th'!#REF!,A33,'M2_1-15th'!#REF!),0)</f>
        <v>0</v>
      </c>
      <c r="D33" s="492"/>
      <c r="E33" s="468" t="e">
        <f>+SUMIF('M2_1-15th'!#REF!,$A33,'M2_1-15th'!#REF!)</f>
        <v>#REF!</v>
      </c>
      <c r="F33" s="337">
        <f>IFERROR(SUMIF('M2_1-15th'!#REF!,$A33,'M2_1-15th'!#REF!),0)</f>
        <v>0</v>
      </c>
      <c r="G33" s="492"/>
      <c r="H33" s="468">
        <f>IFERROR(+#REF!,0)</f>
        <v>0</v>
      </c>
      <c r="I33" s="341">
        <f>IFERROR(SUMIF('M2_16-EOM'!#REF!,$A33,'M2_16-EOM'!#REF!),0)</f>
        <v>0</v>
      </c>
      <c r="J33" s="492"/>
      <c r="K33" s="468" t="e">
        <f>SUMIF('M2_16-EOM'!#REF!,$A33,'M2_16-EOM'!#REF!)</f>
        <v>#REF!</v>
      </c>
      <c r="L33" s="341">
        <f>IFERROR(SUMIF('M2_16-EOM'!#REF!,$A33,'M2_16-EOM'!#REF!),0)</f>
        <v>0</v>
      </c>
      <c r="M33" s="492"/>
      <c r="N33" s="487" t="e">
        <f>COUNTIF(B33,"&gt;0")+COUNTIF(E33,"&gt;0")+COUNTIF(H33,"&gt;0")+COUNTIF(K33,"&gt;0")+COUNTIF(#REF!,"&gt;0")</f>
        <v>#REF!</v>
      </c>
      <c r="O33" s="468" t="e">
        <f t="shared" si="15"/>
        <v>#REF!</v>
      </c>
      <c r="P33" s="493">
        <f t="shared" si="14"/>
        <v>0</v>
      </c>
      <c r="AF33" s="105" t="str">
        <f t="shared" ref="AF33:AF38" si="24">+A27</f>
        <v>May</v>
      </c>
      <c r="AG33" s="226"/>
      <c r="AH33" s="534">
        <f t="shared" ref="AH33:AH38" si="25">+B27</f>
        <v>0</v>
      </c>
      <c r="AI33" s="534">
        <f t="shared" ref="AI33:AI38" si="26">+E27</f>
        <v>0</v>
      </c>
      <c r="AJ33" s="534">
        <f t="shared" ref="AJ33:AJ38" si="27">+H27</f>
        <v>0</v>
      </c>
      <c r="AK33" s="534">
        <f t="shared" ref="AK33:AK38" si="28">+K27</f>
        <v>0</v>
      </c>
      <c r="AL33" s="181">
        <f t="shared" si="16"/>
        <v>0</v>
      </c>
      <c r="AM33" s="181">
        <f t="shared" si="17"/>
        <v>0</v>
      </c>
      <c r="AN33" s="181">
        <f t="shared" si="18"/>
        <v>0</v>
      </c>
      <c r="AO33" s="181">
        <f t="shared" si="19"/>
        <v>0</v>
      </c>
      <c r="AP33" s="181">
        <f t="shared" si="20"/>
        <v>0</v>
      </c>
      <c r="AQ33" s="181">
        <f t="shared" si="21"/>
        <v>0</v>
      </c>
      <c r="AR33" s="181">
        <f t="shared" si="22"/>
        <v>0</v>
      </c>
      <c r="AS33" s="181">
        <f t="shared" si="23"/>
        <v>0</v>
      </c>
    </row>
    <row r="34" spans="1:45" ht="21" x14ac:dyDescent="0.25">
      <c r="A34" s="349">
        <f>+Setup_and_Criteria!O16</f>
        <v>0</v>
      </c>
      <c r="B34" s="469" t="e">
        <f>+SUMIF('M2_1-15th'!#REF!,$A34,'M2_1-15th'!#REF!)</f>
        <v>#REF!</v>
      </c>
      <c r="C34" s="342">
        <f>IFERROR(SUMIF('M2_1-15th'!#REF!,A34,'M2_1-15th'!#REF!),0)</f>
        <v>0</v>
      </c>
      <c r="D34" s="494"/>
      <c r="E34" s="469" t="e">
        <f>+SUMIF('M2_1-15th'!#REF!,$A34,'M2_1-15th'!#REF!)</f>
        <v>#REF!</v>
      </c>
      <c r="F34" s="337">
        <f>IFERROR(SUMIF('M2_1-15th'!#REF!,$A34,'M2_1-15th'!#REF!),0)</f>
        <v>0</v>
      </c>
      <c r="G34" s="494"/>
      <c r="H34" s="469">
        <f>IFERROR(+#REF!,0)</f>
        <v>0</v>
      </c>
      <c r="I34" s="342">
        <f>IFERROR(SUMIF('M2_16-EOM'!#REF!,$A34,'M2_16-EOM'!#REF!),0)</f>
        <v>0</v>
      </c>
      <c r="J34" s="494"/>
      <c r="K34" s="469" t="e">
        <f>SUMIF('M2_16-EOM'!#REF!,$A34,'M2_16-EOM'!#REF!)</f>
        <v>#REF!</v>
      </c>
      <c r="L34" s="342">
        <f>IFERROR(SUMIF('M2_16-EOM'!#REF!,$A34,'M2_16-EOM'!#REF!),0)</f>
        <v>0</v>
      </c>
      <c r="M34" s="494"/>
      <c r="N34" s="487" t="e">
        <f>COUNTIF(B34,"&gt;0")+COUNTIF(E34,"&gt;0")+COUNTIF(H34,"&gt;0")+COUNTIF(K34,"&gt;0")+COUNTIF(#REF!,"&gt;0")</f>
        <v>#REF!</v>
      </c>
      <c r="O34" s="469" t="e">
        <f t="shared" si="15"/>
        <v>#REF!</v>
      </c>
      <c r="P34" s="495">
        <f t="shared" si="14"/>
        <v>0</v>
      </c>
      <c r="AF34" s="105">
        <f t="shared" si="24"/>
        <v>0</v>
      </c>
      <c r="AG34" s="110"/>
      <c r="AH34" s="534" t="str">
        <f t="shared" si="25"/>
        <v>Week 1 Ave</v>
      </c>
      <c r="AI34" s="534" t="str">
        <f t="shared" si="26"/>
        <v>Week 2 Ave</v>
      </c>
      <c r="AJ34" s="534" t="str">
        <f t="shared" si="27"/>
        <v>Week 3 Ave</v>
      </c>
      <c r="AK34" s="534" t="str">
        <f t="shared" si="28"/>
        <v>Week 4 Ave</v>
      </c>
      <c r="AL34" s="181">
        <f t="shared" si="16"/>
        <v>0</v>
      </c>
      <c r="AM34" s="181">
        <f t="shared" si="17"/>
        <v>0</v>
      </c>
      <c r="AN34" s="181">
        <f t="shared" si="18"/>
        <v>0</v>
      </c>
      <c r="AO34" s="181">
        <f t="shared" si="19"/>
        <v>0</v>
      </c>
      <c r="AP34" s="181">
        <f t="shared" si="20"/>
        <v>0</v>
      </c>
      <c r="AQ34" s="181">
        <f t="shared" si="21"/>
        <v>0</v>
      </c>
      <c r="AR34" s="181">
        <f t="shared" si="22"/>
        <v>0</v>
      </c>
      <c r="AS34" s="181">
        <f t="shared" si="23"/>
        <v>0</v>
      </c>
    </row>
    <row r="35" spans="1:45" ht="21" x14ac:dyDescent="0.25">
      <c r="A35" s="349">
        <f>+Setup_and_Criteria!O17</f>
        <v>0</v>
      </c>
      <c r="B35" s="470" t="e">
        <f>+SUMIF('M2_1-15th'!#REF!,$A35,'M2_1-15th'!#REF!)</f>
        <v>#REF!</v>
      </c>
      <c r="C35" s="343">
        <f>IFERROR(SUMIF('M2_1-15th'!#REF!,A35,'M2_1-15th'!#REF!),0)</f>
        <v>0</v>
      </c>
      <c r="D35" s="496"/>
      <c r="E35" s="470" t="e">
        <f>+SUMIF('M2_1-15th'!#REF!,$A35,'M2_1-15th'!#REF!)</f>
        <v>#REF!</v>
      </c>
      <c r="F35" s="337">
        <f>IFERROR(SUMIF('M2_1-15th'!#REF!,$A35,'M2_1-15th'!#REF!),0)</f>
        <v>0</v>
      </c>
      <c r="G35" s="496"/>
      <c r="H35" s="470">
        <f>IFERROR(+#REF!,0)</f>
        <v>0</v>
      </c>
      <c r="I35" s="343">
        <f>IFERROR(SUMIF('M2_16-EOM'!#REF!,$A35,'M2_16-EOM'!#REF!),0)</f>
        <v>0</v>
      </c>
      <c r="J35" s="496"/>
      <c r="K35" s="470" t="e">
        <f>SUMIF('M2_16-EOM'!#REF!,$A35,'M2_16-EOM'!#REF!)</f>
        <v>#REF!</v>
      </c>
      <c r="L35" s="343">
        <f>IFERROR(SUMIF('M2_16-EOM'!#REF!,$A35,'M2_16-EOM'!#REF!),0)</f>
        <v>0</v>
      </c>
      <c r="M35" s="496"/>
      <c r="N35" s="487" t="e">
        <f>COUNTIF(B35,"&gt;0")+COUNTIF(E35,"&gt;0")+COUNTIF(H35,"&gt;0")+COUNTIF(K35,"&gt;0")+COUNTIF(#REF!,"&gt;0")</f>
        <v>#REF!</v>
      </c>
      <c r="O35" s="470" t="e">
        <f t="shared" si="15"/>
        <v>#REF!</v>
      </c>
      <c r="P35" s="497">
        <f t="shared" si="14"/>
        <v>0</v>
      </c>
      <c r="AF35" s="105">
        <f t="shared" si="24"/>
        <v>0</v>
      </c>
      <c r="AG35" s="240"/>
      <c r="AH35" s="534" t="str">
        <f t="shared" si="25"/>
        <v>Min Var</v>
      </c>
      <c r="AI35" s="534" t="str">
        <f t="shared" si="26"/>
        <v>Min</v>
      </c>
      <c r="AJ35" s="534" t="str">
        <f t="shared" si="27"/>
        <v>Min</v>
      </c>
      <c r="AK35" s="534" t="str">
        <f t="shared" si="28"/>
        <v>Min</v>
      </c>
      <c r="AL35" s="181">
        <f t="shared" si="16"/>
        <v>0</v>
      </c>
      <c r="AM35" s="181">
        <f t="shared" si="17"/>
        <v>0</v>
      </c>
      <c r="AN35" s="181">
        <f t="shared" si="18"/>
        <v>0</v>
      </c>
      <c r="AO35" s="181">
        <f t="shared" si="19"/>
        <v>0</v>
      </c>
      <c r="AP35" s="181">
        <f t="shared" si="20"/>
        <v>0</v>
      </c>
      <c r="AQ35" s="181">
        <f t="shared" si="21"/>
        <v>0</v>
      </c>
      <c r="AR35" s="181">
        <f t="shared" si="22"/>
        <v>0</v>
      </c>
      <c r="AS35" s="181">
        <f t="shared" si="23"/>
        <v>0</v>
      </c>
    </row>
    <row r="36" spans="1:45" ht="21" x14ac:dyDescent="0.25">
      <c r="A36" s="349">
        <f>+Setup_and_Criteria!O18</f>
        <v>0</v>
      </c>
      <c r="B36" s="471" t="e">
        <f>+SUMIF('M2_1-15th'!#REF!,$A36,'M2_1-15th'!#REF!)</f>
        <v>#REF!</v>
      </c>
      <c r="C36" s="344">
        <f>IFERROR(SUMIF('M2_1-15th'!#REF!,A36,'M2_1-15th'!#REF!),0)</f>
        <v>0</v>
      </c>
      <c r="D36" s="498"/>
      <c r="E36" s="471" t="e">
        <f>+SUMIF('M2_1-15th'!#REF!,$A36,'M2_1-15th'!#REF!)</f>
        <v>#REF!</v>
      </c>
      <c r="F36" s="337">
        <f>IFERROR(SUMIF('M2_1-15th'!#REF!,$A36,'M2_1-15th'!#REF!),0)</f>
        <v>0</v>
      </c>
      <c r="G36" s="498"/>
      <c r="H36" s="471">
        <f>IFERROR(+#REF!,0)</f>
        <v>0</v>
      </c>
      <c r="I36" s="344">
        <f>IFERROR(SUMIF('M2_16-EOM'!#REF!,$A36,'M2_16-EOM'!#REF!),0)</f>
        <v>0</v>
      </c>
      <c r="J36" s="498"/>
      <c r="K36" s="471" t="e">
        <f>SUMIF('M2_16-EOM'!#REF!,$A36,'M2_16-EOM'!#REF!)</f>
        <v>#REF!</v>
      </c>
      <c r="L36" s="344">
        <f>IFERROR(SUMIF('M2_16-EOM'!#REF!,$A36,'M2_16-EOM'!#REF!),0)</f>
        <v>0</v>
      </c>
      <c r="M36" s="498"/>
      <c r="N36" s="487" t="e">
        <f>COUNTIF(B36,"&gt;0")+COUNTIF(E36,"&gt;0")+COUNTIF(H36,"&gt;0")+COUNTIF(K36,"&gt;0")+COUNTIF(#REF!,"&gt;0")</f>
        <v>#REF!</v>
      </c>
      <c r="O36" s="471" t="e">
        <f t="shared" si="15"/>
        <v>#REF!</v>
      </c>
      <c r="P36" s="499">
        <f t="shared" si="14"/>
        <v>0</v>
      </c>
      <c r="AF36" s="105">
        <f t="shared" si="24"/>
        <v>0</v>
      </c>
      <c r="AG36" s="131"/>
      <c r="AH36" s="534" t="e">
        <f t="shared" si="25"/>
        <v>#REF!</v>
      </c>
      <c r="AI36" s="534" t="e">
        <f t="shared" si="26"/>
        <v>#REF!</v>
      </c>
      <c r="AJ36" s="534" t="e">
        <f t="shared" si="27"/>
        <v>#REF!</v>
      </c>
      <c r="AK36" s="534" t="e">
        <f t="shared" si="28"/>
        <v>#REF!</v>
      </c>
      <c r="AL36" s="181" t="str">
        <f t="shared" si="16"/>
        <v>Week 1 Ave</v>
      </c>
      <c r="AM36" s="181" t="str">
        <f t="shared" si="17"/>
        <v>Week 2 Ave</v>
      </c>
      <c r="AN36" s="181" t="str">
        <f t="shared" si="18"/>
        <v>Week 3 Ave</v>
      </c>
      <c r="AO36" s="181" t="str">
        <f t="shared" si="19"/>
        <v>Week 4 Ave</v>
      </c>
      <c r="AP36" s="181">
        <f t="shared" si="20"/>
        <v>0</v>
      </c>
      <c r="AQ36" s="181">
        <f t="shared" si="21"/>
        <v>0</v>
      </c>
      <c r="AR36" s="181">
        <f t="shared" si="22"/>
        <v>0</v>
      </c>
      <c r="AS36" s="181">
        <f t="shared" si="23"/>
        <v>0</v>
      </c>
    </row>
    <row r="37" spans="1:45" ht="21" x14ac:dyDescent="0.25">
      <c r="A37" s="349">
        <f>+Setup_and_Criteria!O19</f>
        <v>0</v>
      </c>
      <c r="B37" s="465" t="e">
        <f>+SUMIF('M2_1-15th'!#REF!,$A37,'M2_1-15th'!#REF!)</f>
        <v>#REF!</v>
      </c>
      <c r="C37" s="337">
        <f>IFERROR(SUMIF('M2_1-15th'!#REF!,A37,'M2_1-15th'!#REF!),0)</f>
        <v>0</v>
      </c>
      <c r="D37" s="486"/>
      <c r="E37" s="465" t="e">
        <f>+SUMIF('M2_1-15th'!#REF!,$A37,'M2_1-15th'!#REF!)</f>
        <v>#REF!</v>
      </c>
      <c r="F37" s="337">
        <f>IFERROR(SUMIF('M2_1-15th'!#REF!,$A37,'M2_1-15th'!#REF!),0)</f>
        <v>0</v>
      </c>
      <c r="G37" s="486"/>
      <c r="H37" s="465">
        <f>IFERROR(+#REF!,0)</f>
        <v>0</v>
      </c>
      <c r="I37" s="337">
        <f>IFERROR(SUMIF('M2_16-EOM'!#REF!,$A37,'M2_16-EOM'!#REF!),0)</f>
        <v>0</v>
      </c>
      <c r="J37" s="486"/>
      <c r="K37" s="465" t="e">
        <f>SUMIF('M2_16-EOM'!#REF!,$A37,'M2_16-EOM'!#REF!)</f>
        <v>#REF!</v>
      </c>
      <c r="L37" s="337">
        <f>IFERROR(SUMIF('M2_16-EOM'!#REF!,$A37,'M2_16-EOM'!#REF!),0)</f>
        <v>0</v>
      </c>
      <c r="M37" s="486"/>
      <c r="N37" s="487" t="e">
        <f>COUNTIF(B37,"&gt;0")+COUNTIF(E37,"&gt;0")+COUNTIF(H37,"&gt;0")+COUNTIF(K37,"&gt;0")+COUNTIF(#REF!,"&gt;0")</f>
        <v>#REF!</v>
      </c>
      <c r="O37" s="465" t="e">
        <f t="shared" si="15"/>
        <v>#REF!</v>
      </c>
      <c r="P37" s="338">
        <f t="shared" si="14"/>
        <v>0</v>
      </c>
      <c r="AF37" s="105">
        <f t="shared" si="24"/>
        <v>0</v>
      </c>
      <c r="AG37" s="146"/>
      <c r="AH37" s="534" t="e">
        <f t="shared" si="25"/>
        <v>#REF!</v>
      </c>
      <c r="AI37" s="534" t="e">
        <f t="shared" si="26"/>
        <v>#REF!</v>
      </c>
      <c r="AJ37" s="534">
        <f t="shared" si="27"/>
        <v>0</v>
      </c>
      <c r="AK37" s="534" t="e">
        <f t="shared" si="28"/>
        <v>#REF!</v>
      </c>
      <c r="AL37" s="181" t="str">
        <f t="shared" si="16"/>
        <v>Min Var</v>
      </c>
      <c r="AM37" s="181" t="str">
        <f t="shared" si="17"/>
        <v>Min</v>
      </c>
      <c r="AN37" s="181" t="str">
        <f t="shared" si="18"/>
        <v>Min</v>
      </c>
      <c r="AO37" s="181" t="str">
        <f t="shared" si="19"/>
        <v>Min</v>
      </c>
      <c r="AP37" s="181">
        <f t="shared" si="20"/>
        <v>0</v>
      </c>
      <c r="AQ37" s="181">
        <f t="shared" si="21"/>
        <v>0</v>
      </c>
      <c r="AR37" s="181" t="str">
        <f t="shared" si="22"/>
        <v>Corr</v>
      </c>
      <c r="AS37" s="181">
        <f t="shared" si="23"/>
        <v>0</v>
      </c>
    </row>
    <row r="38" spans="1:45" ht="21" x14ac:dyDescent="0.25">
      <c r="A38" s="349">
        <f>+Setup_and_Criteria!O20</f>
        <v>0</v>
      </c>
      <c r="B38" s="472" t="e">
        <f>+SUMIF('M2_1-15th'!#REF!,$A38,'M2_1-15th'!#REF!)</f>
        <v>#REF!</v>
      </c>
      <c r="C38" s="345">
        <f>IFERROR(SUMIF('M2_1-15th'!#REF!,A38,'M2_1-15th'!#REF!),0)</f>
        <v>0</v>
      </c>
      <c r="D38" s="500"/>
      <c r="E38" s="472" t="e">
        <f>+SUMIF('M2_1-15th'!#REF!,$A38,'M2_1-15th'!#REF!)</f>
        <v>#REF!</v>
      </c>
      <c r="F38" s="337">
        <f>IFERROR(SUMIF('M2_1-15th'!#REF!,$A38,'M2_1-15th'!#REF!),0)</f>
        <v>0</v>
      </c>
      <c r="G38" s="500"/>
      <c r="H38" s="472">
        <f>IFERROR(+#REF!,0)</f>
        <v>0</v>
      </c>
      <c r="I38" s="345">
        <f>IFERROR(SUMIF('M2_16-EOM'!#REF!,$A38,'M2_16-EOM'!#REF!),0)</f>
        <v>0</v>
      </c>
      <c r="J38" s="500"/>
      <c r="K38" s="472" t="e">
        <f>SUMIF('M2_16-EOM'!#REF!,$A38,'M2_16-EOM'!#REF!)</f>
        <v>#REF!</v>
      </c>
      <c r="L38" s="345">
        <f>IFERROR(SUMIF('M2_16-EOM'!#REF!,$A38,'M2_16-EOM'!#REF!),0)</f>
        <v>0</v>
      </c>
      <c r="M38" s="500"/>
      <c r="N38" s="487" t="e">
        <f>COUNTIF(B38,"&gt;0")+COUNTIF(E38,"&gt;0")+COUNTIF(H38,"&gt;0")+COUNTIF(K38,"&gt;0")+COUNTIF(#REF!,"&gt;0")</f>
        <v>#REF!</v>
      </c>
      <c r="O38" s="472" t="e">
        <f t="shared" si="15"/>
        <v>#REF!</v>
      </c>
      <c r="P38" s="501">
        <f t="shared" si="14"/>
        <v>0</v>
      </c>
      <c r="AF38" s="105">
        <f t="shared" si="24"/>
        <v>0</v>
      </c>
      <c r="AG38" s="255"/>
      <c r="AH38" s="534" t="e">
        <f t="shared" si="25"/>
        <v>#REF!</v>
      </c>
      <c r="AI38" s="534" t="e">
        <f t="shared" si="26"/>
        <v>#REF!</v>
      </c>
      <c r="AJ38" s="534">
        <f t="shared" si="27"/>
        <v>0</v>
      </c>
      <c r="AK38" s="534" t="e">
        <f t="shared" si="28"/>
        <v>#REF!</v>
      </c>
      <c r="AL38" s="181">
        <f t="shared" si="16"/>
        <v>0</v>
      </c>
      <c r="AM38" s="181">
        <f t="shared" si="17"/>
        <v>0</v>
      </c>
      <c r="AN38" s="181">
        <f t="shared" si="18"/>
        <v>0</v>
      </c>
      <c r="AO38" s="181">
        <f t="shared" si="19"/>
        <v>0</v>
      </c>
      <c r="AP38" s="181">
        <f t="shared" si="20"/>
        <v>0</v>
      </c>
      <c r="AQ38" s="181">
        <f t="shared" si="21"/>
        <v>0</v>
      </c>
      <c r="AR38" s="181">
        <f t="shared" si="22"/>
        <v>0</v>
      </c>
      <c r="AS38" s="181">
        <f t="shared" si="23"/>
        <v>0</v>
      </c>
    </row>
    <row r="39" spans="1:45" ht="21" x14ac:dyDescent="0.25">
      <c r="A39" s="349">
        <f>+Setup_and_Criteria!O21</f>
        <v>0</v>
      </c>
      <c r="B39" s="473" t="e">
        <f>+SUMIF('M2_1-15th'!#REF!,$A39,'M2_1-15th'!#REF!)</f>
        <v>#REF!</v>
      </c>
      <c r="C39" s="346">
        <f>IFERROR(SUMIF('M2_1-15th'!#REF!,A39,'M2_1-15th'!#REF!),0)</f>
        <v>0</v>
      </c>
      <c r="D39" s="502"/>
      <c r="E39" s="473" t="e">
        <f>+SUMIF('M2_1-15th'!#REF!,$A39,'M2_1-15th'!#REF!)</f>
        <v>#REF!</v>
      </c>
      <c r="F39" s="337">
        <f>IFERROR(SUMIF('M2_1-15th'!#REF!,$A39,'M2_1-15th'!#REF!),0)</f>
        <v>0</v>
      </c>
      <c r="G39" s="502"/>
      <c r="H39" s="473">
        <f>IFERROR(+#REF!,0)</f>
        <v>0</v>
      </c>
      <c r="I39" s="346">
        <f>IFERROR(SUMIF('M2_16-EOM'!#REF!,$A39,'M2_16-EOM'!#REF!),0)</f>
        <v>0</v>
      </c>
      <c r="J39" s="502"/>
      <c r="K39" s="473" t="e">
        <f>SUMIF('M2_16-EOM'!#REF!,$A39,'M2_16-EOM'!#REF!)</f>
        <v>#REF!</v>
      </c>
      <c r="L39" s="346">
        <f>IFERROR(SUMIF('M2_16-EOM'!#REF!,$A39,'M2_16-EOM'!#REF!),0)</f>
        <v>0</v>
      </c>
      <c r="M39" s="502"/>
      <c r="N39" s="487" t="e">
        <f>COUNTIF(B39,"&gt;0")+COUNTIF(E39,"&gt;0")+COUNTIF(H39,"&gt;0")+COUNTIF(K39,"&gt;0")+COUNTIF(#REF!,"&gt;0")</f>
        <v>#REF!</v>
      </c>
      <c r="O39" s="473" t="e">
        <f t="shared" si="15"/>
        <v>#REF!</v>
      </c>
      <c r="P39" s="503">
        <f t="shared" si="14"/>
        <v>0</v>
      </c>
    </row>
    <row r="40" spans="1:45" ht="21" x14ac:dyDescent="0.25">
      <c r="A40" s="349">
        <f>+Setup_and_Criteria!O22</f>
        <v>0</v>
      </c>
      <c r="B40" s="474" t="e">
        <f>+SUMIF('M2_1-15th'!#REF!,$A40,'M2_1-15th'!#REF!)</f>
        <v>#REF!</v>
      </c>
      <c r="C40" s="347">
        <f>IFERROR(SUMIF('M2_1-15th'!#REF!,A40,'M2_1-15th'!#REF!),0)</f>
        <v>0</v>
      </c>
      <c r="D40" s="504"/>
      <c r="E40" s="474" t="e">
        <f>+SUMIF('M2_1-15th'!#REF!,$A40,'M2_1-15th'!#REF!)</f>
        <v>#REF!</v>
      </c>
      <c r="F40" s="337">
        <f>IFERROR(SUMIF('M2_1-15th'!#REF!,$A40,'M2_1-15th'!#REF!),0)</f>
        <v>0</v>
      </c>
      <c r="G40" s="504"/>
      <c r="H40" s="474">
        <f>IFERROR(+#REF!,0)</f>
        <v>0</v>
      </c>
      <c r="I40" s="347">
        <f>IFERROR(SUMIF('M2_16-EOM'!#REF!,$A40,'M2_16-EOM'!#REF!),0)</f>
        <v>0</v>
      </c>
      <c r="J40" s="504"/>
      <c r="K40" s="474" t="e">
        <f>SUMIF('M2_16-EOM'!#REF!,$A40,'M2_16-EOM'!#REF!)</f>
        <v>#REF!</v>
      </c>
      <c r="L40" s="347">
        <f>IFERROR(SUMIF('M2_16-EOM'!#REF!,$A40,'M2_16-EOM'!#REF!),0)</f>
        <v>0</v>
      </c>
      <c r="M40" s="504"/>
      <c r="N40" s="487" t="e">
        <f>COUNTIF(B40,"&gt;0")+COUNTIF(E40,"&gt;0")+COUNTIF(H40,"&gt;0")+COUNTIF(K40,"&gt;0")+COUNTIF(#REF!,"&gt;0")</f>
        <v>#REF!</v>
      </c>
      <c r="O40" s="474" t="e">
        <f t="shared" si="15"/>
        <v>#REF!</v>
      </c>
      <c r="P40" s="505">
        <f t="shared" si="14"/>
        <v>0</v>
      </c>
    </row>
    <row r="41" spans="1:45" ht="21" x14ac:dyDescent="0.25">
      <c r="A41" s="349">
        <f>+Setup_and_Criteria!O23</f>
        <v>0</v>
      </c>
      <c r="B41" s="475" t="e">
        <f>+SUMIF('M2_1-15th'!#REF!,$A41,'M2_1-15th'!#REF!)</f>
        <v>#REF!</v>
      </c>
      <c r="C41" s="348">
        <f>IFERROR(SUMIF('M2_1-15th'!#REF!,A41,'M2_1-15th'!#REF!),0)</f>
        <v>0</v>
      </c>
      <c r="D41" s="506"/>
      <c r="E41" s="475" t="e">
        <f>+SUMIF('M2_1-15th'!#REF!,$A41,'M2_1-15th'!#REF!)</f>
        <v>#REF!</v>
      </c>
      <c r="F41" s="337">
        <f>IFERROR(SUMIF('M2_1-15th'!#REF!,$A41,'M2_1-15th'!#REF!),0)</f>
        <v>0</v>
      </c>
      <c r="G41" s="506"/>
      <c r="H41" s="475">
        <f>IFERROR(+#REF!,0)</f>
        <v>0</v>
      </c>
      <c r="I41" s="348">
        <f>IFERROR(SUMIF('M2_16-EOM'!#REF!,$A41,'M2_16-EOM'!#REF!),0)</f>
        <v>0</v>
      </c>
      <c r="J41" s="506"/>
      <c r="K41" s="475" t="e">
        <f>SUMIF('M2_16-EOM'!#REF!,$A41,'M2_16-EOM'!#REF!)</f>
        <v>#REF!</v>
      </c>
      <c r="L41" s="348">
        <f>IFERROR(SUMIF('M2_16-EOM'!#REF!,$A41,'M2_16-EOM'!#REF!),0)</f>
        <v>0</v>
      </c>
      <c r="M41" s="506"/>
      <c r="N41" s="487" t="e">
        <f>COUNTIF(B41,"&gt;0")+COUNTIF(E41,"&gt;0")+COUNTIF(H41,"&gt;0")+COUNTIF(K41,"&gt;0")+COUNTIF(#REF!,"&gt;0")</f>
        <v>#REF!</v>
      </c>
      <c r="O41" s="475" t="e">
        <f t="shared" si="15"/>
        <v>#REF!</v>
      </c>
      <c r="P41" s="507">
        <f t="shared" si="14"/>
        <v>0</v>
      </c>
      <c r="AL41" s="1" t="s">
        <v>42</v>
      </c>
    </row>
    <row r="42" spans="1:45" ht="3" customHeight="1" x14ac:dyDescent="0.25">
      <c r="A42" s="84"/>
      <c r="B42" s="85"/>
      <c r="C42" s="86"/>
      <c r="D42" s="508"/>
      <c r="E42" s="85"/>
      <c r="F42" s="86"/>
      <c r="G42" s="508"/>
      <c r="H42" s="85"/>
      <c r="I42" s="86"/>
      <c r="J42" s="508"/>
      <c r="K42" s="85"/>
      <c r="L42" s="86"/>
      <c r="M42" s="508"/>
      <c r="N42" s="509"/>
      <c r="O42" s="85"/>
      <c r="P42" s="316"/>
    </row>
    <row r="43" spans="1:45" ht="19.5" thickBot="1" x14ac:dyDescent="0.3">
      <c r="A43" s="482" t="s">
        <v>99</v>
      </c>
      <c r="B43" s="483" t="e">
        <f>SUM(B30:B42)</f>
        <v>#REF!</v>
      </c>
      <c r="C43" s="263">
        <f>IFERROR(AVERAGEIF(C30:C41,"&gt;0"),0)</f>
        <v>0</v>
      </c>
      <c r="D43" s="73"/>
      <c r="E43" s="483" t="e">
        <f>SUM(E30:E42)</f>
        <v>#REF!</v>
      </c>
      <c r="F43" s="263">
        <f>IFERROR(AVERAGEIF(F30:F41,"&gt;0"),0)</f>
        <v>0</v>
      </c>
      <c r="G43" s="73"/>
      <c r="H43" s="483" t="e">
        <f>SUM(H30:H42)</f>
        <v>#REF!</v>
      </c>
      <c r="I43" s="263">
        <f>IFERROR(AVERAGEIF(I30:I41,"&gt;0"),0)</f>
        <v>0</v>
      </c>
      <c r="J43" s="73"/>
      <c r="K43" s="483" t="e">
        <f>SUM(K30:K42)</f>
        <v>#REF!</v>
      </c>
      <c r="L43" s="263">
        <f>IFERROR(AVERAGEIF(L30:L41,"&gt;0"),0)</f>
        <v>0</v>
      </c>
      <c r="M43" s="73"/>
      <c r="N43" s="266" t="e">
        <f>COUNTIF(B43,"&gt;0")+COUNTIF(E43,"&gt;0")+COUNTIF(H43,"&gt;0")+COUNTIF(K43,"&gt;0")+COUNTIF(#REF!,"&gt;0")</f>
        <v>#REF!</v>
      </c>
      <c r="O43" s="483" t="e">
        <f>SUM(O30:O42)</f>
        <v>#REF!</v>
      </c>
      <c r="P43" s="510">
        <f>IFERROR(AVERAGEIF(P30:P41,"&gt;0"),0)</f>
        <v>0</v>
      </c>
    </row>
    <row r="44" spans="1:45" ht="18.75" x14ac:dyDescent="0.25">
      <c r="A44" s="482" t="s">
        <v>100</v>
      </c>
      <c r="B44" s="918" t="e">
        <f>+B43/60</f>
        <v>#REF!</v>
      </c>
      <c r="C44" s="918"/>
      <c r="D44" s="5"/>
      <c r="E44" s="918" t="e">
        <f>+E43/60</f>
        <v>#REF!</v>
      </c>
      <c r="F44" s="918"/>
      <c r="G44" s="5"/>
      <c r="H44" s="918" t="e">
        <f>+H43/60</f>
        <v>#REF!</v>
      </c>
      <c r="I44" s="918"/>
      <c r="J44" s="5"/>
      <c r="K44" s="918" t="e">
        <f>+K43/60</f>
        <v>#REF!</v>
      </c>
      <c r="L44" s="918"/>
      <c r="M44" s="5"/>
      <c r="N44" s="5"/>
      <c r="O44" s="918" t="e">
        <f>SUM(B44:L44)</f>
        <v>#REF!</v>
      </c>
      <c r="P44" s="919"/>
    </row>
    <row r="45" spans="1:45" ht="23.25" x14ac:dyDescent="0.25">
      <c r="A45" s="482" t="s">
        <v>101</v>
      </c>
      <c r="B45" s="950" t="e">
        <f>+B44*Setup_and_Criteria!W12</f>
        <v>#REF!</v>
      </c>
      <c r="C45" s="950"/>
      <c r="D45" s="318"/>
      <c r="E45" s="950" t="e">
        <f>+E44*Setup_and_Criteria!W12</f>
        <v>#REF!</v>
      </c>
      <c r="F45" s="950"/>
      <c r="G45" s="318"/>
      <c r="H45" s="950" t="e">
        <f>+H44*Setup_and_Criteria!W12</f>
        <v>#REF!</v>
      </c>
      <c r="I45" s="950"/>
      <c r="J45" s="512"/>
      <c r="K45" s="950" t="e">
        <f>+K44*Setup_and_Criteria!W12</f>
        <v>#REF!</v>
      </c>
      <c r="L45" s="950"/>
      <c r="M45" s="478"/>
      <c r="N45" s="951" t="e">
        <f>SUM(B45:M45)</f>
        <v>#REF!</v>
      </c>
      <c r="O45" s="951"/>
      <c r="P45" s="952"/>
    </row>
    <row r="46" spans="1:45" ht="6.75" customHeight="1" thickBot="1" x14ac:dyDescent="0.3">
      <c r="A46" s="154"/>
      <c r="B46" s="27"/>
      <c r="C46" s="27"/>
      <c r="D46" s="73"/>
      <c r="E46" s="27"/>
      <c r="F46" s="27"/>
      <c r="G46" s="73"/>
      <c r="H46" s="27"/>
      <c r="I46" s="27"/>
      <c r="J46" s="73"/>
      <c r="K46" s="27"/>
      <c r="L46" s="27"/>
      <c r="M46" s="73"/>
      <c r="N46" s="266"/>
      <c r="O46" s="27"/>
      <c r="P46" s="317"/>
    </row>
    <row r="47" spans="1:45" ht="18.75" x14ac:dyDescent="0.25">
      <c r="A47" s="637"/>
      <c r="B47" s="622"/>
      <c r="C47" s="622"/>
      <c r="D47" s="5"/>
      <c r="E47" s="622"/>
      <c r="F47" s="622"/>
      <c r="G47" s="5"/>
      <c r="H47" s="622"/>
      <c r="I47" s="622"/>
      <c r="J47" s="5"/>
      <c r="K47" s="622"/>
      <c r="L47" s="622"/>
      <c r="M47" s="5"/>
      <c r="N47" s="481"/>
      <c r="O47" s="622"/>
      <c r="P47" s="18"/>
    </row>
    <row r="48" spans="1:45" ht="15.75" thickBot="1" x14ac:dyDescent="0.3"/>
    <row r="49" spans="1:37" ht="24.75" customHeight="1" x14ac:dyDescent="0.25">
      <c r="A49" s="83"/>
      <c r="B49" s="21"/>
      <c r="C49" s="953"/>
      <c r="D49" s="953"/>
      <c r="E49" s="953"/>
      <c r="F49" s="948"/>
      <c r="G49" s="948"/>
      <c r="H49" s="948"/>
      <c r="I49" s="921" t="s">
        <v>74</v>
      </c>
      <c r="J49" s="921"/>
      <c r="K49" s="921"/>
      <c r="L49" s="921"/>
      <c r="M49" s="921"/>
      <c r="N49" s="921"/>
      <c r="O49" s="921"/>
      <c r="P49" s="922"/>
      <c r="Q49" s="320"/>
      <c r="R49" s="320"/>
      <c r="S49" s="320"/>
      <c r="T49" s="320"/>
      <c r="U49" s="320"/>
      <c r="V49" s="320"/>
      <c r="W49" s="320"/>
      <c r="X49" s="320"/>
      <c r="Y49" s="320"/>
      <c r="Z49" s="320"/>
      <c r="AA49" s="320"/>
      <c r="AB49" s="320"/>
      <c r="AC49" s="320"/>
      <c r="AD49" s="320"/>
      <c r="AE49" s="320"/>
      <c r="AF49" s="320"/>
      <c r="AG49" s="320"/>
      <c r="AH49" s="320"/>
      <c r="AI49" s="320"/>
      <c r="AJ49" s="320"/>
      <c r="AK49" s="320"/>
    </row>
    <row r="50" spans="1:37" ht="15" customHeight="1" x14ac:dyDescent="0.25">
      <c r="A50" s="58"/>
      <c r="C50" s="954"/>
      <c r="D50" s="954"/>
      <c r="E50" s="954"/>
      <c r="F50" s="949"/>
      <c r="G50" s="949"/>
      <c r="H50" s="949"/>
      <c r="I50" s="931"/>
      <c r="J50" s="931"/>
      <c r="K50" s="931"/>
      <c r="L50" s="931"/>
      <c r="M50" s="931"/>
      <c r="N50" s="931"/>
      <c r="O50" s="931"/>
      <c r="P50" s="932"/>
      <c r="Q50" s="320"/>
      <c r="R50" s="320"/>
      <c r="S50" s="320"/>
      <c r="T50" s="320"/>
      <c r="U50" s="320"/>
      <c r="V50" s="320"/>
      <c r="W50" s="320"/>
      <c r="X50" s="320"/>
      <c r="Y50" s="320"/>
      <c r="Z50" s="320"/>
      <c r="AA50" s="320"/>
      <c r="AB50" s="320"/>
      <c r="AC50" s="320"/>
      <c r="AD50" s="320"/>
      <c r="AE50" s="320"/>
      <c r="AF50" s="320"/>
      <c r="AG50" s="320"/>
      <c r="AH50" s="320"/>
      <c r="AI50" s="320"/>
      <c r="AJ50" s="320"/>
      <c r="AK50" s="320"/>
    </row>
    <row r="51" spans="1:37" ht="6" customHeight="1" thickBot="1" x14ac:dyDescent="0.3">
      <c r="A51" s="376"/>
      <c r="B51" s="2"/>
      <c r="C51" s="2"/>
      <c r="D51" s="2"/>
      <c r="E51" s="2"/>
      <c r="F51" s="2"/>
      <c r="G51" s="2"/>
      <c r="H51" s="2"/>
      <c r="I51" s="2"/>
      <c r="J51" s="2"/>
      <c r="K51" s="2"/>
      <c r="L51" s="2"/>
      <c r="M51" s="2"/>
      <c r="N51" s="2"/>
      <c r="O51" s="2"/>
      <c r="P51" s="354"/>
    </row>
    <row r="52" spans="1:37" ht="21.75" customHeight="1" thickBot="1" x14ac:dyDescent="0.4">
      <c r="A52" s="592" t="str">
        <f>+'M3_1-15th'!A6</f>
        <v>June</v>
      </c>
      <c r="B52" s="593"/>
      <c r="C52" s="593"/>
      <c r="D52" s="593"/>
      <c r="E52" s="593"/>
      <c r="F52" s="593"/>
      <c r="G52" s="593"/>
      <c r="H52" s="593"/>
      <c r="I52" s="593"/>
      <c r="J52" s="593"/>
      <c r="K52" s="593"/>
      <c r="L52" s="593"/>
      <c r="M52" s="593"/>
      <c r="N52" s="593"/>
      <c r="O52" s="593"/>
      <c r="P52" s="594"/>
    </row>
    <row r="53" spans="1:37" ht="15" customHeight="1" x14ac:dyDescent="0.25">
      <c r="A53" s="83"/>
      <c r="B53" s="941" t="s">
        <v>102</v>
      </c>
      <c r="C53" s="944"/>
      <c r="D53" s="21"/>
      <c r="E53" s="941" t="s">
        <v>103</v>
      </c>
      <c r="F53" s="944"/>
      <c r="G53" s="21"/>
      <c r="H53" s="941" t="s">
        <v>104</v>
      </c>
      <c r="I53" s="944"/>
      <c r="J53" s="21"/>
      <c r="K53" s="941" t="s">
        <v>105</v>
      </c>
      <c r="L53" s="944"/>
      <c r="M53" s="21"/>
      <c r="N53" s="267"/>
      <c r="O53" s="941" t="s">
        <v>106</v>
      </c>
      <c r="P53" s="942"/>
    </row>
    <row r="54" spans="1:37" ht="15.75" customHeight="1" x14ac:dyDescent="0.25">
      <c r="A54" s="58"/>
      <c r="B54" s="81" t="s">
        <v>79</v>
      </c>
      <c r="C54" s="82" t="s">
        <v>80</v>
      </c>
      <c r="E54" s="81" t="s">
        <v>81</v>
      </c>
      <c r="F54" s="82" t="s">
        <v>80</v>
      </c>
      <c r="H54" s="81" t="s">
        <v>81</v>
      </c>
      <c r="I54" s="82" t="s">
        <v>80</v>
      </c>
      <c r="K54" s="81" t="s">
        <v>81</v>
      </c>
      <c r="L54" s="82" t="s">
        <v>80</v>
      </c>
      <c r="N54" s="485"/>
      <c r="O54" s="81" t="s">
        <v>81</v>
      </c>
      <c r="P54" s="631" t="s">
        <v>80</v>
      </c>
    </row>
    <row r="55" spans="1:37" ht="21" x14ac:dyDescent="0.25">
      <c r="A55" s="349">
        <f>+Setup_and_Criteria!P12</f>
        <v>0</v>
      </c>
      <c r="B55" s="465" t="e">
        <f>+SUMIF('M3_1-15th'!#REF!,$A55,'M3_1-15th'!#REF!)</f>
        <v>#REF!</v>
      </c>
      <c r="C55" s="337">
        <f>IFERROR(SUMIF('M3_1-15th'!#REF!,$A55,'M3_1-15th'!#REF!),0)</f>
        <v>0</v>
      </c>
      <c r="D55" s="486"/>
      <c r="E55" s="465" t="e">
        <f>+SUMIF('M3_1-15th'!#REF!,A55,'M3_1-15th'!#REF!)</f>
        <v>#REF!</v>
      </c>
      <c r="F55" s="337">
        <f>IFERROR(SUMIF('M3_1-15th'!$A$202:$A4200,$A55,'M3_1-15th'!#REF!),0)</f>
        <v>0</v>
      </c>
      <c r="G55" s="486"/>
      <c r="H55" s="465" t="e">
        <f>SUMIF('M3_16-EOM'!#REF!,A55,'M3_16-EOM'!#REF!)</f>
        <v>#REF!</v>
      </c>
      <c r="I55" s="337">
        <f>IFERROR(SUMIF('M3_16-EOM'!$A$215:$A4179,$A55,'M3_1-15th'!#REF!),0)</f>
        <v>0</v>
      </c>
      <c r="J55" s="486"/>
      <c r="K55" s="465" t="e">
        <f>SUMIF('M3_16-EOM'!#REF!,A55,'M3_16-EOM'!#REF!)</f>
        <v>#REF!</v>
      </c>
      <c r="L55" s="337">
        <f>IFERROR(SUMIF('M3_16-EOM'!#REF!,$A55,'M3_16-EOM'!#REF!),0)</f>
        <v>0</v>
      </c>
      <c r="M55" s="486"/>
      <c r="N55" s="487" t="e">
        <f>COUNTIF(B55,"&gt;0")+COUNTIF(E55,"&gt;0")+COUNTIF(H55,"&gt;0")+COUNTIF(K55,"&gt;0")+COUNTIF(#REF!,"&gt;0")</f>
        <v>#REF!</v>
      </c>
      <c r="O55" s="465" t="e">
        <f>+B55+E55+H55+K55</f>
        <v>#REF!</v>
      </c>
      <c r="P55" s="338">
        <f t="shared" ref="P55:P66" si="29">IFERROR(AVERAGE(C55,F55,I55,L55),0)</f>
        <v>0</v>
      </c>
    </row>
    <row r="56" spans="1:37" ht="21" x14ac:dyDescent="0.25">
      <c r="A56" s="349">
        <f>+Setup_and_Criteria!P13</f>
        <v>0</v>
      </c>
      <c r="B56" s="466" t="e">
        <f>+SUMIF('M3_1-15th'!#REF!,$A56,'M3_1-15th'!#REF!)</f>
        <v>#REF!</v>
      </c>
      <c r="C56" s="339">
        <f>IFERROR(SUMIF('M3_1-15th'!#REF!,$A56,'M3_1-15th'!#REF!),0)</f>
        <v>0</v>
      </c>
      <c r="D56" s="488"/>
      <c r="E56" s="466" t="e">
        <f>+SUMIF('M3_1-15th'!#REF!,A56,'M3_1-15th'!#REF!)</f>
        <v>#REF!</v>
      </c>
      <c r="F56" s="339">
        <f>IFERROR(SUMIF('M3_1-15th'!$A$202:$A4201,$A56,'M3_1-15th'!#REF!),0)</f>
        <v>0</v>
      </c>
      <c r="G56" s="488"/>
      <c r="H56" s="466" t="e">
        <f>SUMIF('M3_16-EOM'!#REF!,A56,'M3_16-EOM'!#REF!)</f>
        <v>#REF!</v>
      </c>
      <c r="I56" s="339">
        <f>IFERROR(SUMIF('M3_16-EOM'!$A$215:$A4180,$A56,'M3_1-15th'!#REF!),0)</f>
        <v>0</v>
      </c>
      <c r="J56" s="488"/>
      <c r="K56" s="466" t="e">
        <f>SUMIF('M3_16-EOM'!#REF!,A56,'M3_16-EOM'!#REF!)</f>
        <v>#REF!</v>
      </c>
      <c r="L56" s="339">
        <f>IFERROR(SUMIF('M3_16-EOM'!#REF!,$A56,'M3_16-EOM'!#REF!),0)</f>
        <v>0</v>
      </c>
      <c r="M56" s="488"/>
      <c r="N56" s="487" t="e">
        <f>COUNTIF(B56,"&gt;0")+COUNTIF(E56,"&gt;0")+COUNTIF(H56,"&gt;0")+COUNTIF(K56,"&gt;0")+COUNTIF(#REF!,"&gt;0")</f>
        <v>#REF!</v>
      </c>
      <c r="O56" s="466" t="e">
        <f t="shared" ref="O56:O66" si="30">+B56+E56+H56+K56</f>
        <v>#REF!</v>
      </c>
      <c r="P56" s="489">
        <f t="shared" si="29"/>
        <v>0</v>
      </c>
    </row>
    <row r="57" spans="1:37" ht="21" x14ac:dyDescent="0.25">
      <c r="A57" s="349">
        <f>+Setup_and_Criteria!P14</f>
        <v>0</v>
      </c>
      <c r="B57" s="467" t="e">
        <f>+SUMIF('M3_1-15th'!#REF!,$A57,'M3_1-15th'!#REF!)</f>
        <v>#REF!</v>
      </c>
      <c r="C57" s="340">
        <f>IFERROR(SUMIF('M3_1-15th'!#REF!,$A57,'M3_1-15th'!#REF!),0)</f>
        <v>0</v>
      </c>
      <c r="D57" s="490"/>
      <c r="E57" s="467">
        <f>+SUMIF('M3_1-15th'!A202:A202,A57,'M3_1-15th'!AE202:AE202)</f>
        <v>0</v>
      </c>
      <c r="F57" s="340">
        <f>IFERROR(SUMIF('M3_1-15th'!$A$202:$A4202,$A57,'M3_1-15th'!#REF!),0)</f>
        <v>0</v>
      </c>
      <c r="G57" s="490"/>
      <c r="H57" s="467" t="e">
        <f>SUMIF('M3_16-EOM'!#REF!,A57,'M3_16-EOM'!#REF!)</f>
        <v>#REF!</v>
      </c>
      <c r="I57" s="340">
        <f>IFERROR(SUMIF('M3_16-EOM'!$A$215:$A4181,$A57,'M3_1-15th'!#REF!),0)</f>
        <v>0</v>
      </c>
      <c r="J57" s="490"/>
      <c r="K57" s="467" t="e">
        <f>SUMIF('M3_16-EOM'!A215:A215,A57,'M3_16-EOM'!#REF!)</f>
        <v>#REF!</v>
      </c>
      <c r="L57" s="340">
        <f>IFERROR(SUMIF('M3_16-EOM'!#REF!,$A57,'M3_16-EOM'!#REF!),0)</f>
        <v>0</v>
      </c>
      <c r="M57" s="490"/>
      <c r="N57" s="487" t="e">
        <f>COUNTIF(B57,"&gt;0")+COUNTIF(E57,"&gt;0")+COUNTIF(H57,"&gt;0")+COUNTIF(K57,"&gt;0")+COUNTIF(#REF!,"&gt;0")</f>
        <v>#REF!</v>
      </c>
      <c r="O57" s="467" t="e">
        <f t="shared" si="30"/>
        <v>#REF!</v>
      </c>
      <c r="P57" s="491">
        <f t="shared" si="29"/>
        <v>0</v>
      </c>
    </row>
    <row r="58" spans="1:37" ht="21" x14ac:dyDescent="0.25">
      <c r="A58" s="349">
        <f>+Setup_and_Criteria!P15</f>
        <v>0</v>
      </c>
      <c r="B58" s="468" t="e">
        <f>+SUMIF('M3_1-15th'!#REF!,$A58,'M3_1-15th'!#REF!)</f>
        <v>#REF!</v>
      </c>
      <c r="C58" s="341">
        <f>IFERROR(SUMIF('M3_1-15th'!#REF!,$A58,'M3_1-15th'!#REF!),0)</f>
        <v>0</v>
      </c>
      <c r="D58" s="492"/>
      <c r="E58" s="468">
        <f>+SUMIF('M3_1-15th'!A202:A203,A58,'M3_1-15th'!AE202:AE203)</f>
        <v>0</v>
      </c>
      <c r="F58" s="341">
        <f>IFERROR(SUMIF('M3_1-15th'!$A$202:$A4203,$A58,'M3_1-15th'!#REF!),0)</f>
        <v>0</v>
      </c>
      <c r="G58" s="492"/>
      <c r="H58" s="468">
        <f>SUMIF('M3_16-EOM'!A215:A215,A58,'M3_16-EOM'!O215:O215)</f>
        <v>0</v>
      </c>
      <c r="I58" s="341">
        <f>IFERROR(SUMIF('M3_16-EOM'!$A$215:$A4182,$A58,'M3_1-15th'!#REF!),0)</f>
        <v>0</v>
      </c>
      <c r="J58" s="492"/>
      <c r="K58" s="468">
        <f ca="1">SUMIF('M3_16-EOM'!A215:A216,A58,'M3_16-EOM'!AE215:AE215)</f>
        <v>0</v>
      </c>
      <c r="L58" s="341">
        <f>IFERROR(SUMIF('M3_16-EOM'!#REF!,$A58,'M3_16-EOM'!#REF!),0)</f>
        <v>0</v>
      </c>
      <c r="M58" s="492"/>
      <c r="N58" s="487" t="e">
        <f ca="1">COUNTIF(B58,"&gt;0")+COUNTIF(E58,"&gt;0")+COUNTIF(H58,"&gt;0")+COUNTIF(K58,"&gt;0")+COUNTIF(#REF!,"&gt;0")</f>
        <v>#REF!</v>
      </c>
      <c r="O58" s="468" t="e">
        <f t="shared" ca="1" si="30"/>
        <v>#REF!</v>
      </c>
      <c r="P58" s="493">
        <f t="shared" si="29"/>
        <v>0</v>
      </c>
    </row>
    <row r="59" spans="1:37" ht="21" x14ac:dyDescent="0.25">
      <c r="A59" s="349">
        <f>+Setup_and_Criteria!P16</f>
        <v>0</v>
      </c>
      <c r="B59" s="469" t="e">
        <f>+SUMIF('M3_1-15th'!#REF!,$A59,'M3_1-15th'!#REF!)</f>
        <v>#REF!</v>
      </c>
      <c r="C59" s="342">
        <f>IFERROR(SUMIF('M3_1-15th'!#REF!,$A59,'M3_1-15th'!#REF!),0)</f>
        <v>0</v>
      </c>
      <c r="D59" s="494"/>
      <c r="E59" s="469">
        <f>+SUMIF('M3_1-15th'!A202:A204,A59,'M3_1-15th'!AE202:AE204)</f>
        <v>0</v>
      </c>
      <c r="F59" s="342">
        <f>IFERROR(SUMIF('M3_1-15th'!$A$202:$A4204,$A59,'M3_1-15th'!#REF!),0)</f>
        <v>0</v>
      </c>
      <c r="G59" s="494"/>
      <c r="H59" s="469">
        <f>SUMIF('M3_16-EOM'!A215:A216,A59,'M3_16-EOM'!O215:O216)</f>
        <v>0</v>
      </c>
      <c r="I59" s="342">
        <f>IFERROR(SUMIF('M3_16-EOM'!$A$215:$A4183,$A59,'M3_1-15th'!#REF!),0)</f>
        <v>0</v>
      </c>
      <c r="J59" s="494"/>
      <c r="K59" s="469">
        <f ca="1">SUMIF('M3_16-EOM'!A215:A217,A59,'M3_16-EOM'!AE215:AE216)</f>
        <v>0</v>
      </c>
      <c r="L59" s="342">
        <f>IFERROR(SUMIF('M3_16-EOM'!#REF!,$A59,'M3_16-EOM'!#REF!),0)</f>
        <v>0</v>
      </c>
      <c r="M59" s="494"/>
      <c r="N59" s="487" t="e">
        <f ca="1">COUNTIF(B59,"&gt;0")+COUNTIF(E59,"&gt;0")+COUNTIF(H59,"&gt;0")+COUNTIF(K59,"&gt;0")+COUNTIF(#REF!,"&gt;0")</f>
        <v>#REF!</v>
      </c>
      <c r="O59" s="469" t="e">
        <f t="shared" ca="1" si="30"/>
        <v>#REF!</v>
      </c>
      <c r="P59" s="495">
        <f t="shared" si="29"/>
        <v>0</v>
      </c>
    </row>
    <row r="60" spans="1:37" ht="21" x14ac:dyDescent="0.25">
      <c r="A60" s="349">
        <f>+Setup_and_Criteria!P17</f>
        <v>0</v>
      </c>
      <c r="B60" s="470" t="e">
        <f>+SUMIF('M3_1-15th'!#REF!,$A60,'M3_1-15th'!#REF!)</f>
        <v>#REF!</v>
      </c>
      <c r="C60" s="343">
        <f>IFERROR(SUMIF('M3_1-15th'!#REF!,$A60,'M3_1-15th'!#REF!),0)</f>
        <v>0</v>
      </c>
      <c r="D60" s="496"/>
      <c r="E60" s="470">
        <f>+SUMIF('M3_1-15th'!A202:A205,A60,'M3_1-15th'!AE202:AE205)</f>
        <v>0</v>
      </c>
      <c r="F60" s="343">
        <f>IFERROR(SUMIF('M3_1-15th'!$A$202:$A4205,$A60,'M3_1-15th'!#REF!),0)</f>
        <v>0</v>
      </c>
      <c r="G60" s="496"/>
      <c r="H60" s="470">
        <f>SUMIF('M3_16-EOM'!A215:A217,A60,'M3_16-EOM'!O215:O217)</f>
        <v>0</v>
      </c>
      <c r="I60" s="343">
        <f>IFERROR(SUMIF('M3_16-EOM'!$A$215:$A4184,$A60,'M3_1-15th'!#REF!),0)</f>
        <v>0</v>
      </c>
      <c r="J60" s="496"/>
      <c r="K60" s="470">
        <f ca="1">SUMIF('M3_16-EOM'!A215:A218,A60,'M3_16-EOM'!AE215:AE217)</f>
        <v>0</v>
      </c>
      <c r="L60" s="343">
        <f>IFERROR(SUMIF('M3_16-EOM'!#REF!,$A60,'M3_16-EOM'!#REF!),0)</f>
        <v>0</v>
      </c>
      <c r="M60" s="496"/>
      <c r="N60" s="487" t="e">
        <f ca="1">COUNTIF(B60,"&gt;0")+COUNTIF(E60,"&gt;0")+COUNTIF(H60,"&gt;0")+COUNTIF(K60,"&gt;0")+COUNTIF(#REF!,"&gt;0")</f>
        <v>#REF!</v>
      </c>
      <c r="O60" s="470" t="e">
        <f t="shared" ca="1" si="30"/>
        <v>#REF!</v>
      </c>
      <c r="P60" s="497">
        <f t="shared" si="29"/>
        <v>0</v>
      </c>
    </row>
    <row r="61" spans="1:37" ht="21" x14ac:dyDescent="0.25">
      <c r="A61" s="349">
        <f>+Setup_and_Criteria!P18</f>
        <v>0</v>
      </c>
      <c r="B61" s="471" t="e">
        <f>+SUMIF('M3_1-15th'!#REF!,$A61,'M3_1-15th'!#REF!)</f>
        <v>#REF!</v>
      </c>
      <c r="C61" s="344">
        <f>IFERROR(SUMIF('M3_1-15th'!#REF!,$A61,'M3_1-15th'!#REF!),0)</f>
        <v>0</v>
      </c>
      <c r="D61" s="498"/>
      <c r="E61" s="471">
        <f>+SUMIF('M3_1-15th'!A202:A206,A61,'M3_1-15th'!AE202:AE206)</f>
        <v>0</v>
      </c>
      <c r="F61" s="344">
        <f>IFERROR(SUMIF('M3_1-15th'!$A$202:$A4206,$A61,'M3_1-15th'!#REF!),0)</f>
        <v>0</v>
      </c>
      <c r="G61" s="498"/>
      <c r="H61" s="471">
        <f>SUMIF('M3_16-EOM'!A215:A218,A61,'M3_16-EOM'!O215:O218)</f>
        <v>0</v>
      </c>
      <c r="I61" s="344">
        <f>IFERROR(SUMIF('M3_16-EOM'!$A$215:$A4185,$A61,'M3_1-15th'!#REF!),0)</f>
        <v>0</v>
      </c>
      <c r="J61" s="498"/>
      <c r="K61" s="471">
        <f ca="1">SUMIF('M3_16-EOM'!A215:A219,A61,'M3_16-EOM'!AE215:AE218)</f>
        <v>0</v>
      </c>
      <c r="L61" s="344">
        <f>IFERROR(SUMIF('M3_16-EOM'!#REF!,$A61,'M3_16-EOM'!#REF!),0)</f>
        <v>0</v>
      </c>
      <c r="M61" s="498"/>
      <c r="N61" s="487" t="e">
        <f ca="1">COUNTIF(B61,"&gt;0")+COUNTIF(E61,"&gt;0")+COUNTIF(H61,"&gt;0")+COUNTIF(K61,"&gt;0")+COUNTIF(#REF!,"&gt;0")</f>
        <v>#REF!</v>
      </c>
      <c r="O61" s="471" t="e">
        <f t="shared" ca="1" si="30"/>
        <v>#REF!</v>
      </c>
      <c r="P61" s="499">
        <f t="shared" si="29"/>
        <v>0</v>
      </c>
    </row>
    <row r="62" spans="1:37" ht="21" x14ac:dyDescent="0.25">
      <c r="A62" s="349">
        <f>+Setup_and_Criteria!P19</f>
        <v>0</v>
      </c>
      <c r="B62" s="465" t="e">
        <f>+SUMIF('M3_1-15th'!#REF!,$A62,'M3_1-15th'!#REF!)</f>
        <v>#REF!</v>
      </c>
      <c r="C62" s="337">
        <f>IFERROR(SUMIF('M3_1-15th'!#REF!,$A62,'M3_1-15th'!#REF!),0)</f>
        <v>0</v>
      </c>
      <c r="D62" s="486"/>
      <c r="E62" s="465">
        <f>+SUMIF('M3_1-15th'!A202:A207,A62,'M3_1-15th'!AE202:AE207)</f>
        <v>0</v>
      </c>
      <c r="F62" s="337">
        <f>IFERROR(SUMIF('M3_1-15th'!$A$202:$A4207,$A62,'M3_1-15th'!#REF!),0)</f>
        <v>0</v>
      </c>
      <c r="G62" s="486"/>
      <c r="H62" s="465">
        <f>SUMIF('M3_16-EOM'!A215:A219,A62,'M3_16-EOM'!O215:O219)</f>
        <v>0</v>
      </c>
      <c r="I62" s="337">
        <f>IFERROR(SUMIF('M3_16-EOM'!$A$215:$A4186,$A62,'M3_1-15th'!#REF!),0)</f>
        <v>0</v>
      </c>
      <c r="J62" s="486"/>
      <c r="K62" s="465">
        <f ca="1">SUMIF('M3_16-EOM'!A215:A220,A62,'M3_16-EOM'!AE215:AE219)</f>
        <v>0</v>
      </c>
      <c r="L62" s="337">
        <f>IFERROR(SUMIF('M3_16-EOM'!#REF!,$A62,'M3_16-EOM'!#REF!),0)</f>
        <v>0</v>
      </c>
      <c r="M62" s="486"/>
      <c r="N62" s="487" t="e">
        <f ca="1">COUNTIF(B62,"&gt;0")+COUNTIF(E62,"&gt;0")+COUNTIF(H62,"&gt;0")+COUNTIF(K62,"&gt;0")+COUNTIF(#REF!,"&gt;0")</f>
        <v>#REF!</v>
      </c>
      <c r="O62" s="465" t="e">
        <f t="shared" ca="1" si="30"/>
        <v>#REF!</v>
      </c>
      <c r="P62" s="338">
        <f t="shared" si="29"/>
        <v>0</v>
      </c>
    </row>
    <row r="63" spans="1:37" ht="21" x14ac:dyDescent="0.25">
      <c r="A63" s="349">
        <f>+Setup_and_Criteria!P20</f>
        <v>0</v>
      </c>
      <c r="B63" s="472" t="e">
        <f>+SUMIF('M3_1-15th'!#REF!,$A63,'M3_1-15th'!#REF!)</f>
        <v>#REF!</v>
      </c>
      <c r="C63" s="345">
        <f>IFERROR(SUMIF('M3_1-15th'!#REF!,$A63,'M3_1-15th'!#REF!),0)</f>
        <v>0</v>
      </c>
      <c r="D63" s="500"/>
      <c r="E63" s="472">
        <f>+SUMIF('M3_1-15th'!A202:A208,A63,'M3_1-15th'!AE202:AE208)</f>
        <v>0</v>
      </c>
      <c r="F63" s="345">
        <f>IFERROR(SUMIF('M3_1-15th'!$A$202:$A4208,$A63,'M3_1-15th'!#REF!),0)</f>
        <v>0</v>
      </c>
      <c r="G63" s="500"/>
      <c r="H63" s="472">
        <f>SUMIF('M3_16-EOM'!A215:A220,A63,'M3_16-EOM'!O215:O220)</f>
        <v>0</v>
      </c>
      <c r="I63" s="345">
        <f>IFERROR(SUMIF('M3_16-EOM'!$A$215:$A4187,$A63,'M3_1-15th'!#REF!),0)</f>
        <v>0</v>
      </c>
      <c r="J63" s="500"/>
      <c r="K63" s="472">
        <f ca="1">SUMIF('M3_16-EOM'!A215:A221,A63,'M3_16-EOM'!AE215:AE220)</f>
        <v>0</v>
      </c>
      <c r="L63" s="345">
        <f>IFERROR(SUMIF('M3_16-EOM'!#REF!,$A63,'M3_16-EOM'!#REF!),0)</f>
        <v>0</v>
      </c>
      <c r="M63" s="500"/>
      <c r="N63" s="487" t="e">
        <f ca="1">COUNTIF(B63,"&gt;0")+COUNTIF(E63,"&gt;0")+COUNTIF(H63,"&gt;0")+COUNTIF(K63,"&gt;0")+COUNTIF(#REF!,"&gt;0")</f>
        <v>#REF!</v>
      </c>
      <c r="O63" s="472" t="e">
        <f t="shared" ca="1" si="30"/>
        <v>#REF!</v>
      </c>
      <c r="P63" s="501">
        <f t="shared" si="29"/>
        <v>0</v>
      </c>
    </row>
    <row r="64" spans="1:37" ht="21" x14ac:dyDescent="0.25">
      <c r="A64" s="349">
        <f>+Setup_and_Criteria!P21</f>
        <v>0</v>
      </c>
      <c r="B64" s="473" t="e">
        <f>+SUMIF('M3_1-15th'!#REF!,$A64,'M3_1-15th'!#REF!)</f>
        <v>#REF!</v>
      </c>
      <c r="C64" s="346">
        <f>IFERROR(SUMIF('M3_1-15th'!#REF!,$A64,'M3_1-15th'!#REF!),0)</f>
        <v>0</v>
      </c>
      <c r="D64" s="502"/>
      <c r="E64" s="473">
        <f>+SUMIF('M3_1-15th'!A202:A209,A64,'M3_1-15th'!AE202:AE209)</f>
        <v>0</v>
      </c>
      <c r="F64" s="346">
        <f>IFERROR(SUMIF('M3_1-15th'!$A$202:$A4209,$A64,'M3_1-15th'!#REF!),0)</f>
        <v>0</v>
      </c>
      <c r="G64" s="502"/>
      <c r="H64" s="473">
        <f>SUMIF('M3_16-EOM'!A215:A221,A64,'M3_16-EOM'!O215:O221)</f>
        <v>0</v>
      </c>
      <c r="I64" s="346">
        <f>IFERROR(SUMIF('M3_16-EOM'!$A$215:$A4188,$A64,'M3_1-15th'!#REF!),0)</f>
        <v>0</v>
      </c>
      <c r="J64" s="502"/>
      <c r="K64" s="473">
        <f ca="1">SUMIF('M3_16-EOM'!A215:A222,A64,'M3_16-EOM'!AE215:AE221)</f>
        <v>0</v>
      </c>
      <c r="L64" s="346">
        <f>IFERROR(SUMIF('M3_16-EOM'!#REF!,$A64,'M3_16-EOM'!#REF!),0)</f>
        <v>0</v>
      </c>
      <c r="M64" s="502"/>
      <c r="N64" s="487" t="e">
        <f ca="1">COUNTIF(B64,"&gt;0")+COUNTIF(E64,"&gt;0")+COUNTIF(H64,"&gt;0")+COUNTIF(K64,"&gt;0")+COUNTIF(#REF!,"&gt;0")</f>
        <v>#REF!</v>
      </c>
      <c r="O64" s="473" t="e">
        <f t="shared" ca="1" si="30"/>
        <v>#REF!</v>
      </c>
      <c r="P64" s="503">
        <f t="shared" si="29"/>
        <v>0</v>
      </c>
    </row>
    <row r="65" spans="1:16" ht="21" x14ac:dyDescent="0.25">
      <c r="A65" s="349">
        <f>+Setup_and_Criteria!P22</f>
        <v>0</v>
      </c>
      <c r="B65" s="474" t="e">
        <f>+SUMIF('M3_1-15th'!#REF!,$A65,'M3_1-15th'!#REF!)</f>
        <v>#REF!</v>
      </c>
      <c r="C65" s="347">
        <f>IFERROR(SUMIF('M3_1-15th'!#REF!,$A65,'M3_1-15th'!#REF!),0)</f>
        <v>0</v>
      </c>
      <c r="D65" s="504"/>
      <c r="E65" s="474">
        <f>+SUMIF('M3_1-15th'!A202:A210,A65,'M3_1-15th'!AE202:AE210)</f>
        <v>0</v>
      </c>
      <c r="F65" s="347">
        <f>IFERROR(SUMIF('M3_1-15th'!$A$202:$A4210,$A65,'M3_1-15th'!#REF!),0)</f>
        <v>0</v>
      </c>
      <c r="G65" s="504"/>
      <c r="H65" s="474">
        <f>SUMIF('M3_16-EOM'!A215:A222,A65,'M3_16-EOM'!O215:O222)</f>
        <v>0</v>
      </c>
      <c r="I65" s="347">
        <f>IFERROR(SUMIF('M3_16-EOM'!$A$215:$A4189,$A65,'M3_1-15th'!#REF!),0)</f>
        <v>0</v>
      </c>
      <c r="J65" s="504"/>
      <c r="K65" s="474">
        <f ca="1">SUMIF('M3_16-EOM'!A215:A223,A65,'M3_16-EOM'!AE215:AE222)</f>
        <v>0</v>
      </c>
      <c r="L65" s="347">
        <f>IFERROR(SUMIF('M3_16-EOM'!#REF!,$A65,'M3_16-EOM'!#REF!),0)</f>
        <v>0</v>
      </c>
      <c r="M65" s="504"/>
      <c r="N65" s="487" t="e">
        <f ca="1">COUNTIF(B65,"&gt;0")+COUNTIF(E65,"&gt;0")+COUNTIF(H65,"&gt;0")+COUNTIF(K65,"&gt;0")+COUNTIF(#REF!,"&gt;0")</f>
        <v>#REF!</v>
      </c>
      <c r="O65" s="474" t="e">
        <f t="shared" ca="1" si="30"/>
        <v>#REF!</v>
      </c>
      <c r="P65" s="505">
        <f t="shared" si="29"/>
        <v>0</v>
      </c>
    </row>
    <row r="66" spans="1:16" ht="21" x14ac:dyDescent="0.25">
      <c r="A66" s="349">
        <f>+Setup_and_Criteria!P23</f>
        <v>0</v>
      </c>
      <c r="B66" s="475" t="e">
        <f>+SUMIF('M3_1-15th'!#REF!,$A66,'M3_1-15th'!#REF!)</f>
        <v>#REF!</v>
      </c>
      <c r="C66" s="348">
        <f>IFERROR(SUMIF('M3_1-15th'!#REF!,$A66,'M3_1-15th'!#REF!),0)</f>
        <v>0</v>
      </c>
      <c r="D66" s="506"/>
      <c r="E66" s="475">
        <f>+SUMIF('M3_1-15th'!A202:A211,A66,'M3_1-15th'!AE202:AE211)</f>
        <v>0</v>
      </c>
      <c r="F66" s="348">
        <f>IFERROR(SUMIF('M3_1-15th'!$A$202:$A4211,$A66,'M3_1-15th'!#REF!),0)</f>
        <v>0</v>
      </c>
      <c r="G66" s="506"/>
      <c r="H66" s="475">
        <f>SUMIF('M3_16-EOM'!A215:A223,A66,'M3_16-EOM'!O215:O223)</f>
        <v>0</v>
      </c>
      <c r="I66" s="348">
        <f>IFERROR(SUMIF('M3_16-EOM'!$A$215:$A4190,$A66,'M3_1-15th'!#REF!),0)</f>
        <v>0</v>
      </c>
      <c r="J66" s="506"/>
      <c r="K66" s="475">
        <f ca="1">SUMIF('M3_16-EOM'!A215:A224,A66,'M3_16-EOM'!AE215:AE223)</f>
        <v>0</v>
      </c>
      <c r="L66" s="348">
        <f>IFERROR(SUMIF('M3_16-EOM'!#REF!,$A66,'M3_16-EOM'!#REF!),0)</f>
        <v>0</v>
      </c>
      <c r="M66" s="506"/>
      <c r="N66" s="487" t="e">
        <f ca="1">COUNTIF(B66,"&gt;0")+COUNTIF(E66,"&gt;0")+COUNTIF(H66,"&gt;0")+COUNTIF(K66,"&gt;0")+COUNTIF(#REF!,"&gt;0")</f>
        <v>#REF!</v>
      </c>
      <c r="O66" s="475" t="e">
        <f t="shared" ca="1" si="30"/>
        <v>#REF!</v>
      </c>
      <c r="P66" s="507">
        <f t="shared" si="29"/>
        <v>0</v>
      </c>
    </row>
    <row r="67" spans="1:16" ht="4.5" customHeight="1" x14ac:dyDescent="0.25">
      <c r="A67" s="84"/>
      <c r="B67" s="85"/>
      <c r="C67" s="86"/>
      <c r="D67" s="508"/>
      <c r="E67" s="85"/>
      <c r="F67" s="86"/>
      <c r="G67" s="508"/>
      <c r="H67" s="85"/>
      <c r="I67" s="86"/>
      <c r="J67" s="508"/>
      <c r="K67" s="484"/>
      <c r="L67" s="86"/>
      <c r="M67" s="508"/>
      <c r="N67" s="509"/>
      <c r="O67" s="484"/>
      <c r="P67" s="316"/>
    </row>
    <row r="68" spans="1:16" ht="19.5" thickBot="1" x14ac:dyDescent="0.3">
      <c r="A68" s="482" t="s">
        <v>99</v>
      </c>
      <c r="B68" s="483" t="e">
        <f>SUM(B55:B67)</f>
        <v>#REF!</v>
      </c>
      <c r="C68" s="263">
        <f>IFERROR(AVERAGEIF(C55:C66,"&gt;0"),0)</f>
        <v>0</v>
      </c>
      <c r="D68" s="73"/>
      <c r="E68" s="483" t="e">
        <f>SUM(E55:E67)</f>
        <v>#REF!</v>
      </c>
      <c r="F68" s="263">
        <f>IFERROR(AVERAGEIF(F55:F66,"&gt;0"),0)</f>
        <v>0</v>
      </c>
      <c r="G68" s="73"/>
      <c r="H68" s="483" t="e">
        <f>SUM(H55:H67)</f>
        <v>#REF!</v>
      </c>
      <c r="I68" s="263">
        <f>IFERROR(AVERAGEIF(I55:I66,"&gt;0"),0)</f>
        <v>0</v>
      </c>
      <c r="J68" s="73"/>
      <c r="K68" s="483" t="e">
        <f>SUM(K55:K67)</f>
        <v>#REF!</v>
      </c>
      <c r="L68" s="263">
        <f>IFERROR(AVERAGEIF(L55:L66,"&gt;0"),0)</f>
        <v>0</v>
      </c>
      <c r="M68" s="73"/>
      <c r="N68" s="266" t="e">
        <f>COUNTIF(B68,"&gt;0")+COUNTIF(E68,"&gt;0")+COUNTIF(H68,"&gt;0")+COUNTIF(K68,"&gt;0")+COUNTIF(#REF!,"&gt;0")</f>
        <v>#REF!</v>
      </c>
      <c r="O68" s="483" t="e">
        <f>SUM(O55:O67)</f>
        <v>#REF!</v>
      </c>
      <c r="P68" s="510">
        <f>IFERROR(AVERAGEIF(P55:P66,"&gt;0"),0)</f>
        <v>0</v>
      </c>
    </row>
    <row r="69" spans="1:16" ht="18.75" x14ac:dyDescent="0.25">
      <c r="A69" s="482" t="s">
        <v>100</v>
      </c>
      <c r="B69" s="918" t="e">
        <f>+B68/60</f>
        <v>#REF!</v>
      </c>
      <c r="C69" s="918"/>
      <c r="D69" s="5"/>
      <c r="E69" s="918" t="e">
        <f>+E68/60</f>
        <v>#REF!</v>
      </c>
      <c r="F69" s="918"/>
      <c r="G69" s="5"/>
      <c r="H69" s="918" t="e">
        <f>+H68/60</f>
        <v>#REF!</v>
      </c>
      <c r="I69" s="918"/>
      <c r="J69" s="5"/>
      <c r="K69" s="918" t="e">
        <f>+K68/60</f>
        <v>#REF!</v>
      </c>
      <c r="L69" s="918"/>
      <c r="M69" s="5"/>
      <c r="N69" s="5"/>
      <c r="O69" s="918" t="e">
        <f>SUM(B69:L69)</f>
        <v>#REF!</v>
      </c>
      <c r="P69" s="919"/>
    </row>
    <row r="70" spans="1:16" ht="23.25" x14ac:dyDescent="0.25">
      <c r="A70" s="482" t="s">
        <v>101</v>
      </c>
      <c r="B70" s="950">
        <f>+(B67/60)*Setup_and_Criteria!$W$12</f>
        <v>0</v>
      </c>
      <c r="C70" s="950"/>
      <c r="D70" s="318"/>
      <c r="E70" s="950">
        <f>+(E67/60)*Setup_and_Criteria!$W$12</f>
        <v>0</v>
      </c>
      <c r="F70" s="950"/>
      <c r="G70" s="318"/>
      <c r="H70" s="950">
        <f>+(H67/60)*Setup_and_Criteria!$W$12</f>
        <v>0</v>
      </c>
      <c r="I70" s="950"/>
      <c r="J70" s="512"/>
      <c r="K70" s="950">
        <f>+(K67/60)*Setup_and_Criteria!$W$12</f>
        <v>0</v>
      </c>
      <c r="L70" s="950"/>
      <c r="M70" s="478"/>
      <c r="N70" s="951">
        <f>SUM(B70:M70)</f>
        <v>0</v>
      </c>
      <c r="O70" s="951"/>
      <c r="P70" s="952"/>
    </row>
    <row r="71" spans="1:16" ht="6.75" customHeight="1" thickBot="1" x14ac:dyDescent="0.3">
      <c r="A71" s="376"/>
      <c r="B71" s="2"/>
      <c r="C71" s="2"/>
      <c r="D71" s="2"/>
      <c r="E71" s="2"/>
      <c r="F71" s="2"/>
      <c r="G71" s="2"/>
      <c r="H71" s="2"/>
      <c r="I71" s="2"/>
      <c r="J71" s="2"/>
      <c r="K71" s="2"/>
      <c r="L71" s="2"/>
      <c r="M71" s="2"/>
      <c r="N71" s="2"/>
      <c r="O71" s="2"/>
      <c r="P71" s="354"/>
    </row>
  </sheetData>
  <sheetProtection algorithmName="SHA-512" hashValue="9Va0EUrMpYY9ZKICiHewc0rRD+8IDVZ8xlERRBqoFyZl1SzfsAg3dWYF0a+wf21TKgLTeIYVwZCr8Ko0zEgrQA==" saltValue="VLuAf1n2fh1DY6uQXBf++A==" spinCount="100000" sheet="1" objects="1" scenarios="1"/>
  <protectedRanges>
    <protectedRange algorithmName="SHA-512" hashValue="yxZ0JFlIlLH9cEeaYF1K5B4ekcCO3Yy8UnDAyhZdPdiJDsiONM7bUT+rlFe0zxcvBD59RiXCFyMZd2YiZs5AiA==" saltValue="Hc7DdqD74GnzDSNpuy4Asw==" spinCount="100000" sqref="M70 M23 M45 K24:M24" name="NewMonthInput"/>
  </protectedRanges>
  <mergeCells count="57">
    <mergeCell ref="O69:P69"/>
    <mergeCell ref="B69:C69"/>
    <mergeCell ref="E69:F69"/>
    <mergeCell ref="H69:I69"/>
    <mergeCell ref="K69:L69"/>
    <mergeCell ref="O28:P28"/>
    <mergeCell ref="H44:I44"/>
    <mergeCell ref="N70:P70"/>
    <mergeCell ref="E44:F44"/>
    <mergeCell ref="K28:L28"/>
    <mergeCell ref="K53:L53"/>
    <mergeCell ref="O53:P53"/>
    <mergeCell ref="C49:E50"/>
    <mergeCell ref="B53:C53"/>
    <mergeCell ref="E53:F53"/>
    <mergeCell ref="H53:I53"/>
    <mergeCell ref="B44:C44"/>
    <mergeCell ref="B70:C70"/>
    <mergeCell ref="E70:F70"/>
    <mergeCell ref="H70:I70"/>
    <mergeCell ref="K70:L70"/>
    <mergeCell ref="I49:P50"/>
    <mergeCell ref="F49:H50"/>
    <mergeCell ref="K44:L44"/>
    <mergeCell ref="O44:P44"/>
    <mergeCell ref="B45:C45"/>
    <mergeCell ref="E45:F45"/>
    <mergeCell ref="H45:I45"/>
    <mergeCell ref="K45:L45"/>
    <mergeCell ref="N45:P45"/>
    <mergeCell ref="B28:C28"/>
    <mergeCell ref="E22:F22"/>
    <mergeCell ref="H22:I22"/>
    <mergeCell ref="K22:L22"/>
    <mergeCell ref="B22:C22"/>
    <mergeCell ref="E28:F28"/>
    <mergeCell ref="H28:I28"/>
    <mergeCell ref="H23:I23"/>
    <mergeCell ref="F26:H26"/>
    <mergeCell ref="C26:E26"/>
    <mergeCell ref="K23:L23"/>
    <mergeCell ref="O22:P22"/>
    <mergeCell ref="B23:C23"/>
    <mergeCell ref="E23:F23"/>
    <mergeCell ref="I25:P26"/>
    <mergeCell ref="T3:Y3"/>
    <mergeCell ref="T4:Y4"/>
    <mergeCell ref="H1:P3"/>
    <mergeCell ref="T14:X15"/>
    <mergeCell ref="T17:Y18"/>
    <mergeCell ref="O5:P5"/>
    <mergeCell ref="E3:F3"/>
    <mergeCell ref="B5:C5"/>
    <mergeCell ref="E5:F5"/>
    <mergeCell ref="H5:I5"/>
    <mergeCell ref="K5:L5"/>
    <mergeCell ref="N23:P23"/>
  </mergeCells>
  <conditionalFormatting sqref="B7:B18">
    <cfRule type="cellIs" dxfId="84" priority="24" operator="greaterThan">
      <formula>0</formula>
    </cfRule>
  </conditionalFormatting>
  <conditionalFormatting sqref="B20">
    <cfRule type="cellIs" dxfId="83" priority="6" operator="greaterThan">
      <formula>0</formula>
    </cfRule>
  </conditionalFormatting>
  <conditionalFormatting sqref="B30:B41">
    <cfRule type="cellIs" dxfId="82" priority="19" operator="greaterThan">
      <formula>0</formula>
    </cfRule>
  </conditionalFormatting>
  <conditionalFormatting sqref="B43">
    <cfRule type="cellIs" dxfId="81" priority="11" operator="greaterThan">
      <formula>0</formula>
    </cfRule>
  </conditionalFormatting>
  <conditionalFormatting sqref="B55:B68">
    <cfRule type="cellIs" dxfId="80" priority="5" operator="greaterThan">
      <formula>0</formula>
    </cfRule>
  </conditionalFormatting>
  <conditionalFormatting sqref="B23:P23">
    <cfRule type="cellIs" dxfId="79" priority="48" operator="lessThan">
      <formula>0</formula>
    </cfRule>
    <cfRule type="cellIs" dxfId="78" priority="49" operator="greaterThan">
      <formula>0</formula>
    </cfRule>
  </conditionalFormatting>
  <conditionalFormatting sqref="B45:P45">
    <cfRule type="cellIs" dxfId="77" priority="46" operator="lessThan">
      <formula>0</formula>
    </cfRule>
    <cfRule type="cellIs" dxfId="76" priority="47" operator="greaterThan">
      <formula>0</formula>
    </cfRule>
  </conditionalFormatting>
  <conditionalFormatting sqref="B70:P70">
    <cfRule type="cellIs" dxfId="75" priority="44" operator="lessThan">
      <formula>0</formula>
    </cfRule>
    <cfRule type="cellIs" dxfId="74" priority="45" operator="greaterThan">
      <formula>0</formula>
    </cfRule>
  </conditionalFormatting>
  <conditionalFormatting sqref="E7:E18">
    <cfRule type="cellIs" dxfId="73" priority="23" operator="greaterThan">
      <formula>0</formula>
    </cfRule>
  </conditionalFormatting>
  <conditionalFormatting sqref="E20">
    <cfRule type="cellIs" dxfId="72" priority="7" operator="greaterThan">
      <formula>0</formula>
    </cfRule>
  </conditionalFormatting>
  <conditionalFormatting sqref="E30:E41">
    <cfRule type="cellIs" dxfId="71" priority="18" operator="greaterThan">
      <formula>0</formula>
    </cfRule>
  </conditionalFormatting>
  <conditionalFormatting sqref="E43">
    <cfRule type="cellIs" dxfId="70" priority="12" operator="greaterThan">
      <formula>0</formula>
    </cfRule>
  </conditionalFormatting>
  <conditionalFormatting sqref="E55:E68">
    <cfRule type="cellIs" dxfId="69" priority="4" operator="greaterThan">
      <formula>0</formula>
    </cfRule>
  </conditionalFormatting>
  <conditionalFormatting sqref="H7:H18">
    <cfRule type="cellIs" dxfId="68" priority="22" operator="greaterThan">
      <formula>0</formula>
    </cfRule>
  </conditionalFormatting>
  <conditionalFormatting sqref="H20">
    <cfRule type="cellIs" dxfId="67" priority="8" operator="greaterThan">
      <formula>0</formula>
    </cfRule>
  </conditionalFormatting>
  <conditionalFormatting sqref="H30:H41">
    <cfRule type="cellIs" dxfId="66" priority="17" operator="greaterThan">
      <formula>0</formula>
    </cfRule>
  </conditionalFormatting>
  <conditionalFormatting sqref="H43">
    <cfRule type="cellIs" dxfId="65" priority="13" operator="greaterThan">
      <formula>0</formula>
    </cfRule>
  </conditionalFormatting>
  <conditionalFormatting sqref="H55:H68">
    <cfRule type="cellIs" dxfId="64" priority="3" operator="greaterThan">
      <formula>0</formula>
    </cfRule>
  </conditionalFormatting>
  <conditionalFormatting sqref="K7:K18">
    <cfRule type="cellIs" dxfId="63" priority="21" operator="greaterThan">
      <formula>0</formula>
    </cfRule>
  </conditionalFormatting>
  <conditionalFormatting sqref="K20">
    <cfRule type="cellIs" dxfId="62" priority="9" operator="greaterThan">
      <formula>0</formula>
    </cfRule>
  </conditionalFormatting>
  <conditionalFormatting sqref="K30:K41">
    <cfRule type="cellIs" dxfId="61" priority="16" operator="greaterThan">
      <formula>0</formula>
    </cfRule>
  </conditionalFormatting>
  <conditionalFormatting sqref="K43">
    <cfRule type="cellIs" dxfId="60" priority="14" operator="greaterThan">
      <formula>0</formula>
    </cfRule>
  </conditionalFormatting>
  <conditionalFormatting sqref="K55:K68">
    <cfRule type="cellIs" dxfId="59" priority="2" operator="greaterThan">
      <formula>0</formula>
    </cfRule>
  </conditionalFormatting>
  <conditionalFormatting sqref="O7:O18">
    <cfRule type="cellIs" dxfId="58" priority="20" operator="greaterThan">
      <formula>0</formula>
    </cfRule>
  </conditionalFormatting>
  <conditionalFormatting sqref="O7:O19">
    <cfRule type="cellIs" dxfId="57" priority="133" operator="greaterThan">
      <formula>#REF!</formula>
    </cfRule>
  </conditionalFormatting>
  <conditionalFormatting sqref="O20">
    <cfRule type="cellIs" dxfId="56" priority="10" operator="greaterThan">
      <formula>0</formula>
    </cfRule>
  </conditionalFormatting>
  <conditionalFormatting sqref="O30 O42">
    <cfRule type="cellIs" dxfId="55" priority="70" operator="greaterThan">
      <formula>#REF!</formula>
    </cfRule>
  </conditionalFormatting>
  <conditionalFormatting sqref="O30:O43">
    <cfRule type="cellIs" dxfId="54" priority="15" operator="greaterThan">
      <formula>0</formula>
    </cfRule>
  </conditionalFormatting>
  <conditionalFormatting sqref="O55:O68">
    <cfRule type="cellIs" dxfId="53" priority="1" operator="greaterThan">
      <formula>0</formula>
    </cfRule>
  </conditionalFormatting>
  <conditionalFormatting sqref="O67">
    <cfRule type="cellIs" dxfId="52" priority="62" operator="greaterThan">
      <formula>#REF!</formula>
    </cfRule>
  </conditionalFormatting>
  <pageMargins left="0.75" right="0.25" top="1" bottom="0.75" header="0.3" footer="0.3"/>
  <pageSetup orientation="landscape" r:id="rId1"/>
  <colBreaks count="3" manualBreakCount="3">
    <brk id="17" max="1048575" man="1"/>
    <brk id="42" max="1048575" man="1"/>
    <brk id="65" max="1048575" man="1"/>
  </colBreaks>
  <drawing r:id="rId2"/>
  <extLst>
    <ext xmlns:x14="http://schemas.microsoft.com/office/spreadsheetml/2009/9/main" uri="{78C0D931-6437-407d-A8EE-F0AAD7539E65}">
      <x14:conditionalFormattings>
        <x14:conditionalFormatting xmlns:xm="http://schemas.microsoft.com/office/excel/2006/main">
          <x14:cfRule type="cellIs" priority="73" operator="lessThan" id="{13538DE5-03B5-4D20-80A1-BD2F2856777E}">
            <xm:f>'TeamMember 1'!$G$12/'TeamMember 1'!$F$12</xm:f>
            <x14:dxf>
              <font>
                <color rgb="FF006100"/>
              </font>
              <fill>
                <patternFill>
                  <bgColor rgb="FFC6EFCE"/>
                </patternFill>
              </fill>
            </x14:dxf>
          </x14:cfRule>
          <x14:cfRule type="cellIs" priority="78" operator="greaterThan" id="{4B3BF214-A959-467D-BFA0-D41D90C6175A}">
            <xm:f>'TeamMember 1'!$G$12/'TeamMember 1'!$F$12</xm:f>
            <x14:dxf>
              <font>
                <color rgb="FF9C0006"/>
              </font>
              <fill>
                <patternFill>
                  <bgColor rgb="FFFFC7CE"/>
                </patternFill>
              </fill>
            </x14:dxf>
          </x14:cfRule>
          <xm:sqref>B7</xm:sqref>
        </x14:conditionalFormatting>
        <x14:conditionalFormatting xmlns:xm="http://schemas.microsoft.com/office/excel/2006/main">
          <x14:cfRule type="cellIs" priority="42" operator="lessThan" id="{0AFBB115-9477-419E-895D-C4C2581D9DBE}">
            <xm:f>'TeamMember 1'!$G$12/'TeamMember 1'!$F$12</xm:f>
            <x14:dxf>
              <font>
                <color rgb="FF006100"/>
              </font>
              <fill>
                <patternFill>
                  <bgColor rgb="FFC6EFCE"/>
                </patternFill>
              </fill>
            </x14:dxf>
          </x14:cfRule>
          <x14:cfRule type="cellIs" priority="43" operator="greaterThan" id="{0B273F3A-525C-4FBF-BC91-060BAFAA392C}">
            <xm:f>'TeamMember 1'!$G$12/'TeamMember 1'!$F$12</xm:f>
            <x14:dxf>
              <font>
                <color rgb="FF9C0006"/>
              </font>
              <fill>
                <patternFill>
                  <bgColor rgb="FFFFC7CE"/>
                </patternFill>
              </fill>
            </x14:dxf>
          </x14:cfRule>
          <xm:sqref>B30</xm:sqref>
        </x14:conditionalFormatting>
        <x14:conditionalFormatting xmlns:xm="http://schemas.microsoft.com/office/excel/2006/main">
          <x14:cfRule type="cellIs" priority="57" operator="lessThan" id="{C31B4BA2-7D09-4C84-8A38-64464157FA41}">
            <xm:f>'TeamMember 1'!$G$12/'TeamMember 1'!$F$12</xm:f>
            <x14:dxf>
              <font>
                <color rgb="FF006100"/>
              </font>
              <fill>
                <patternFill>
                  <bgColor rgb="FFC6EFCE"/>
                </patternFill>
              </fill>
            </x14:dxf>
          </x14:cfRule>
          <x14:cfRule type="cellIs" priority="61" operator="greaterThan" id="{EFB117DE-B7A1-4279-9BBD-201343035EC2}">
            <xm:f>'TeamMember 1'!$G$12/'TeamMember 1'!$F$12</xm:f>
            <x14:dxf>
              <font>
                <color rgb="FF9C0006"/>
              </font>
              <fill>
                <patternFill>
                  <bgColor rgb="FFFFC7CE"/>
                </patternFill>
              </fill>
            </x14:dxf>
          </x14:cfRule>
          <xm:sqref>B55</xm:sqref>
        </x14:conditionalFormatting>
        <x14:conditionalFormatting xmlns:xm="http://schemas.microsoft.com/office/excel/2006/main">
          <x14:cfRule type="cellIs" priority="25" operator="greaterThan" id="{15E51EF4-D735-4875-84A9-62FBBF2D042D}">
            <xm:f>Setup_and_Criteria!$J$14</xm:f>
            <x14:dxf>
              <font>
                <color rgb="FF9C0006"/>
              </font>
              <fill>
                <patternFill>
                  <bgColor rgb="FFFFC7CE"/>
                </patternFill>
              </fill>
            </x14:dxf>
          </x14:cfRule>
          <xm:sqref>C7:C20</xm:sqref>
        </x14:conditionalFormatting>
        <x14:conditionalFormatting xmlns:xm="http://schemas.microsoft.com/office/excel/2006/main">
          <x14:cfRule type="cellIs" priority="33" operator="greaterThan" id="{A133E921-CEBD-454E-BED1-0E75C8FBABBE}">
            <xm:f>Setup_and_Criteria!$J$14</xm:f>
            <x14:dxf>
              <font>
                <color rgb="FF9C0006"/>
              </font>
              <fill>
                <patternFill>
                  <bgColor rgb="FFFFC7CE"/>
                </patternFill>
              </fill>
            </x14:dxf>
          </x14:cfRule>
          <xm:sqref>C30:C42</xm:sqref>
        </x14:conditionalFormatting>
        <x14:conditionalFormatting xmlns:xm="http://schemas.microsoft.com/office/excel/2006/main">
          <x14:cfRule type="cellIs" priority="29" operator="greaterThan" id="{7804A608-C42B-47A5-8255-C8DE71C7FFAE}">
            <xm:f>Setup_and_Criteria!$J$14</xm:f>
            <x14:dxf>
              <font>
                <color rgb="FF9C0006"/>
              </font>
              <fill>
                <patternFill>
                  <bgColor rgb="FFFFC7CE"/>
                </patternFill>
              </fill>
            </x14:dxf>
          </x14:cfRule>
          <xm:sqref>C55:C68</xm:sqref>
        </x14:conditionalFormatting>
        <x14:conditionalFormatting xmlns:xm="http://schemas.microsoft.com/office/excel/2006/main">
          <x14:cfRule type="cellIs" priority="54" operator="lessThan" id="{51591BE6-2515-4AC1-936D-DF4DDDB17147}">
            <xm:f>'TeamMember 1'!$G$12/'TeamMember 1'!$F$12</xm:f>
            <x14:dxf>
              <font>
                <color rgb="FF006100"/>
              </font>
              <fill>
                <patternFill>
                  <bgColor rgb="FFC6EFCE"/>
                </patternFill>
              </fill>
            </x14:dxf>
          </x14:cfRule>
          <x14:cfRule type="cellIs" priority="55" operator="greaterThan" id="{D2481113-69A6-4D3C-9494-3598576B1C0C}">
            <xm:f>'TeamMember 1'!$G$12/'TeamMember 1'!$F$12</xm:f>
            <x14:dxf>
              <font>
                <color rgb="FF9C0006"/>
              </font>
              <fill>
                <patternFill>
                  <bgColor rgb="FFFFC7CE"/>
                </patternFill>
              </fill>
            </x14:dxf>
          </x14:cfRule>
          <xm:sqref>E7:E18</xm:sqref>
        </x14:conditionalFormatting>
        <x14:conditionalFormatting xmlns:xm="http://schemas.microsoft.com/office/excel/2006/main">
          <x14:cfRule type="cellIs" priority="64" operator="lessThan" id="{4DCD945D-D934-4E40-8E7A-6F265F293D0B}">
            <xm:f>'TeamMember 1'!$G$34/'TeamMember 1'!$F$34</xm:f>
            <x14:dxf>
              <font>
                <color rgb="FF006100"/>
              </font>
              <fill>
                <patternFill>
                  <bgColor rgb="FFC6EFCE"/>
                </patternFill>
              </fill>
            </x14:dxf>
          </x14:cfRule>
          <x14:cfRule type="cellIs" priority="68" operator="greaterThan" id="{1239D0EF-61FF-4AA4-8257-8A0E83EEF0D0}">
            <xm:f>'TeamMember 1'!$G$34/'TeamMember 1'!$F$34</xm:f>
            <x14:dxf>
              <font>
                <color rgb="FF9C0006"/>
              </font>
              <fill>
                <patternFill>
                  <bgColor rgb="FFFFC7CE"/>
                </patternFill>
              </fill>
            </x14:dxf>
          </x14:cfRule>
          <xm:sqref>E30</xm:sqref>
        </x14:conditionalFormatting>
        <x14:conditionalFormatting xmlns:xm="http://schemas.microsoft.com/office/excel/2006/main">
          <x14:cfRule type="cellIs" priority="56" operator="lessThan" id="{BA3E950B-82DA-4C14-AE5E-242A0FD8291F}">
            <xm:f>'TeamMember 1'!$G$34/'TeamMember 1'!$F$34</xm:f>
            <x14:dxf>
              <font>
                <color rgb="FF006100"/>
              </font>
              <fill>
                <patternFill>
                  <bgColor rgb="FFC6EFCE"/>
                </patternFill>
              </fill>
            </x14:dxf>
          </x14:cfRule>
          <x14:cfRule type="cellIs" priority="60" operator="greaterThan" id="{1BE7407B-07C8-490C-89FC-BB6C5072D36D}">
            <xm:f>'TeamMember 1'!$G$34/'TeamMember 1'!$F$34</xm:f>
            <x14:dxf>
              <font>
                <color rgb="FF9C0006"/>
              </font>
              <fill>
                <patternFill>
                  <bgColor rgb="FFFFC7CE"/>
                </patternFill>
              </fill>
            </x14:dxf>
          </x14:cfRule>
          <xm:sqref>E55</xm:sqref>
        </x14:conditionalFormatting>
        <x14:conditionalFormatting xmlns:xm="http://schemas.microsoft.com/office/excel/2006/main">
          <x14:cfRule type="cellIs" priority="26" operator="greaterThan" id="{3FC0FEF9-514F-4E8E-B56F-1FBE77A1250A}">
            <xm:f>Setup_and_Criteria!$J$14</xm:f>
            <x14:dxf>
              <font>
                <color rgb="FF9C0006"/>
              </font>
              <fill>
                <patternFill>
                  <bgColor rgb="FFFFC7CE"/>
                </patternFill>
              </fill>
            </x14:dxf>
          </x14:cfRule>
          <xm:sqref>F7:F20</xm:sqref>
        </x14:conditionalFormatting>
        <x14:conditionalFormatting xmlns:xm="http://schemas.microsoft.com/office/excel/2006/main">
          <x14:cfRule type="cellIs" priority="34" operator="greaterThan" id="{5FCE7980-6402-4B2C-8589-BFB8A4E98107}">
            <xm:f>Setup_and_Criteria!$J$14</xm:f>
            <x14:dxf>
              <font>
                <color rgb="FF9C0006"/>
              </font>
              <fill>
                <patternFill>
                  <bgColor rgb="FFFFC7CE"/>
                </patternFill>
              </fill>
            </x14:dxf>
          </x14:cfRule>
          <xm:sqref>F30:F41</xm:sqref>
        </x14:conditionalFormatting>
        <x14:conditionalFormatting xmlns:xm="http://schemas.microsoft.com/office/excel/2006/main">
          <x14:cfRule type="cellIs" priority="30" operator="greaterThan" id="{A71D6F8C-F9DF-4049-8E8A-7D4356D5DE69}">
            <xm:f>Setup_and_Criteria!$J$14</xm:f>
            <x14:dxf>
              <font>
                <color rgb="FF9C0006"/>
              </font>
              <fill>
                <patternFill>
                  <bgColor rgb="FFFFC7CE"/>
                </patternFill>
              </fill>
            </x14:dxf>
          </x14:cfRule>
          <xm:sqref>F55:F68</xm:sqref>
        </x14:conditionalFormatting>
        <x14:conditionalFormatting xmlns:xm="http://schemas.microsoft.com/office/excel/2006/main">
          <x14:cfRule type="cellIs" priority="52" operator="lessThan" id="{11422C07-E9CF-408A-85E8-641077787824}">
            <xm:f>'TeamMember 1'!$G$12/'TeamMember 1'!$F$12</xm:f>
            <x14:dxf>
              <font>
                <color rgb="FF006100"/>
              </font>
              <fill>
                <patternFill>
                  <bgColor rgb="FFC6EFCE"/>
                </patternFill>
              </fill>
            </x14:dxf>
          </x14:cfRule>
          <x14:cfRule type="cellIs" priority="53" operator="greaterThan" id="{DAE78F92-6DD7-4F66-8DC9-562E099FAF99}">
            <xm:f>'TeamMember 1'!$G$12/'TeamMember 1'!$F$12</xm:f>
            <x14:dxf>
              <font>
                <color rgb="FF9C0006"/>
              </font>
              <fill>
                <patternFill>
                  <bgColor rgb="FFFFC7CE"/>
                </patternFill>
              </fill>
            </x14:dxf>
          </x14:cfRule>
          <xm:sqref>H7</xm:sqref>
        </x14:conditionalFormatting>
        <x14:conditionalFormatting xmlns:xm="http://schemas.microsoft.com/office/excel/2006/main">
          <x14:cfRule type="cellIs" priority="67" operator="greaterThan" id="{3E1DFDEF-1F72-421E-972C-B82E33658C0A}">
            <xm:f>'TeamMember 1'!$G$56/'TeamMember 1'!$F$56</xm:f>
            <x14:dxf>
              <font>
                <color rgb="FF9C0006"/>
              </font>
              <fill>
                <patternFill>
                  <bgColor rgb="FFFFC7CE"/>
                </patternFill>
              </fill>
            </x14:dxf>
          </x14:cfRule>
          <xm:sqref>H30</xm:sqref>
        </x14:conditionalFormatting>
        <x14:conditionalFormatting xmlns:xm="http://schemas.microsoft.com/office/excel/2006/main">
          <x14:cfRule type="cellIs" priority="59" operator="greaterThan" id="{9514654F-E3C8-4888-8FB4-C6FDF788295B}">
            <xm:f>'TeamMember 1'!$G$56/'TeamMember 1'!$F$56</xm:f>
            <x14:dxf>
              <font>
                <color rgb="FF9C0006"/>
              </font>
              <fill>
                <patternFill>
                  <bgColor rgb="FFFFC7CE"/>
                </patternFill>
              </fill>
            </x14:dxf>
          </x14:cfRule>
          <xm:sqref>H55</xm:sqref>
        </x14:conditionalFormatting>
        <x14:conditionalFormatting xmlns:xm="http://schemas.microsoft.com/office/excel/2006/main">
          <x14:cfRule type="cellIs" priority="27" operator="greaterThan" id="{F6F59A79-8695-445D-9A1B-8B4C1FE8C234}">
            <xm:f>Setup_and_Criteria!$J$14</xm:f>
            <x14:dxf>
              <font>
                <color rgb="FF9C0006"/>
              </font>
              <fill>
                <patternFill>
                  <bgColor rgb="FFFFC7CE"/>
                </patternFill>
              </fill>
            </x14:dxf>
          </x14:cfRule>
          <xm:sqref>I7:I20</xm:sqref>
        </x14:conditionalFormatting>
        <x14:conditionalFormatting xmlns:xm="http://schemas.microsoft.com/office/excel/2006/main">
          <x14:cfRule type="cellIs" priority="35" operator="greaterThan" id="{68CE0AFB-2186-4E09-B537-83879E53C38B}">
            <xm:f>Setup_and_Criteria!$J$14</xm:f>
            <x14:dxf>
              <font>
                <color rgb="FF9C0006"/>
              </font>
              <fill>
                <patternFill>
                  <bgColor rgb="FFFFC7CE"/>
                </patternFill>
              </fill>
            </x14:dxf>
          </x14:cfRule>
          <xm:sqref>I30:I43</xm:sqref>
        </x14:conditionalFormatting>
        <x14:conditionalFormatting xmlns:xm="http://schemas.microsoft.com/office/excel/2006/main">
          <x14:cfRule type="cellIs" priority="32" operator="greaterThan" id="{5640D06C-2635-4B5C-B625-DCBE8013D546}">
            <xm:f>Setup_and_Criteria!$J$14</xm:f>
            <x14:dxf>
              <font>
                <color rgb="FF9C0006"/>
              </font>
              <fill>
                <patternFill>
                  <bgColor rgb="FFFFC7CE"/>
                </patternFill>
              </fill>
            </x14:dxf>
          </x14:cfRule>
          <xm:sqref>I55:I68</xm:sqref>
        </x14:conditionalFormatting>
        <x14:conditionalFormatting xmlns:xm="http://schemas.microsoft.com/office/excel/2006/main">
          <x14:cfRule type="cellIs" priority="50" operator="lessThan" id="{4BFB7D5C-2264-46AB-A92B-C28B354F9BD5}">
            <xm:f>'TeamMember 1'!$G$12/'TeamMember 1'!$F$12</xm:f>
            <x14:dxf>
              <font>
                <color rgb="FF006100"/>
              </font>
              <fill>
                <patternFill>
                  <bgColor rgb="FFC6EFCE"/>
                </patternFill>
              </fill>
            </x14:dxf>
          </x14:cfRule>
          <x14:cfRule type="cellIs" priority="51" operator="greaterThan" id="{E623D099-D41B-4B6C-88CE-97BBF8BFE012}">
            <xm:f>'TeamMember 1'!$G$12/'TeamMember 1'!$F$12</xm:f>
            <x14:dxf>
              <font>
                <color rgb="FF9C0006"/>
              </font>
              <fill>
                <patternFill>
                  <bgColor rgb="FFFFC7CE"/>
                </patternFill>
              </fill>
            </x14:dxf>
          </x14:cfRule>
          <xm:sqref>K7</xm:sqref>
        </x14:conditionalFormatting>
        <x14:conditionalFormatting xmlns:xm="http://schemas.microsoft.com/office/excel/2006/main">
          <x14:cfRule type="cellIs" priority="66" operator="greaterThan" id="{B942A904-D2E7-450E-89B4-497ABA62E52E}">
            <xm:f>'TeamMember 1'!$G$78/'TeamMember 1'!$F$78</xm:f>
            <x14:dxf>
              <font>
                <color rgb="FF9C0006"/>
              </font>
              <fill>
                <patternFill>
                  <bgColor rgb="FFFFC7CE"/>
                </patternFill>
              </fill>
            </x14:dxf>
          </x14:cfRule>
          <xm:sqref>K30</xm:sqref>
        </x14:conditionalFormatting>
        <x14:conditionalFormatting xmlns:xm="http://schemas.microsoft.com/office/excel/2006/main">
          <x14:cfRule type="cellIs" priority="58" operator="greaterThan" id="{1DCE62EA-B5D2-430C-A407-890D94854ECE}">
            <xm:f>'TeamMember 1'!$G$78/'TeamMember 1'!$F$78</xm:f>
            <x14:dxf>
              <font>
                <color rgb="FF9C0006"/>
              </font>
              <fill>
                <patternFill>
                  <bgColor rgb="FFFFC7CE"/>
                </patternFill>
              </fill>
            </x14:dxf>
          </x14:cfRule>
          <xm:sqref>K55</xm:sqref>
        </x14:conditionalFormatting>
        <x14:conditionalFormatting xmlns:xm="http://schemas.microsoft.com/office/excel/2006/main">
          <x14:cfRule type="cellIs" priority="28" operator="greaterThan" id="{37E466A1-8278-4958-94EC-B177F84BD635}">
            <xm:f>Setup_and_Criteria!$J$14</xm:f>
            <x14:dxf>
              <font>
                <color rgb="FF9C0006"/>
              </font>
              <fill>
                <patternFill>
                  <bgColor rgb="FFFFC7CE"/>
                </patternFill>
              </fill>
            </x14:dxf>
          </x14:cfRule>
          <xm:sqref>L7:L20</xm:sqref>
        </x14:conditionalFormatting>
        <x14:conditionalFormatting xmlns:xm="http://schemas.microsoft.com/office/excel/2006/main">
          <x14:cfRule type="cellIs" priority="36" operator="greaterThan" id="{3B653F21-D5BB-44C0-BBB9-88E23AE370C3}">
            <xm:f>Setup_and_Criteria!$J$14</xm:f>
            <x14:dxf>
              <font>
                <color rgb="FF9C0006"/>
              </font>
              <fill>
                <patternFill>
                  <bgColor rgb="FFFFC7CE"/>
                </patternFill>
              </fill>
            </x14:dxf>
          </x14:cfRule>
          <xm:sqref>L30:L43</xm:sqref>
        </x14:conditionalFormatting>
        <x14:conditionalFormatting xmlns:xm="http://schemas.microsoft.com/office/excel/2006/main">
          <x14:cfRule type="cellIs" priority="37" operator="greaterThan" id="{E351DA50-437B-4212-8385-4CD28F424EDA}">
            <xm:f>Setup_and_Criteria!$J$14</xm:f>
            <x14:dxf>
              <font>
                <color rgb="FF9C0006"/>
              </font>
              <fill>
                <patternFill>
                  <bgColor rgb="FFFFC7CE"/>
                </patternFill>
              </fill>
            </x14:dxf>
          </x14:cfRule>
          <xm:sqref>L55:L68</xm:sqref>
        </x14:conditionalFormatting>
        <x14:conditionalFormatting xmlns:xm="http://schemas.microsoft.com/office/excel/2006/main">
          <x14:cfRule type="cellIs" priority="41" operator="greaterThan" id="{87894A85-5D6C-4723-8E02-471CF49BAE0E}">
            <xm:f>'TeamMember 1'!$G$78/'TeamMember 1'!$F$78</xm:f>
            <x14:dxf>
              <font>
                <color rgb="FF9C0006"/>
              </font>
              <fill>
                <patternFill>
                  <bgColor rgb="FFFFC7CE"/>
                </patternFill>
              </fill>
            </x14:dxf>
          </x14:cfRule>
          <xm:sqref>O55</xm:sqref>
        </x14:conditionalFormatting>
        <x14:conditionalFormatting xmlns:xm="http://schemas.microsoft.com/office/excel/2006/main">
          <x14:cfRule type="cellIs" priority="40" operator="greaterThan" id="{2A558327-055E-41D0-AB93-B7C06DAD8C48}">
            <xm:f>Setup_and_Criteria!$J$14</xm:f>
            <x14:dxf>
              <font>
                <color rgb="FF9C0006"/>
              </font>
              <fill>
                <patternFill>
                  <bgColor rgb="FFFFC7CE"/>
                </patternFill>
              </fill>
            </x14:dxf>
          </x14:cfRule>
          <xm:sqref>P7:P20</xm:sqref>
        </x14:conditionalFormatting>
        <x14:conditionalFormatting xmlns:xm="http://schemas.microsoft.com/office/excel/2006/main">
          <x14:cfRule type="cellIs" priority="39" operator="greaterThan" id="{F8F63FC0-C970-4508-8765-224D8FF8CA9F}">
            <xm:f>Setup_and_Criteria!$J$14</xm:f>
            <x14:dxf>
              <font>
                <color rgb="FF9C0006"/>
              </font>
              <fill>
                <patternFill>
                  <bgColor rgb="FFFFC7CE"/>
                </patternFill>
              </fill>
            </x14:dxf>
          </x14:cfRule>
          <xm:sqref>P30:P43</xm:sqref>
        </x14:conditionalFormatting>
        <x14:conditionalFormatting xmlns:xm="http://schemas.microsoft.com/office/excel/2006/main">
          <x14:cfRule type="cellIs" priority="38" operator="greaterThan" id="{DD906274-2EF7-403B-8211-61826096EE26}">
            <xm:f>Setup_and_Criteria!$J$14</xm:f>
            <x14:dxf>
              <font>
                <color rgb="FF9C0006"/>
              </font>
              <fill>
                <patternFill>
                  <bgColor rgb="FFFFC7CE"/>
                </patternFill>
              </fill>
            </x14:dxf>
          </x14:cfRule>
          <xm:sqref>P55:P68</xm:sqref>
        </x14:conditionalFormatting>
      </x14:conditionalFormattings>
    </ext>
    <ext xmlns:x14="http://schemas.microsoft.com/office/spreadsheetml/2009/9/main" uri="{05C60535-1F16-4fd2-B633-F4F36F0B64E0}">
      <x14:sparklineGroups xmlns:xm="http://schemas.microsoft.com/office/excel/2006/main">
        <x14:sparklineGroup manualMax="0" manualMin="0" displayEmptyCellsAs="gap" xr2:uid="{C27FEC8B-31E1-413F-91E4-AE9E4CCF548E}">
          <x14:colorSeries rgb="FF376092"/>
          <x14:colorNegative rgb="FFD00000"/>
          <x14:colorAxis rgb="FF000000"/>
          <x14:colorMarkers rgb="FFD00000"/>
          <x14:colorFirst rgb="FFD00000"/>
          <x14:colorLast rgb="FFD00000"/>
          <x14:colorHigh rgb="FFD00000"/>
          <x14:colorLow rgb="FFD00000"/>
          <x14:sparklines>
            <x14:sparkline>
              <xm:f>WeeklyPerformanceReport!A1:A3</xm:f>
              <xm:sqref>A7</xm:sqref>
            </x14:sparkline>
            <x14:sparkline>
              <xm:f>WeeklyPerformanceReport!B1:B3</xm:f>
              <xm:sqref>B7</xm:sqref>
            </x14:sparkline>
            <x14:sparkline>
              <xm:f>WeeklyPerformanceReport!C1:C3</xm:f>
              <xm:sqref>C7</xm:sqref>
            </x14:sparkline>
            <x14:sparkline>
              <xm:f>WeeklyPerformanceReport!D1:D3</xm:f>
              <xm:sqref>D7</xm:sqref>
            </x14:sparkline>
            <x14:sparkline>
              <xm:f>WeeklyPerformanceReport!E1:E3</xm:f>
              <xm:sqref>E7</xm:sqref>
            </x14:sparkline>
            <x14:sparkline>
              <xm:f>WeeklyPerformanceReport!F1:F3</xm:f>
              <xm:sqref>F7</xm:sqref>
            </x14:sparkline>
            <x14:sparkline>
              <xm:f>WeeklyPerformanceReport!G1:G3</xm:f>
              <xm:sqref>G7</xm:sqref>
            </x14:sparkline>
            <x14:sparkline>
              <xm:f>WeeklyPerformanceReport!H1:H3</xm:f>
              <xm:sqref>H7</xm:sqref>
            </x14:sparkline>
            <x14:sparkline>
              <xm:f>WeeklyPerformanceReport!I1:I3</xm:f>
              <xm:sqref>I7</xm:sqref>
            </x14:sparkline>
            <x14:sparkline>
              <xm:f>WeeklyPerformanceReport!J1:J3</xm:f>
              <xm:sqref>J7</xm:sqref>
            </x14:sparkline>
            <x14:sparkline>
              <xm:f>WeeklyPerformanceReport!K1:K3</xm:f>
              <xm:sqref>K7</xm:sqref>
            </x14:sparkline>
            <x14:sparkline>
              <xm:f>WeeklyPerformanceReport!L1:L3</xm:f>
              <xm:sqref>L7</xm:sqref>
            </x14:sparkline>
            <x14:sparkline>
              <xm:f>WeeklyPerformanceReport!M1:M3</xm:f>
              <xm:sqref>M7</xm:sqref>
            </x14:sparkline>
            <x14:sparkline>
              <xm:f>WeeklyPerformanceReport!N1:N3</xm:f>
              <xm:sqref>N7</xm:sqref>
            </x14:sparkline>
            <x14:sparkline>
              <xm:f>WeeklyPerformanceReport!O1:O3</xm:f>
              <xm:sqref>O7</xm:sqref>
            </x14:sparkline>
            <x14:sparkline>
              <xm:f>WeeklyPerformanceReport!P1:P3</xm:f>
              <xm:sqref>P7</xm:sqref>
            </x14:sparkline>
          </x14:sparklines>
        </x14:sparklineGroup>
      </x14:sparklineGroup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4FC14D-5093-4ED0-ACA3-FDDEF50059C6}">
  <sheetPr codeName="Sheet5">
    <tabColor rgb="FFFF0000"/>
  </sheetPr>
  <dimension ref="A1:CR72"/>
  <sheetViews>
    <sheetView zoomScale="90" zoomScaleNormal="100" workbookViewId="0">
      <selection activeCell="A20" sqref="A20:CR21"/>
    </sheetView>
  </sheetViews>
  <sheetFormatPr defaultRowHeight="15" x14ac:dyDescent="0.25"/>
  <cols>
    <col min="1" max="1" width="12.7109375" customWidth="1"/>
    <col min="2" max="2" width="8.7109375" customWidth="1"/>
    <col min="3" max="3" width="2" customWidth="1"/>
    <col min="4" max="4" width="12.7109375" customWidth="1"/>
    <col min="5" max="5" width="0" hidden="1" customWidth="1"/>
    <col min="6" max="6" width="8.7109375" customWidth="1"/>
    <col min="7" max="7" width="1.5703125" customWidth="1"/>
    <col min="8" max="8" width="12.7109375" customWidth="1"/>
    <col min="9" max="9" width="9.140625" hidden="1" customWidth="1"/>
    <col min="10" max="10" width="5.7109375" hidden="1" customWidth="1"/>
    <col min="11" max="11" width="9.140625" hidden="1" customWidth="1"/>
    <col min="12" max="12" width="8.7109375" customWidth="1"/>
    <col min="13" max="13" width="1.5703125" customWidth="1"/>
    <col min="14" max="14" width="12.7109375" customWidth="1"/>
    <col min="15" max="18" width="0" hidden="1" customWidth="1"/>
    <col min="19" max="19" width="8.7109375" customWidth="1"/>
    <col min="20" max="20" width="1.7109375" customWidth="1"/>
    <col min="21" max="21" width="12.7109375" customWidth="1"/>
    <col min="22" max="27" width="0" hidden="1" customWidth="1"/>
    <col min="28" max="28" width="8.7109375" customWidth="1"/>
    <col min="29" max="29" width="1.28515625" customWidth="1"/>
    <col min="30" max="30" width="12.7109375" customWidth="1"/>
    <col min="31" max="37" width="0" hidden="1" customWidth="1"/>
    <col min="38" max="38" width="8.7109375" customWidth="1"/>
    <col min="39" max="39" width="2.7109375" customWidth="1"/>
    <col min="40" max="40" width="12.7109375" customWidth="1"/>
    <col min="41" max="46" width="0" hidden="1" customWidth="1"/>
    <col min="47" max="47" width="9.140625" hidden="1" customWidth="1"/>
    <col min="48" max="48" width="2.7109375" hidden="1" customWidth="1"/>
    <col min="49" max="49" width="0" hidden="1" customWidth="1"/>
    <col min="50" max="50" width="8.7109375" customWidth="1"/>
    <col min="51" max="51" width="2.42578125" customWidth="1"/>
    <col min="52" max="52" width="12.7109375" customWidth="1"/>
    <col min="53" max="53" width="0" hidden="1" customWidth="1"/>
    <col min="54" max="54" width="2.7109375" hidden="1" customWidth="1"/>
    <col min="55" max="62" width="0" hidden="1" customWidth="1"/>
    <col min="63" max="63" width="8.7109375" customWidth="1"/>
    <col min="64" max="64" width="2.42578125" customWidth="1"/>
    <col min="65" max="65" width="12.7109375" customWidth="1"/>
    <col min="66" max="78" width="0" hidden="1" customWidth="1"/>
    <col min="79" max="79" width="8.7109375" customWidth="1"/>
    <col min="80" max="80" width="2" customWidth="1"/>
    <col min="81" max="81" width="12.7109375" customWidth="1"/>
    <col min="82" max="95" width="0" hidden="1" customWidth="1"/>
    <col min="96" max="96" width="8.7109375" customWidth="1"/>
  </cols>
  <sheetData>
    <row r="1" spans="1:52" ht="42" customHeight="1" x14ac:dyDescent="0.25">
      <c r="F1" s="618"/>
      <c r="G1" s="618"/>
      <c r="H1" s="955" t="str">
        <f>+Setup_and_Criteria!H5</f>
        <v>Quality Inn</v>
      </c>
      <c r="I1" s="955"/>
      <c r="J1" s="955"/>
      <c r="K1" s="955"/>
      <c r="L1" s="955"/>
      <c r="M1" s="955"/>
      <c r="N1" s="955"/>
      <c r="O1" s="955"/>
      <c r="P1" s="955"/>
      <c r="Q1" s="955"/>
      <c r="R1" s="955"/>
      <c r="S1" s="955"/>
      <c r="T1" s="955"/>
      <c r="U1" s="955"/>
      <c r="V1" s="955"/>
      <c r="W1" s="955"/>
      <c r="X1" s="955"/>
      <c r="Y1" s="955"/>
      <c r="Z1" s="955"/>
      <c r="AA1" s="955"/>
      <c r="AB1" s="955"/>
      <c r="AC1" s="955"/>
      <c r="AD1" s="955"/>
      <c r="AE1" s="955"/>
      <c r="AF1" s="955"/>
      <c r="AG1" s="955"/>
      <c r="AH1" s="955"/>
      <c r="AI1" s="955"/>
      <c r="AJ1" s="955"/>
      <c r="AK1" s="955"/>
      <c r="AL1" s="955"/>
      <c r="AM1" s="618"/>
      <c r="AN1" s="618"/>
      <c r="AO1" s="618"/>
      <c r="AP1" s="618"/>
      <c r="AQ1" s="618"/>
      <c r="AR1" s="618"/>
      <c r="AS1" s="618"/>
      <c r="AT1" s="618"/>
    </row>
    <row r="2" spans="1:52" ht="49.5" customHeight="1" x14ac:dyDescent="0.25">
      <c r="B2" s="580"/>
      <c r="C2" s="580"/>
      <c r="D2" s="580"/>
      <c r="E2" s="580"/>
      <c r="F2" s="580"/>
      <c r="G2" s="580"/>
      <c r="H2" s="956" t="s">
        <v>107</v>
      </c>
      <c r="I2" s="956"/>
      <c r="J2" s="956"/>
      <c r="K2" s="956"/>
      <c r="L2" s="956"/>
      <c r="M2" s="956"/>
      <c r="N2" s="956"/>
      <c r="O2" s="956"/>
      <c r="P2" s="956"/>
      <c r="Q2" s="956"/>
      <c r="R2" s="956"/>
      <c r="S2" s="956"/>
      <c r="T2" s="956"/>
      <c r="U2" s="956"/>
      <c r="V2" s="956"/>
      <c r="W2" s="956"/>
      <c r="X2" s="956"/>
      <c r="Y2" s="956"/>
      <c r="Z2" s="956"/>
      <c r="AA2" s="956"/>
      <c r="AB2" s="956"/>
      <c r="AC2" s="956"/>
      <c r="AD2" s="956"/>
      <c r="AE2" s="956"/>
      <c r="AF2" s="956"/>
      <c r="AG2" s="956"/>
      <c r="AH2" s="956"/>
      <c r="AI2" s="956"/>
      <c r="AJ2" s="956"/>
      <c r="AK2" s="956"/>
      <c r="AL2" s="956"/>
      <c r="AM2" s="618"/>
      <c r="AO2" s="618"/>
      <c r="AP2" s="618"/>
      <c r="AQ2" s="618"/>
      <c r="AR2" s="618"/>
      <c r="AS2" s="618"/>
      <c r="AT2" s="618"/>
    </row>
    <row r="3" spans="1:52" ht="33.75" x14ac:dyDescent="0.5">
      <c r="A3" s="548" t="str">
        <f>+A22</f>
        <v>April</v>
      </c>
      <c r="B3" s="548"/>
      <c r="C3" s="548"/>
      <c r="D3" s="548"/>
      <c r="E3" s="548"/>
      <c r="F3" s="548"/>
      <c r="G3" s="562"/>
      <c r="H3" s="960" t="str">
        <f>+A39</f>
        <v>May</v>
      </c>
      <c r="I3" s="960"/>
      <c r="J3" s="960"/>
      <c r="K3" s="960"/>
      <c r="L3" s="960"/>
      <c r="M3" s="960"/>
      <c r="N3" s="960"/>
      <c r="O3" s="960"/>
      <c r="P3" s="960"/>
      <c r="Q3" s="960"/>
      <c r="R3" s="960"/>
      <c r="S3" s="960"/>
      <c r="T3" s="619"/>
      <c r="U3" s="959" t="str">
        <f>+A57</f>
        <v>June</v>
      </c>
      <c r="V3" s="959"/>
      <c r="W3" s="959"/>
      <c r="X3" s="959"/>
      <c r="Y3" s="959"/>
      <c r="Z3" s="959"/>
      <c r="AA3" s="959"/>
      <c r="AB3" s="959"/>
      <c r="AC3" s="959"/>
      <c r="AD3" s="959"/>
      <c r="AE3" s="959"/>
      <c r="AF3" s="959"/>
      <c r="AG3" s="959"/>
      <c r="AH3" s="959"/>
      <c r="AI3" s="959"/>
      <c r="AJ3" s="959"/>
      <c r="AK3" s="959"/>
      <c r="AL3" s="959"/>
      <c r="AM3" s="618"/>
      <c r="AO3" s="618"/>
      <c r="AP3" s="618"/>
      <c r="AQ3" s="618"/>
      <c r="AR3" s="618"/>
      <c r="AS3" s="618"/>
      <c r="AT3" s="618"/>
    </row>
    <row r="4" spans="1:52" ht="36" x14ac:dyDescent="0.55000000000000004">
      <c r="A4" s="973" t="s">
        <v>108</v>
      </c>
      <c r="B4" s="973"/>
      <c r="C4" s="564"/>
      <c r="D4" s="973" t="s">
        <v>16</v>
      </c>
      <c r="E4" s="973"/>
      <c r="F4" s="973"/>
      <c r="G4" s="563"/>
      <c r="H4" s="957" t="s">
        <v>108</v>
      </c>
      <c r="I4" s="957"/>
      <c r="J4" s="957"/>
      <c r="K4" s="957"/>
      <c r="L4" s="957"/>
      <c r="M4" s="444"/>
      <c r="N4" s="957" t="s">
        <v>16</v>
      </c>
      <c r="O4" s="957"/>
      <c r="P4" s="957"/>
      <c r="Q4" s="957"/>
      <c r="R4" s="957"/>
      <c r="S4" s="957"/>
      <c r="T4" s="619"/>
      <c r="U4" s="574" t="s">
        <v>108</v>
      </c>
      <c r="V4" s="574"/>
      <c r="W4" s="574"/>
      <c r="X4" s="574"/>
      <c r="Y4" s="574"/>
      <c r="Z4" s="575"/>
      <c r="AA4" s="575"/>
      <c r="AB4" s="576"/>
      <c r="AC4" s="574"/>
      <c r="AD4" s="958" t="s">
        <v>16</v>
      </c>
      <c r="AE4" s="958"/>
      <c r="AF4" s="958"/>
      <c r="AG4" s="958"/>
      <c r="AH4" s="958"/>
      <c r="AI4" s="958"/>
      <c r="AJ4" s="958"/>
      <c r="AK4" s="958"/>
      <c r="AL4" s="958"/>
      <c r="AM4" s="618"/>
      <c r="AO4" s="618"/>
      <c r="AP4" s="618"/>
      <c r="AQ4" s="618"/>
      <c r="AR4" s="618"/>
      <c r="AS4" s="618"/>
      <c r="AT4" s="618"/>
    </row>
    <row r="5" spans="1:52" ht="28.5" x14ac:dyDescent="0.45">
      <c r="A5" s="565">
        <f t="shared" ref="A5:A16" si="0">+BM26</f>
        <v>0</v>
      </c>
      <c r="B5" s="566" t="e">
        <f t="shared" ref="B5:B16" si="1">+CA26</f>
        <v>#REF!</v>
      </c>
      <c r="C5" s="302"/>
      <c r="D5" s="567">
        <f t="shared" ref="D5:D16" si="2">+CC26</f>
        <v>0</v>
      </c>
      <c r="E5" s="568"/>
      <c r="F5" s="569">
        <f t="shared" ref="F5:F16" si="3">+CR26</f>
        <v>0</v>
      </c>
      <c r="G5" s="618"/>
      <c r="H5" s="572">
        <f>+BM43</f>
        <v>0</v>
      </c>
      <c r="I5" s="570"/>
      <c r="J5" s="444"/>
      <c r="K5" s="571"/>
      <c r="L5" s="573" t="e">
        <f>+CA43</f>
        <v>#REF!</v>
      </c>
      <c r="N5" s="572">
        <f>+CC43</f>
        <v>0</v>
      </c>
      <c r="O5" s="572"/>
      <c r="P5" s="572"/>
      <c r="Q5" s="572"/>
      <c r="R5" s="572"/>
      <c r="S5" s="578">
        <f>+CR43</f>
        <v>0</v>
      </c>
      <c r="T5" s="302"/>
      <c r="U5" s="577">
        <f ca="1">+BM61</f>
        <v>0</v>
      </c>
      <c r="V5" s="577"/>
      <c r="W5" s="577"/>
      <c r="X5" s="577"/>
      <c r="Y5" s="577"/>
      <c r="Z5" s="577"/>
      <c r="AA5" s="577"/>
      <c r="AB5" s="577" t="e">
        <f ca="1">+CA61</f>
        <v>#REF!</v>
      </c>
      <c r="AC5" s="618"/>
      <c r="AD5" s="577">
        <f ca="1">+CC61</f>
        <v>0</v>
      </c>
      <c r="AE5" s="577"/>
      <c r="AF5" s="577"/>
      <c r="AG5" s="577"/>
      <c r="AH5" s="577"/>
      <c r="AI5" s="577"/>
      <c r="AJ5" s="577"/>
      <c r="AK5" s="577"/>
      <c r="AL5" s="579">
        <f ca="1">+CR61</f>
        <v>0</v>
      </c>
      <c r="AM5" s="618"/>
      <c r="AN5" s="618"/>
      <c r="AO5" s="618"/>
      <c r="AP5" s="618"/>
      <c r="AQ5" s="618"/>
      <c r="AR5" s="618"/>
      <c r="AS5" s="618"/>
      <c r="AT5" s="618"/>
    </row>
    <row r="6" spans="1:52" ht="28.5" x14ac:dyDescent="0.45">
      <c r="A6" s="565">
        <f t="shared" si="0"/>
        <v>0</v>
      </c>
      <c r="B6" s="566" t="e">
        <f t="shared" si="1"/>
        <v>#REF!</v>
      </c>
      <c r="C6" s="302"/>
      <c r="D6" s="567">
        <f t="shared" si="2"/>
        <v>0</v>
      </c>
      <c r="E6" s="568"/>
      <c r="F6" s="569">
        <f t="shared" si="3"/>
        <v>0</v>
      </c>
      <c r="G6" s="618"/>
      <c r="H6" s="572">
        <f t="shared" ref="H6:H16" si="4">+BM44</f>
        <v>0</v>
      </c>
      <c r="I6" s="570"/>
      <c r="J6" s="444"/>
      <c r="K6" s="571"/>
      <c r="L6" s="573" t="e">
        <f t="shared" ref="L6:L16" si="5">+CA44</f>
        <v>#REF!</v>
      </c>
      <c r="N6" s="572">
        <f t="shared" ref="N6:N16" si="6">+CC44</f>
        <v>0</v>
      </c>
      <c r="O6" s="572"/>
      <c r="P6" s="572"/>
      <c r="Q6" s="572"/>
      <c r="R6" s="572"/>
      <c r="S6" s="578">
        <f t="shared" ref="S6:S16" si="7">+CR44</f>
        <v>0</v>
      </c>
      <c r="T6" s="619"/>
      <c r="U6" s="577">
        <f t="shared" ref="U6:U16" ca="1" si="8">+BM62</f>
        <v>0</v>
      </c>
      <c r="V6" s="577"/>
      <c r="W6" s="577"/>
      <c r="X6" s="577"/>
      <c r="Y6" s="577"/>
      <c r="Z6" s="577"/>
      <c r="AA6" s="577"/>
      <c r="AB6" s="577" t="e">
        <f t="shared" ref="AB6:AB16" ca="1" si="9">+CA62</f>
        <v>#REF!</v>
      </c>
      <c r="AC6" s="618"/>
      <c r="AD6" s="577">
        <f t="shared" ref="AD6:AD16" ca="1" si="10">+CC62</f>
        <v>0</v>
      </c>
      <c r="AE6" s="577"/>
      <c r="AF6" s="577"/>
      <c r="AG6" s="577"/>
      <c r="AH6" s="577"/>
      <c r="AI6" s="577"/>
      <c r="AJ6" s="577"/>
      <c r="AK6" s="577"/>
      <c r="AL6" s="579">
        <f t="shared" ref="AL6:AL16" ca="1" si="11">+CR62</f>
        <v>0</v>
      </c>
      <c r="AM6" s="618"/>
      <c r="AN6" s="618"/>
      <c r="AO6" s="618"/>
      <c r="AP6" s="618"/>
      <c r="AQ6" s="618"/>
      <c r="AR6" s="618"/>
      <c r="AS6" s="618"/>
      <c r="AT6" s="618"/>
    </row>
    <row r="7" spans="1:52" ht="28.5" x14ac:dyDescent="0.45">
      <c r="A7" s="565">
        <f t="shared" si="0"/>
        <v>0</v>
      </c>
      <c r="B7" s="566" t="e">
        <f t="shared" si="1"/>
        <v>#REF!</v>
      </c>
      <c r="C7" s="302"/>
      <c r="D7" s="567">
        <f t="shared" si="2"/>
        <v>0</v>
      </c>
      <c r="E7" s="568"/>
      <c r="F7" s="569">
        <f t="shared" si="3"/>
        <v>0</v>
      </c>
      <c r="G7" s="618"/>
      <c r="H7" s="572">
        <f t="shared" si="4"/>
        <v>0</v>
      </c>
      <c r="I7" s="570"/>
      <c r="J7" s="444"/>
      <c r="K7" s="571"/>
      <c r="L7" s="573" t="e">
        <f t="shared" si="5"/>
        <v>#REF!</v>
      </c>
      <c r="N7" s="572">
        <f t="shared" si="6"/>
        <v>0</v>
      </c>
      <c r="O7" s="572"/>
      <c r="P7" s="572"/>
      <c r="Q7" s="572"/>
      <c r="R7" s="572"/>
      <c r="S7" s="578">
        <f t="shared" si="7"/>
        <v>0</v>
      </c>
      <c r="T7" s="619"/>
      <c r="U7" s="577">
        <f t="shared" ca="1" si="8"/>
        <v>0</v>
      </c>
      <c r="V7" s="577"/>
      <c r="W7" s="577"/>
      <c r="X7" s="577"/>
      <c r="Y7" s="577"/>
      <c r="Z7" s="577"/>
      <c r="AA7" s="577"/>
      <c r="AB7" s="577" t="e">
        <f t="shared" ca="1" si="9"/>
        <v>#REF!</v>
      </c>
      <c r="AC7" s="618"/>
      <c r="AD7" s="577">
        <f t="shared" ca="1" si="10"/>
        <v>0</v>
      </c>
      <c r="AE7" s="577"/>
      <c r="AF7" s="577"/>
      <c r="AG7" s="577"/>
      <c r="AH7" s="577"/>
      <c r="AI7" s="577"/>
      <c r="AJ7" s="577"/>
      <c r="AK7" s="577"/>
      <c r="AL7" s="579">
        <f t="shared" ca="1" si="11"/>
        <v>0</v>
      </c>
      <c r="AM7" s="618"/>
      <c r="AN7" s="618"/>
      <c r="AO7" s="618"/>
      <c r="AP7" s="618"/>
      <c r="AQ7" s="618"/>
      <c r="AR7" s="618"/>
      <c r="AS7" s="618"/>
      <c r="AT7" s="618"/>
      <c r="AZ7" t="s">
        <v>42</v>
      </c>
    </row>
    <row r="8" spans="1:52" ht="28.5" x14ac:dyDescent="0.45">
      <c r="A8" s="565">
        <f t="shared" si="0"/>
        <v>0</v>
      </c>
      <c r="B8" s="566" t="e">
        <f t="shared" si="1"/>
        <v>#REF!</v>
      </c>
      <c r="C8" s="302"/>
      <c r="D8" s="567">
        <f t="shared" si="2"/>
        <v>0</v>
      </c>
      <c r="E8" s="568"/>
      <c r="F8" s="569">
        <f t="shared" si="3"/>
        <v>0</v>
      </c>
      <c r="G8" s="618"/>
      <c r="H8" s="572">
        <f t="shared" si="4"/>
        <v>0</v>
      </c>
      <c r="I8" s="570"/>
      <c r="J8" s="444"/>
      <c r="K8" s="571"/>
      <c r="L8" s="573" t="e">
        <f t="shared" si="5"/>
        <v>#REF!</v>
      </c>
      <c r="N8" s="572">
        <f t="shared" si="6"/>
        <v>0</v>
      </c>
      <c r="O8" s="572"/>
      <c r="P8" s="572"/>
      <c r="Q8" s="572"/>
      <c r="R8" s="572"/>
      <c r="S8" s="578">
        <f t="shared" si="7"/>
        <v>0</v>
      </c>
      <c r="T8" s="619"/>
      <c r="U8" s="577">
        <f t="shared" ca="1" si="8"/>
        <v>0</v>
      </c>
      <c r="V8" s="577"/>
      <c r="W8" s="577"/>
      <c r="X8" s="577"/>
      <c r="Y8" s="577"/>
      <c r="Z8" s="577"/>
      <c r="AA8" s="577"/>
      <c r="AB8" s="577" t="e">
        <f t="shared" ca="1" si="9"/>
        <v>#REF!</v>
      </c>
      <c r="AC8" s="618"/>
      <c r="AD8" s="577">
        <f t="shared" ca="1" si="10"/>
        <v>0</v>
      </c>
      <c r="AE8" s="577"/>
      <c r="AF8" s="577"/>
      <c r="AG8" s="577"/>
      <c r="AH8" s="577"/>
      <c r="AI8" s="577"/>
      <c r="AJ8" s="577"/>
      <c r="AK8" s="577"/>
      <c r="AL8" s="579">
        <f t="shared" ca="1" si="11"/>
        <v>0</v>
      </c>
      <c r="AM8" s="618"/>
      <c r="AN8" s="618"/>
      <c r="AO8" s="618"/>
      <c r="AP8" s="618"/>
      <c r="AQ8" s="618"/>
      <c r="AR8" s="618"/>
      <c r="AS8" s="618"/>
      <c r="AT8" s="618"/>
    </row>
    <row r="9" spans="1:52" ht="28.5" x14ac:dyDescent="0.45">
      <c r="A9" s="565">
        <f t="shared" si="0"/>
        <v>0</v>
      </c>
      <c r="B9" s="566" t="e">
        <f t="shared" si="1"/>
        <v>#REF!</v>
      </c>
      <c r="C9" s="302"/>
      <c r="D9" s="567">
        <f t="shared" si="2"/>
        <v>0</v>
      </c>
      <c r="E9" s="568"/>
      <c r="F9" s="569">
        <f t="shared" si="3"/>
        <v>0</v>
      </c>
      <c r="G9" s="618"/>
      <c r="H9" s="572">
        <f t="shared" si="4"/>
        <v>0</v>
      </c>
      <c r="I9" s="570"/>
      <c r="J9" s="444"/>
      <c r="K9" s="571"/>
      <c r="L9" s="573" t="e">
        <f t="shared" si="5"/>
        <v>#REF!</v>
      </c>
      <c r="N9" s="572">
        <f t="shared" si="6"/>
        <v>0</v>
      </c>
      <c r="O9" s="572"/>
      <c r="P9" s="572"/>
      <c r="Q9" s="572"/>
      <c r="R9" s="572"/>
      <c r="S9" s="578">
        <f t="shared" si="7"/>
        <v>0</v>
      </c>
      <c r="T9" s="619"/>
      <c r="U9" s="577">
        <f t="shared" ca="1" si="8"/>
        <v>0</v>
      </c>
      <c r="V9" s="577"/>
      <c r="W9" s="577"/>
      <c r="X9" s="577"/>
      <c r="Y9" s="577"/>
      <c r="Z9" s="577"/>
      <c r="AA9" s="577"/>
      <c r="AB9" s="577" t="e">
        <f t="shared" ca="1" si="9"/>
        <v>#REF!</v>
      </c>
      <c r="AC9" s="618"/>
      <c r="AD9" s="577">
        <f t="shared" ca="1" si="10"/>
        <v>0</v>
      </c>
      <c r="AE9" s="577"/>
      <c r="AF9" s="577"/>
      <c r="AG9" s="577"/>
      <c r="AH9" s="577"/>
      <c r="AI9" s="577"/>
      <c r="AJ9" s="577"/>
      <c r="AK9" s="577"/>
      <c r="AL9" s="579">
        <f t="shared" ca="1" si="11"/>
        <v>0</v>
      </c>
      <c r="AM9" s="618"/>
      <c r="AN9" s="618"/>
      <c r="AO9" s="618"/>
      <c r="AP9" s="618"/>
      <c r="AQ9" s="618"/>
      <c r="AR9" s="618"/>
      <c r="AS9" s="618"/>
      <c r="AT9" s="618"/>
    </row>
    <row r="10" spans="1:52" ht="28.5" x14ac:dyDescent="0.45">
      <c r="A10" s="565">
        <f t="shared" si="0"/>
        <v>0</v>
      </c>
      <c r="B10" s="566" t="e">
        <f t="shared" si="1"/>
        <v>#REF!</v>
      </c>
      <c r="C10" s="302"/>
      <c r="D10" s="567">
        <f t="shared" si="2"/>
        <v>0</v>
      </c>
      <c r="E10" s="568"/>
      <c r="F10" s="569">
        <f t="shared" si="3"/>
        <v>0</v>
      </c>
      <c r="G10" s="618"/>
      <c r="H10" s="572">
        <f t="shared" si="4"/>
        <v>0</v>
      </c>
      <c r="I10" s="570"/>
      <c r="J10" s="444"/>
      <c r="K10" s="571"/>
      <c r="L10" s="573" t="e">
        <f t="shared" si="5"/>
        <v>#REF!</v>
      </c>
      <c r="N10" s="572">
        <f t="shared" si="6"/>
        <v>0</v>
      </c>
      <c r="O10" s="572"/>
      <c r="P10" s="572"/>
      <c r="Q10" s="572"/>
      <c r="R10" s="572"/>
      <c r="S10" s="578">
        <f t="shared" si="7"/>
        <v>0</v>
      </c>
      <c r="T10" s="619"/>
      <c r="U10" s="577">
        <f t="shared" ca="1" si="8"/>
        <v>0</v>
      </c>
      <c r="V10" s="577"/>
      <c r="W10" s="577"/>
      <c r="X10" s="577"/>
      <c r="Y10" s="577"/>
      <c r="Z10" s="577"/>
      <c r="AA10" s="577"/>
      <c r="AB10" s="577" t="e">
        <f t="shared" ca="1" si="9"/>
        <v>#REF!</v>
      </c>
      <c r="AC10" s="618"/>
      <c r="AD10" s="577">
        <f t="shared" ca="1" si="10"/>
        <v>0</v>
      </c>
      <c r="AE10" s="577"/>
      <c r="AF10" s="577"/>
      <c r="AG10" s="577"/>
      <c r="AH10" s="577"/>
      <c r="AI10" s="577"/>
      <c r="AJ10" s="577"/>
      <c r="AK10" s="577"/>
      <c r="AL10" s="579">
        <f t="shared" ca="1" si="11"/>
        <v>0</v>
      </c>
      <c r="AM10" s="618"/>
      <c r="AN10" s="618"/>
      <c r="AO10" s="618"/>
      <c r="AP10" s="618"/>
      <c r="AQ10" s="618"/>
      <c r="AR10" s="618"/>
      <c r="AS10" s="618"/>
      <c r="AT10" s="618"/>
    </row>
    <row r="11" spans="1:52" ht="28.5" x14ac:dyDescent="0.45">
      <c r="A11" s="565">
        <f t="shared" si="0"/>
        <v>0</v>
      </c>
      <c r="B11" s="566" t="e">
        <f t="shared" si="1"/>
        <v>#REF!</v>
      </c>
      <c r="C11" s="302"/>
      <c r="D11" s="567">
        <f t="shared" si="2"/>
        <v>0</v>
      </c>
      <c r="E11" s="568"/>
      <c r="F11" s="569">
        <f t="shared" si="3"/>
        <v>0</v>
      </c>
      <c r="G11" s="618"/>
      <c r="H11" s="572">
        <f t="shared" si="4"/>
        <v>0</v>
      </c>
      <c r="I11" s="570"/>
      <c r="J11" s="444"/>
      <c r="K11" s="571"/>
      <c r="L11" s="573" t="e">
        <f t="shared" si="5"/>
        <v>#REF!</v>
      </c>
      <c r="N11" s="572">
        <f t="shared" si="6"/>
        <v>0</v>
      </c>
      <c r="O11" s="572"/>
      <c r="P11" s="572"/>
      <c r="Q11" s="572"/>
      <c r="R11" s="572"/>
      <c r="S11" s="578">
        <f t="shared" si="7"/>
        <v>0</v>
      </c>
      <c r="T11" s="619"/>
      <c r="U11" s="577">
        <f t="shared" ca="1" si="8"/>
        <v>0</v>
      </c>
      <c r="V11" s="577"/>
      <c r="W11" s="577"/>
      <c r="X11" s="577"/>
      <c r="Y11" s="577"/>
      <c r="Z11" s="577"/>
      <c r="AA11" s="577"/>
      <c r="AB11" s="577" t="e">
        <f t="shared" ca="1" si="9"/>
        <v>#REF!</v>
      </c>
      <c r="AC11" s="618"/>
      <c r="AD11" s="577">
        <f t="shared" ca="1" si="10"/>
        <v>0</v>
      </c>
      <c r="AE11" s="577"/>
      <c r="AF11" s="577"/>
      <c r="AG11" s="577"/>
      <c r="AH11" s="577"/>
      <c r="AI11" s="577"/>
      <c r="AJ11" s="577"/>
      <c r="AK11" s="577"/>
      <c r="AL11" s="579">
        <f t="shared" ca="1" si="11"/>
        <v>0</v>
      </c>
      <c r="AM11" s="618"/>
      <c r="AN11" s="618"/>
      <c r="AO11" s="618"/>
      <c r="AP11" s="618"/>
      <c r="AQ11" s="618"/>
      <c r="AR11" s="618"/>
      <c r="AS11" s="618"/>
      <c r="AT11" s="618"/>
    </row>
    <row r="12" spans="1:52" ht="28.5" x14ac:dyDescent="0.45">
      <c r="A12" s="565">
        <f t="shared" si="0"/>
        <v>0</v>
      </c>
      <c r="B12" s="566" t="e">
        <f t="shared" si="1"/>
        <v>#REF!</v>
      </c>
      <c r="C12" s="302"/>
      <c r="D12" s="567">
        <f t="shared" si="2"/>
        <v>0</v>
      </c>
      <c r="E12" s="568"/>
      <c r="F12" s="569">
        <f t="shared" si="3"/>
        <v>0</v>
      </c>
      <c r="G12" s="618"/>
      <c r="H12" s="572">
        <f t="shared" si="4"/>
        <v>0</v>
      </c>
      <c r="I12" s="570"/>
      <c r="J12" s="444"/>
      <c r="K12" s="571"/>
      <c r="L12" s="573" t="e">
        <f t="shared" si="5"/>
        <v>#REF!</v>
      </c>
      <c r="N12" s="572">
        <f t="shared" si="6"/>
        <v>0</v>
      </c>
      <c r="O12" s="572"/>
      <c r="P12" s="572"/>
      <c r="Q12" s="572"/>
      <c r="R12" s="572"/>
      <c r="S12" s="578">
        <f t="shared" si="7"/>
        <v>0</v>
      </c>
      <c r="T12" s="619"/>
      <c r="U12" s="577">
        <f t="shared" ca="1" si="8"/>
        <v>0</v>
      </c>
      <c r="V12" s="577"/>
      <c r="W12" s="577"/>
      <c r="X12" s="577"/>
      <c r="Y12" s="577"/>
      <c r="Z12" s="577"/>
      <c r="AA12" s="577"/>
      <c r="AB12" s="577" t="e">
        <f t="shared" ca="1" si="9"/>
        <v>#REF!</v>
      </c>
      <c r="AC12" s="618"/>
      <c r="AD12" s="577">
        <f t="shared" ca="1" si="10"/>
        <v>0</v>
      </c>
      <c r="AE12" s="577"/>
      <c r="AF12" s="577"/>
      <c r="AG12" s="577"/>
      <c r="AH12" s="577"/>
      <c r="AI12" s="577"/>
      <c r="AJ12" s="577"/>
      <c r="AK12" s="577"/>
      <c r="AL12" s="579">
        <f t="shared" ca="1" si="11"/>
        <v>0</v>
      </c>
      <c r="AM12" s="618"/>
      <c r="AN12" s="618"/>
      <c r="AO12" s="618"/>
      <c r="AP12" s="618"/>
      <c r="AQ12" s="618"/>
      <c r="AR12" s="618"/>
      <c r="AS12" s="618"/>
      <c r="AT12" s="618"/>
    </row>
    <row r="13" spans="1:52" ht="28.5" x14ac:dyDescent="0.45">
      <c r="A13" s="565">
        <f t="shared" si="0"/>
        <v>0</v>
      </c>
      <c r="B13" s="566" t="e">
        <f t="shared" si="1"/>
        <v>#REF!</v>
      </c>
      <c r="C13" s="302"/>
      <c r="D13" s="567">
        <f t="shared" si="2"/>
        <v>0</v>
      </c>
      <c r="E13" s="568"/>
      <c r="F13" s="569">
        <f t="shared" si="3"/>
        <v>0</v>
      </c>
      <c r="G13" s="618"/>
      <c r="H13" s="572">
        <f t="shared" si="4"/>
        <v>0</v>
      </c>
      <c r="I13" s="570"/>
      <c r="J13" s="444"/>
      <c r="K13" s="571"/>
      <c r="L13" s="573" t="e">
        <f t="shared" si="5"/>
        <v>#REF!</v>
      </c>
      <c r="N13" s="572">
        <f t="shared" si="6"/>
        <v>0</v>
      </c>
      <c r="O13" s="572"/>
      <c r="P13" s="572"/>
      <c r="Q13" s="572"/>
      <c r="R13" s="572"/>
      <c r="S13" s="578">
        <f t="shared" si="7"/>
        <v>0</v>
      </c>
      <c r="T13" s="619"/>
      <c r="U13" s="577">
        <f t="shared" ca="1" si="8"/>
        <v>0</v>
      </c>
      <c r="V13" s="577"/>
      <c r="W13" s="577"/>
      <c r="X13" s="577"/>
      <c r="Y13" s="577"/>
      <c r="Z13" s="577"/>
      <c r="AA13" s="577"/>
      <c r="AB13" s="577" t="e">
        <f t="shared" ca="1" si="9"/>
        <v>#REF!</v>
      </c>
      <c r="AC13" s="618"/>
      <c r="AD13" s="577">
        <f t="shared" ca="1" si="10"/>
        <v>0</v>
      </c>
      <c r="AE13" s="577"/>
      <c r="AF13" s="577"/>
      <c r="AG13" s="577"/>
      <c r="AH13" s="577"/>
      <c r="AI13" s="577"/>
      <c r="AJ13" s="577"/>
      <c r="AK13" s="577"/>
      <c r="AL13" s="579">
        <f t="shared" ca="1" si="11"/>
        <v>0</v>
      </c>
      <c r="AM13" s="618"/>
      <c r="AN13" s="618"/>
      <c r="AO13" s="618"/>
      <c r="AP13" s="618"/>
      <c r="AQ13" s="618"/>
      <c r="AR13" s="618"/>
      <c r="AS13" s="618"/>
      <c r="AT13" s="618"/>
    </row>
    <row r="14" spans="1:52" ht="28.5" x14ac:dyDescent="0.45">
      <c r="A14" s="565">
        <f t="shared" si="0"/>
        <v>0</v>
      </c>
      <c r="B14" s="566" t="e">
        <f t="shared" si="1"/>
        <v>#REF!</v>
      </c>
      <c r="C14" s="302"/>
      <c r="D14" s="567">
        <f t="shared" si="2"/>
        <v>0</v>
      </c>
      <c r="E14" s="568"/>
      <c r="F14" s="569">
        <f t="shared" si="3"/>
        <v>0</v>
      </c>
      <c r="G14" s="618"/>
      <c r="H14" s="572">
        <f t="shared" si="4"/>
        <v>0</v>
      </c>
      <c r="I14" s="570"/>
      <c r="J14" s="444"/>
      <c r="K14" s="571"/>
      <c r="L14" s="573" t="e">
        <f t="shared" si="5"/>
        <v>#REF!</v>
      </c>
      <c r="N14" s="572">
        <f t="shared" si="6"/>
        <v>0</v>
      </c>
      <c r="O14" s="572"/>
      <c r="P14" s="572"/>
      <c r="Q14" s="572"/>
      <c r="R14" s="572"/>
      <c r="S14" s="578">
        <f t="shared" si="7"/>
        <v>0</v>
      </c>
      <c r="T14" s="619"/>
      <c r="U14" s="577">
        <f t="shared" ca="1" si="8"/>
        <v>0</v>
      </c>
      <c r="V14" s="577"/>
      <c r="W14" s="577"/>
      <c r="X14" s="577"/>
      <c r="Y14" s="577"/>
      <c r="Z14" s="577"/>
      <c r="AA14" s="577"/>
      <c r="AB14" s="577" t="e">
        <f t="shared" ca="1" si="9"/>
        <v>#REF!</v>
      </c>
      <c r="AC14" s="618"/>
      <c r="AD14" s="577">
        <f t="shared" ca="1" si="10"/>
        <v>0</v>
      </c>
      <c r="AE14" s="577"/>
      <c r="AF14" s="577"/>
      <c r="AG14" s="577"/>
      <c r="AH14" s="577"/>
      <c r="AI14" s="577"/>
      <c r="AJ14" s="577"/>
      <c r="AK14" s="577"/>
      <c r="AL14" s="579">
        <f t="shared" ca="1" si="11"/>
        <v>0</v>
      </c>
      <c r="AM14" s="618"/>
      <c r="AN14" s="618"/>
      <c r="AO14" s="618"/>
      <c r="AP14" s="618"/>
      <c r="AQ14" s="618"/>
      <c r="AR14" s="618"/>
      <c r="AS14" s="618"/>
      <c r="AT14" s="618"/>
    </row>
    <row r="15" spans="1:52" ht="28.5" x14ac:dyDescent="0.45">
      <c r="A15" s="565">
        <f t="shared" si="0"/>
        <v>0</v>
      </c>
      <c r="B15" s="566" t="e">
        <f t="shared" si="1"/>
        <v>#REF!</v>
      </c>
      <c r="C15" s="302"/>
      <c r="D15" s="567">
        <f t="shared" si="2"/>
        <v>0</v>
      </c>
      <c r="E15" s="568"/>
      <c r="F15" s="569">
        <f t="shared" si="3"/>
        <v>0</v>
      </c>
      <c r="G15" s="618"/>
      <c r="H15" s="572">
        <f t="shared" si="4"/>
        <v>0</v>
      </c>
      <c r="I15" s="570"/>
      <c r="J15" s="444"/>
      <c r="K15" s="571"/>
      <c r="L15" s="573" t="e">
        <f t="shared" si="5"/>
        <v>#REF!</v>
      </c>
      <c r="N15" s="572">
        <f t="shared" si="6"/>
        <v>0</v>
      </c>
      <c r="O15" s="572"/>
      <c r="P15" s="572"/>
      <c r="Q15" s="572"/>
      <c r="R15" s="572"/>
      <c r="S15" s="578">
        <f t="shared" si="7"/>
        <v>0</v>
      </c>
      <c r="T15" s="619"/>
      <c r="U15" s="577">
        <f t="shared" ca="1" si="8"/>
        <v>0</v>
      </c>
      <c r="V15" s="577"/>
      <c r="W15" s="577"/>
      <c r="X15" s="577"/>
      <c r="Y15" s="577"/>
      <c r="Z15" s="577"/>
      <c r="AA15" s="577"/>
      <c r="AB15" s="577" t="e">
        <f t="shared" ca="1" si="9"/>
        <v>#REF!</v>
      </c>
      <c r="AC15" s="618"/>
      <c r="AD15" s="577">
        <f t="shared" ca="1" si="10"/>
        <v>0</v>
      </c>
      <c r="AE15" s="577"/>
      <c r="AF15" s="577"/>
      <c r="AG15" s="577"/>
      <c r="AH15" s="577"/>
      <c r="AI15" s="577"/>
      <c r="AJ15" s="577"/>
      <c r="AK15" s="577"/>
      <c r="AL15" s="579">
        <f t="shared" ca="1" si="11"/>
        <v>0</v>
      </c>
      <c r="AM15" s="618"/>
      <c r="AN15" s="618"/>
      <c r="AO15" s="618"/>
      <c r="AP15" s="618"/>
      <c r="AQ15" s="618"/>
      <c r="AR15" s="618"/>
      <c r="AS15" s="618"/>
      <c r="AT15" s="618"/>
    </row>
    <row r="16" spans="1:52" ht="28.5" x14ac:dyDescent="0.45">
      <c r="A16" s="565">
        <f t="shared" si="0"/>
        <v>0</v>
      </c>
      <c r="B16" s="566" t="e">
        <f t="shared" si="1"/>
        <v>#REF!</v>
      </c>
      <c r="C16" s="302"/>
      <c r="D16" s="567">
        <f t="shared" si="2"/>
        <v>0</v>
      </c>
      <c r="E16" s="568"/>
      <c r="F16" s="569">
        <f t="shared" si="3"/>
        <v>0</v>
      </c>
      <c r="G16" s="618"/>
      <c r="H16" s="572">
        <f t="shared" si="4"/>
        <v>0</v>
      </c>
      <c r="I16" s="570"/>
      <c r="J16" s="444"/>
      <c r="K16" s="571"/>
      <c r="L16" s="573" t="e">
        <f t="shared" si="5"/>
        <v>#REF!</v>
      </c>
      <c r="N16" s="572">
        <f t="shared" si="6"/>
        <v>0</v>
      </c>
      <c r="O16" s="572"/>
      <c r="P16" s="572"/>
      <c r="Q16" s="572"/>
      <c r="R16" s="572"/>
      <c r="S16" s="578">
        <f t="shared" si="7"/>
        <v>0</v>
      </c>
      <c r="T16" s="619"/>
      <c r="U16" s="577">
        <f t="shared" ca="1" si="8"/>
        <v>0</v>
      </c>
      <c r="V16" s="577"/>
      <c r="W16" s="577"/>
      <c r="X16" s="577"/>
      <c r="Y16" s="577"/>
      <c r="Z16" s="577"/>
      <c r="AA16" s="577"/>
      <c r="AB16" s="577" t="e">
        <f t="shared" ca="1" si="9"/>
        <v>#REF!</v>
      </c>
      <c r="AC16" s="618"/>
      <c r="AD16" s="577">
        <f t="shared" ca="1" si="10"/>
        <v>0</v>
      </c>
      <c r="AE16" s="577"/>
      <c r="AF16" s="577"/>
      <c r="AG16" s="577"/>
      <c r="AH16" s="577"/>
      <c r="AI16" s="577"/>
      <c r="AJ16" s="577"/>
      <c r="AK16" s="577"/>
      <c r="AL16" s="579">
        <f t="shared" ca="1" si="11"/>
        <v>0</v>
      </c>
      <c r="AM16" s="618"/>
      <c r="AN16" s="618"/>
      <c r="AO16" s="618"/>
      <c r="AP16" s="618"/>
      <c r="AQ16" s="618"/>
      <c r="AR16" s="618"/>
      <c r="AS16" s="618"/>
      <c r="AT16" s="618"/>
    </row>
    <row r="20" spans="1:96" ht="18.75" customHeight="1" x14ac:dyDescent="0.25">
      <c r="A20" s="974" t="s">
        <v>109</v>
      </c>
      <c r="B20" s="974"/>
      <c r="C20" s="974"/>
      <c r="D20" s="974"/>
      <c r="E20" s="974"/>
      <c r="F20" s="974"/>
      <c r="G20" s="974"/>
      <c r="H20" s="974"/>
      <c r="I20" s="974"/>
      <c r="J20" s="974"/>
      <c r="K20" s="974"/>
      <c r="L20" s="974"/>
      <c r="M20" s="974"/>
      <c r="N20" s="974"/>
      <c r="O20" s="974"/>
      <c r="P20" s="974"/>
      <c r="Q20" s="974"/>
      <c r="R20" s="974"/>
      <c r="S20" s="974"/>
      <c r="T20" s="974"/>
      <c r="U20" s="974"/>
      <c r="V20" s="974"/>
      <c r="W20" s="974"/>
      <c r="X20" s="974"/>
      <c r="Y20" s="974"/>
      <c r="Z20" s="974"/>
      <c r="AA20" s="974"/>
      <c r="AB20" s="974"/>
      <c r="AC20" s="974"/>
      <c r="AD20" s="974"/>
      <c r="AE20" s="974"/>
      <c r="AF20" s="974"/>
      <c r="AG20" s="974"/>
      <c r="AH20" s="974"/>
      <c r="AI20" s="974"/>
      <c r="AJ20" s="974"/>
      <c r="AK20" s="974"/>
      <c r="AL20" s="974"/>
      <c r="AM20" s="974"/>
      <c r="AN20" s="974"/>
      <c r="AO20" s="974"/>
      <c r="AP20" s="974"/>
      <c r="AQ20" s="974"/>
      <c r="AR20" s="974"/>
      <c r="AS20" s="974"/>
      <c r="AT20" s="974"/>
      <c r="AU20" s="974"/>
      <c r="AV20" s="974"/>
      <c r="AW20" s="974"/>
      <c r="AX20" s="974"/>
      <c r="AY20" s="974"/>
      <c r="AZ20" s="974"/>
      <c r="BA20" s="974"/>
      <c r="BB20" s="974"/>
      <c r="BC20" s="974"/>
      <c r="BD20" s="974"/>
      <c r="BE20" s="974"/>
      <c r="BF20" s="974"/>
      <c r="BG20" s="974"/>
      <c r="BH20" s="974"/>
      <c r="BI20" s="974"/>
      <c r="BJ20" s="974"/>
      <c r="BK20" s="974"/>
      <c r="BL20" s="974"/>
      <c r="BM20" s="974"/>
      <c r="BN20" s="974"/>
      <c r="BO20" s="974"/>
      <c r="BP20" s="974"/>
      <c r="BQ20" s="974"/>
      <c r="BR20" s="974"/>
      <c r="BS20" s="974"/>
      <c r="BT20" s="974"/>
      <c r="BU20" s="974"/>
      <c r="BV20" s="974"/>
      <c r="BW20" s="974"/>
      <c r="BX20" s="974"/>
      <c r="BY20" s="974"/>
      <c r="BZ20" s="974"/>
      <c r="CA20" s="974"/>
      <c r="CB20" s="974"/>
      <c r="CC20" s="974"/>
      <c r="CD20" s="974"/>
      <c r="CE20" s="974"/>
      <c r="CF20" s="974"/>
      <c r="CG20" s="974"/>
      <c r="CH20" s="974"/>
      <c r="CI20" s="974"/>
      <c r="CJ20" s="974"/>
      <c r="CK20" s="974"/>
      <c r="CL20" s="974"/>
      <c r="CM20" s="974"/>
      <c r="CN20" s="974"/>
      <c r="CO20" s="974"/>
      <c r="CP20" s="974"/>
      <c r="CQ20" s="974"/>
      <c r="CR20" s="974"/>
    </row>
    <row r="21" spans="1:96" ht="18.75" customHeight="1" x14ac:dyDescent="0.25">
      <c r="A21" s="974"/>
      <c r="B21" s="974"/>
      <c r="C21" s="974"/>
      <c r="D21" s="974"/>
      <c r="E21" s="974"/>
      <c r="F21" s="974"/>
      <c r="G21" s="974"/>
      <c r="H21" s="974"/>
      <c r="I21" s="974"/>
      <c r="J21" s="974"/>
      <c r="K21" s="974"/>
      <c r="L21" s="974"/>
      <c r="M21" s="974"/>
      <c r="N21" s="974"/>
      <c r="O21" s="974"/>
      <c r="P21" s="974"/>
      <c r="Q21" s="974"/>
      <c r="R21" s="974"/>
      <c r="S21" s="974"/>
      <c r="T21" s="974"/>
      <c r="U21" s="974"/>
      <c r="V21" s="974"/>
      <c r="W21" s="974"/>
      <c r="X21" s="974"/>
      <c r="Y21" s="974"/>
      <c r="Z21" s="974"/>
      <c r="AA21" s="974"/>
      <c r="AB21" s="974"/>
      <c r="AC21" s="974"/>
      <c r="AD21" s="974"/>
      <c r="AE21" s="974"/>
      <c r="AF21" s="974"/>
      <c r="AG21" s="974"/>
      <c r="AH21" s="974"/>
      <c r="AI21" s="974"/>
      <c r="AJ21" s="974"/>
      <c r="AK21" s="974"/>
      <c r="AL21" s="974"/>
      <c r="AM21" s="974"/>
      <c r="AN21" s="974"/>
      <c r="AO21" s="974"/>
      <c r="AP21" s="974"/>
      <c r="AQ21" s="974"/>
      <c r="AR21" s="974"/>
      <c r="AS21" s="974"/>
      <c r="AT21" s="974"/>
      <c r="AU21" s="974"/>
      <c r="AV21" s="974"/>
      <c r="AW21" s="974"/>
      <c r="AX21" s="974"/>
      <c r="AY21" s="974"/>
      <c r="AZ21" s="974"/>
      <c r="BA21" s="974"/>
      <c r="BB21" s="974"/>
      <c r="BC21" s="974"/>
      <c r="BD21" s="974"/>
      <c r="BE21" s="974"/>
      <c r="BF21" s="974"/>
      <c r="BG21" s="974"/>
      <c r="BH21" s="974"/>
      <c r="BI21" s="974"/>
      <c r="BJ21" s="974"/>
      <c r="BK21" s="974"/>
      <c r="BL21" s="974"/>
      <c r="BM21" s="974"/>
      <c r="BN21" s="974"/>
      <c r="BO21" s="974"/>
      <c r="BP21" s="974"/>
      <c r="BQ21" s="974"/>
      <c r="BR21" s="974"/>
      <c r="BS21" s="974"/>
      <c r="BT21" s="974"/>
      <c r="BU21" s="974"/>
      <c r="BV21" s="974"/>
      <c r="BW21" s="974"/>
      <c r="BX21" s="974"/>
      <c r="BY21" s="974"/>
      <c r="BZ21" s="974"/>
      <c r="CA21" s="974"/>
      <c r="CB21" s="974"/>
      <c r="CC21" s="974"/>
      <c r="CD21" s="974"/>
      <c r="CE21" s="974"/>
      <c r="CF21" s="974"/>
      <c r="CG21" s="974"/>
      <c r="CH21" s="974"/>
      <c r="CI21" s="974"/>
      <c r="CJ21" s="974"/>
      <c r="CK21" s="974"/>
      <c r="CL21" s="974"/>
      <c r="CM21" s="974"/>
      <c r="CN21" s="974"/>
      <c r="CO21" s="974"/>
      <c r="CP21" s="974"/>
      <c r="CQ21" s="974"/>
      <c r="CR21" s="974"/>
    </row>
    <row r="22" spans="1:96" ht="32.25" thickBot="1" x14ac:dyDescent="0.55000000000000004">
      <c r="A22" s="548" t="str">
        <f>+WeeklyPerformanceReport!A4</f>
        <v>April</v>
      </c>
      <c r="B22" s="548"/>
      <c r="C22" s="548"/>
      <c r="D22" s="548"/>
      <c r="E22" s="548"/>
      <c r="F22" s="548"/>
      <c r="G22" s="548"/>
      <c r="H22" s="548"/>
      <c r="I22" s="548"/>
      <c r="J22" s="548"/>
      <c r="K22" s="548"/>
      <c r="L22" s="548"/>
      <c r="M22" s="548"/>
      <c r="N22" s="548"/>
      <c r="O22" s="548"/>
      <c r="P22" s="548"/>
      <c r="Q22" s="548"/>
      <c r="R22" s="548"/>
      <c r="S22" s="548"/>
      <c r="T22" s="548"/>
      <c r="U22" s="548"/>
      <c r="V22" s="548"/>
      <c r="W22" s="548"/>
      <c r="X22" s="548"/>
      <c r="Y22" s="548"/>
      <c r="Z22" s="548"/>
      <c r="AA22" s="548"/>
      <c r="AB22" s="548"/>
      <c r="AC22" s="548"/>
      <c r="AD22" s="548"/>
      <c r="AE22" s="548"/>
      <c r="AF22" s="548"/>
      <c r="AG22" s="548"/>
      <c r="AH22" s="548"/>
      <c r="AI22" s="548"/>
      <c r="AJ22" s="548"/>
      <c r="AK22" s="548"/>
      <c r="AL22" s="548"/>
      <c r="AM22" s="548"/>
      <c r="AN22" s="548"/>
      <c r="AO22" s="548"/>
      <c r="AP22" s="548"/>
      <c r="AQ22" s="548"/>
      <c r="AR22" s="548"/>
      <c r="AS22" s="548"/>
      <c r="AT22" s="548"/>
      <c r="AU22" s="548"/>
      <c r="AV22" s="548"/>
      <c r="AW22" s="548"/>
      <c r="AX22" s="548"/>
      <c r="AY22" s="548"/>
      <c r="AZ22" s="548"/>
      <c r="BA22" s="548"/>
      <c r="BB22" s="548"/>
      <c r="BC22" s="548"/>
      <c r="BD22" s="548"/>
      <c r="BE22" s="548"/>
      <c r="BF22" s="548"/>
      <c r="BG22" s="548"/>
      <c r="BH22" s="548"/>
      <c r="BI22" s="548"/>
      <c r="BJ22" s="548"/>
      <c r="BK22" s="548"/>
      <c r="BL22" s="548"/>
      <c r="BM22" s="548"/>
      <c r="BN22" s="548"/>
      <c r="BO22" s="548"/>
      <c r="BP22" s="548"/>
      <c r="BQ22" s="548"/>
      <c r="BR22" s="548"/>
      <c r="BS22" s="548"/>
      <c r="BT22" s="548"/>
      <c r="BU22" s="548"/>
      <c r="BV22" s="548"/>
      <c r="BW22" s="548"/>
      <c r="BX22" s="548"/>
      <c r="BY22" s="548"/>
      <c r="BZ22" s="548"/>
      <c r="CA22" s="548"/>
      <c r="CB22" s="548"/>
      <c r="CC22" s="548"/>
      <c r="CD22" s="548"/>
      <c r="CE22" s="548"/>
      <c r="CF22" s="548"/>
      <c r="CG22" s="548"/>
      <c r="CH22" s="548"/>
      <c r="CI22" s="548"/>
      <c r="CJ22" s="548"/>
      <c r="CK22" s="548"/>
      <c r="CL22" s="548"/>
      <c r="CM22" s="548"/>
      <c r="CN22" s="548"/>
      <c r="CO22" s="548"/>
      <c r="CP22" s="548"/>
      <c r="CQ22" s="548"/>
      <c r="CR22" s="548"/>
    </row>
    <row r="23" spans="1:96" ht="18.75" customHeight="1" thickBot="1" x14ac:dyDescent="0.35">
      <c r="A23" s="555" t="s">
        <v>69</v>
      </c>
      <c r="B23" s="556"/>
      <c r="C23" s="556"/>
      <c r="D23" s="556"/>
      <c r="E23" s="556"/>
      <c r="F23" s="557"/>
      <c r="G23" s="627"/>
      <c r="H23" s="961" t="s">
        <v>71</v>
      </c>
      <c r="I23" s="962"/>
      <c r="J23" s="962"/>
      <c r="K23" s="962"/>
      <c r="L23" s="962"/>
      <c r="M23" s="962"/>
      <c r="N23" s="962"/>
      <c r="O23" s="962"/>
      <c r="P23" s="962"/>
      <c r="Q23" s="962"/>
      <c r="R23" s="962"/>
      <c r="S23" s="963"/>
      <c r="T23" s="627"/>
      <c r="U23" s="961" t="s">
        <v>72</v>
      </c>
      <c r="V23" s="962"/>
      <c r="W23" s="962"/>
      <c r="X23" s="962"/>
      <c r="Y23" s="962"/>
      <c r="Z23" s="962"/>
      <c r="AA23" s="962"/>
      <c r="AB23" s="962"/>
      <c r="AC23" s="962"/>
      <c r="AD23" s="962"/>
      <c r="AE23" s="962"/>
      <c r="AF23" s="962"/>
      <c r="AG23" s="962"/>
      <c r="AH23" s="962"/>
      <c r="AI23" s="962"/>
      <c r="AJ23" s="962"/>
      <c r="AK23" s="962"/>
      <c r="AL23" s="963"/>
      <c r="AM23" s="627"/>
      <c r="AN23" s="961" t="s">
        <v>73</v>
      </c>
      <c r="AO23" s="962"/>
      <c r="AP23" s="962"/>
      <c r="AQ23" s="962"/>
      <c r="AR23" s="962"/>
      <c r="AS23" s="962"/>
      <c r="AT23" s="962"/>
      <c r="AU23" s="962"/>
      <c r="AV23" s="962"/>
      <c r="AW23" s="962"/>
      <c r="AX23" s="962"/>
      <c r="AY23" s="962"/>
      <c r="AZ23" s="962"/>
      <c r="BA23" s="962"/>
      <c r="BB23" s="962"/>
      <c r="BC23" s="962"/>
      <c r="BD23" s="962"/>
      <c r="BE23" s="962"/>
      <c r="BF23" s="962"/>
      <c r="BG23" s="962"/>
      <c r="BH23" s="962"/>
      <c r="BI23" s="962"/>
      <c r="BJ23" s="962"/>
      <c r="BK23" s="963"/>
      <c r="BM23" s="745" t="s">
        <v>110</v>
      </c>
      <c r="BN23" s="746"/>
      <c r="BO23" s="746"/>
      <c r="BP23" s="746"/>
      <c r="BQ23" s="746"/>
      <c r="BR23" s="746"/>
      <c r="BS23" s="746"/>
      <c r="BT23" s="746"/>
      <c r="BU23" s="746"/>
      <c r="BV23" s="746"/>
      <c r="BW23" s="746"/>
      <c r="BX23" s="746"/>
      <c r="BY23" s="746"/>
      <c r="BZ23" s="746"/>
      <c r="CA23" s="746"/>
      <c r="CB23" s="746"/>
      <c r="CC23" s="746"/>
      <c r="CD23" s="746"/>
      <c r="CE23" s="746"/>
      <c r="CF23" s="746"/>
      <c r="CG23" s="746"/>
      <c r="CH23" s="746"/>
      <c r="CI23" s="746"/>
      <c r="CJ23" s="746"/>
      <c r="CK23" s="746"/>
      <c r="CL23" s="746"/>
      <c r="CM23" s="746"/>
      <c r="CN23" s="746"/>
      <c r="CO23" s="746"/>
      <c r="CP23" s="746"/>
      <c r="CQ23" s="746"/>
      <c r="CR23" s="747"/>
    </row>
    <row r="24" spans="1:96" ht="26.25" x14ac:dyDescent="0.4">
      <c r="A24" s="558" t="s">
        <v>111</v>
      </c>
      <c r="B24" s="559"/>
      <c r="C24" s="539"/>
      <c r="D24" s="560" t="s">
        <v>16</v>
      </c>
      <c r="E24" s="560"/>
      <c r="F24" s="561"/>
      <c r="G24" s="625"/>
      <c r="H24" s="538" t="s">
        <v>111</v>
      </c>
      <c r="I24" s="539"/>
      <c r="J24" s="540"/>
      <c r="K24" s="540"/>
      <c r="L24" s="540"/>
      <c r="M24" s="625"/>
      <c r="N24" s="969" t="s">
        <v>16</v>
      </c>
      <c r="O24" s="969"/>
      <c r="P24" s="969"/>
      <c r="Q24" s="969"/>
      <c r="R24" s="969"/>
      <c r="S24" s="970"/>
      <c r="T24" s="625"/>
      <c r="U24" s="964" t="s">
        <v>111</v>
      </c>
      <c r="V24" s="965"/>
      <c r="W24" s="965"/>
      <c r="X24" s="965"/>
      <c r="Y24" s="965"/>
      <c r="Z24" s="965"/>
      <c r="AA24" s="965"/>
      <c r="AB24" s="965"/>
      <c r="AC24" s="543"/>
      <c r="AD24" s="965" t="s">
        <v>16</v>
      </c>
      <c r="AE24" s="965"/>
      <c r="AF24" s="965"/>
      <c r="AG24" s="965"/>
      <c r="AH24" s="965"/>
      <c r="AI24" s="965"/>
      <c r="AJ24" s="965"/>
      <c r="AK24" s="965"/>
      <c r="AL24" s="966"/>
      <c r="AM24" s="541"/>
      <c r="AN24" s="964" t="s">
        <v>111</v>
      </c>
      <c r="AO24" s="965"/>
      <c r="AP24" s="965"/>
      <c r="AQ24" s="965"/>
      <c r="AR24" s="965"/>
      <c r="AS24" s="965"/>
      <c r="AT24" s="965"/>
      <c r="AU24" s="965"/>
      <c r="AV24" s="965"/>
      <c r="AW24" s="965"/>
      <c r="AX24" s="965"/>
      <c r="AY24" s="21"/>
      <c r="AZ24" s="965" t="s">
        <v>16</v>
      </c>
      <c r="BA24" s="965"/>
      <c r="BB24" s="965"/>
      <c r="BC24" s="965"/>
      <c r="BD24" s="965"/>
      <c r="BE24" s="965"/>
      <c r="BF24" s="965"/>
      <c r="BG24" s="965"/>
      <c r="BH24" s="965"/>
      <c r="BI24" s="965"/>
      <c r="BJ24" s="965"/>
      <c r="BK24" s="966"/>
      <c r="BL24" s="617"/>
      <c r="BM24" s="964" t="s">
        <v>111</v>
      </c>
      <c r="BN24" s="965"/>
      <c r="BO24" s="965"/>
      <c r="BP24" s="965"/>
      <c r="BQ24" s="965"/>
      <c r="BR24" s="965"/>
      <c r="BS24" s="965"/>
      <c r="BT24" s="965"/>
      <c r="BU24" s="965"/>
      <c r="BV24" s="965"/>
      <c r="BW24" s="965"/>
      <c r="BX24" s="965"/>
      <c r="BY24" s="965"/>
      <c r="BZ24" s="965"/>
      <c r="CA24" s="965"/>
      <c r="CB24" s="21"/>
      <c r="CC24" s="543" t="s">
        <v>16</v>
      </c>
      <c r="CD24" s="543"/>
      <c r="CE24" s="543"/>
      <c r="CF24" s="543"/>
      <c r="CG24" s="543"/>
      <c r="CH24" s="543"/>
      <c r="CI24" s="543"/>
      <c r="CJ24" s="543"/>
      <c r="CK24" s="544"/>
      <c r="CL24" s="21"/>
      <c r="CM24" s="21"/>
      <c r="CN24" s="21"/>
      <c r="CO24" s="21"/>
      <c r="CP24" s="21"/>
      <c r="CQ24" s="21"/>
      <c r="CR24" s="22"/>
    </row>
    <row r="25" spans="1:96" x14ac:dyDescent="0.25">
      <c r="A25" s="58"/>
      <c r="F25" s="24"/>
      <c r="H25" s="58"/>
      <c r="S25" s="24"/>
      <c r="U25" s="58"/>
      <c r="AL25" s="24"/>
      <c r="AN25" s="58"/>
      <c r="BK25" s="24"/>
      <c r="BM25" s="58"/>
      <c r="CR25" s="24"/>
    </row>
    <row r="26" spans="1:96" ht="17.25" x14ac:dyDescent="0.3">
      <c r="A26" s="643" cm="1">
        <f t="array" ref="A26:B37">_xlfn.SORTBY(WeeklyPerformanceReport!A7:B18,WeeklyPerformanceReport!B7:B18)</f>
        <v>0</v>
      </c>
      <c r="B26" s="644" t="e">
        <v>#REF!</v>
      </c>
      <c r="C26" s="644"/>
      <c r="D26" s="645" cm="1">
        <f t="array" ref="D26:F37">_xlfn.SORTBY(WeeklyPerformanceReport!A7:C18,WeeklyPerformanceReport!C7:C18)</f>
        <v>0</v>
      </c>
      <c r="E26" s="646" t="e">
        <v>#REF!</v>
      </c>
      <c r="F26" s="647">
        <v>0</v>
      </c>
      <c r="G26" s="357"/>
      <c r="H26" s="655" cm="1">
        <f t="array" ref="H26:L37">_xlfn.SORTBY(WeeklyPerformanceReport!A7:E18,WeeklyPerformanceReport!E7:E18)</f>
        <v>0</v>
      </c>
      <c r="I26" s="656" t="e">
        <v>#REF!</v>
      </c>
      <c r="J26" s="656">
        <v>0</v>
      </c>
      <c r="K26" s="656">
        <v>0</v>
      </c>
      <c r="L26" s="656" t="e">
        <v>#REF!</v>
      </c>
      <c r="M26" s="656"/>
      <c r="N26" s="657" cm="1">
        <f t="array" ref="N26:S37">_xlfn.SORTBY(WeeklyPerformanceReport!A7:F18,WeeklyPerformanceReport!F7:F18)</f>
        <v>0</v>
      </c>
      <c r="O26" s="656" t="e">
        <v>#REF!</v>
      </c>
      <c r="P26" s="656">
        <v>0</v>
      </c>
      <c r="Q26" s="656">
        <v>0</v>
      </c>
      <c r="R26" s="656" t="e">
        <v>#REF!</v>
      </c>
      <c r="S26" s="647">
        <v>0</v>
      </c>
      <c r="T26" s="357"/>
      <c r="U26" s="655" cm="1">
        <f t="array" ref="U26:AB37">_xlfn.SORTBY(WeeklyPerformanceReport!A7:H18,WeeklyPerformanceReport!H7:H18)</f>
        <v>0</v>
      </c>
      <c r="V26" s="656" t="e">
        <v>#REF!</v>
      </c>
      <c r="W26" s="656">
        <v>0</v>
      </c>
      <c r="X26" s="656">
        <v>0</v>
      </c>
      <c r="Y26" s="656" t="e">
        <v>#REF!</v>
      </c>
      <c r="Z26" s="656">
        <v>0</v>
      </c>
      <c r="AA26" s="656">
        <v>0</v>
      </c>
      <c r="AB26" s="656" t="e">
        <v>#REF!</v>
      </c>
      <c r="AC26" s="656"/>
      <c r="AD26" s="657" cm="1">
        <f t="array" ref="AD26:AL37">_xlfn.SORTBY(WeeklyPerformanceReport!A7:I18,WeeklyPerformanceReport!I7:I18)</f>
        <v>0</v>
      </c>
      <c r="AE26" s="656" t="e">
        <v>#REF!</v>
      </c>
      <c r="AF26" s="656">
        <v>0</v>
      </c>
      <c r="AG26" s="656">
        <v>0</v>
      </c>
      <c r="AH26" s="656" t="e">
        <v>#REF!</v>
      </c>
      <c r="AI26" s="656">
        <v>0</v>
      </c>
      <c r="AJ26" s="656">
        <v>0</v>
      </c>
      <c r="AK26" s="656" t="e">
        <v>#REF!</v>
      </c>
      <c r="AL26" s="647">
        <v>0</v>
      </c>
      <c r="AM26" s="357"/>
      <c r="AN26" s="661" cm="1">
        <f t="array" ref="AN26:AX37">_xlfn.SORTBY(WeeklyPerformanceReport!A7:K18,WeeklyPerformanceReport!K7:K18)</f>
        <v>0</v>
      </c>
      <c r="AO26" s="656" t="e">
        <v>#REF!</v>
      </c>
      <c r="AP26" s="656">
        <v>0</v>
      </c>
      <c r="AQ26" s="656">
        <v>0</v>
      </c>
      <c r="AR26" s="656" t="e">
        <v>#REF!</v>
      </c>
      <c r="AS26" s="656">
        <v>0</v>
      </c>
      <c r="AT26" s="656">
        <v>0</v>
      </c>
      <c r="AU26" s="646" t="e">
        <v>#REF!</v>
      </c>
      <c r="AV26" s="646">
        <v>0</v>
      </c>
      <c r="AW26" s="646">
        <v>0</v>
      </c>
      <c r="AX26" s="662" t="e">
        <v>#REF!</v>
      </c>
      <c r="AY26" s="646"/>
      <c r="AZ26" s="663" cm="1">
        <f t="array" ref="AZ26:BK37">_xlfn.SORTBY(WeeklyPerformanceReport!A7:L18,WeeklyPerformanceReport!L7:L18)</f>
        <v>0</v>
      </c>
      <c r="BA26" s="646" t="e">
        <v>#REF!</v>
      </c>
      <c r="BB26" s="646">
        <v>0</v>
      </c>
      <c r="BC26" s="646">
        <v>0</v>
      </c>
      <c r="BD26" s="646" t="e">
        <v>#REF!</v>
      </c>
      <c r="BE26" s="646">
        <v>0</v>
      </c>
      <c r="BF26" s="646">
        <v>0</v>
      </c>
      <c r="BG26" s="646" t="e">
        <v>#REF!</v>
      </c>
      <c r="BH26" s="646">
        <v>0</v>
      </c>
      <c r="BI26" s="646">
        <v>0</v>
      </c>
      <c r="BJ26" s="646" t="e">
        <v>#REF!</v>
      </c>
      <c r="BK26" s="647">
        <v>0</v>
      </c>
      <c r="BM26" s="668" cm="1">
        <f t="array" ref="BM26:CA37">_xlfn.SORTBY(WeeklyPerformanceReport!A7:O18,WeeklyPerformanceReport!O7:O18)</f>
        <v>0</v>
      </c>
      <c r="BN26" s="646" t="e">
        <v>#REF!</v>
      </c>
      <c r="BO26" s="646">
        <v>0</v>
      </c>
      <c r="BP26" s="646">
        <v>0</v>
      </c>
      <c r="BQ26" s="646" t="e">
        <v>#REF!</v>
      </c>
      <c r="BR26" s="646">
        <v>0</v>
      </c>
      <c r="BS26" s="646">
        <v>0</v>
      </c>
      <c r="BT26" s="646" t="e">
        <v>#REF!</v>
      </c>
      <c r="BU26" s="646">
        <v>0</v>
      </c>
      <c r="BV26" s="646">
        <v>0</v>
      </c>
      <c r="BW26" s="646" t="e">
        <v>#REF!</v>
      </c>
      <c r="BX26" s="646">
        <v>0</v>
      </c>
      <c r="BY26" s="646">
        <v>0</v>
      </c>
      <c r="BZ26" s="646" t="e">
        <v>#REF!</v>
      </c>
      <c r="CA26" s="646" t="e">
        <v>#REF!</v>
      </c>
      <c r="CC26" s="670" cm="1">
        <f t="array" ref="CC26:CR37">_xlfn.SORTBY(WeeklyPerformanceReport!A7:P18,WeeklyPerformanceReport!P7:P18)</f>
        <v>0</v>
      </c>
      <c r="CD26" s="646" t="e">
        <v>#REF!</v>
      </c>
      <c r="CE26" s="646">
        <v>0</v>
      </c>
      <c r="CF26" s="646">
        <v>0</v>
      </c>
      <c r="CG26" s="646" t="e">
        <v>#REF!</v>
      </c>
      <c r="CH26" s="646">
        <v>0</v>
      </c>
      <c r="CI26" s="646">
        <v>0</v>
      </c>
      <c r="CJ26" s="646" t="e">
        <v>#REF!</v>
      </c>
      <c r="CK26" s="646">
        <v>0</v>
      </c>
      <c r="CL26" s="646">
        <v>0</v>
      </c>
      <c r="CM26" s="646" t="e">
        <v>#REF!</v>
      </c>
      <c r="CN26" s="646">
        <v>0</v>
      </c>
      <c r="CO26" s="646">
        <v>0</v>
      </c>
      <c r="CP26" s="646" t="e">
        <v>#REF!</v>
      </c>
      <c r="CQ26" s="646" t="e">
        <v>#REF!</v>
      </c>
      <c r="CR26" s="647">
        <v>0</v>
      </c>
    </row>
    <row r="27" spans="1:96" ht="17.25" x14ac:dyDescent="0.3">
      <c r="A27" s="643">
        <v>0</v>
      </c>
      <c r="B27" s="648" t="e">
        <v>#REF!</v>
      </c>
      <c r="C27" s="648"/>
      <c r="D27" s="645">
        <v>0</v>
      </c>
      <c r="E27" s="649" t="e">
        <v>#REF!</v>
      </c>
      <c r="F27" s="647">
        <v>0</v>
      </c>
      <c r="G27" s="357"/>
      <c r="H27" s="655">
        <v>0</v>
      </c>
      <c r="I27" s="656" t="e">
        <v>#REF!</v>
      </c>
      <c r="J27" s="656">
        <v>0</v>
      </c>
      <c r="K27" s="656">
        <v>0</v>
      </c>
      <c r="L27" s="656" t="e">
        <v>#REF!</v>
      </c>
      <c r="M27" s="656"/>
      <c r="N27" s="657">
        <v>0</v>
      </c>
      <c r="O27" s="656" t="e">
        <v>#REF!</v>
      </c>
      <c r="P27" s="656">
        <v>0</v>
      </c>
      <c r="Q27" s="656">
        <v>0</v>
      </c>
      <c r="R27" s="656" t="e">
        <v>#REF!</v>
      </c>
      <c r="S27" s="647">
        <v>0</v>
      </c>
      <c r="T27" s="357"/>
      <c r="U27" s="655">
        <v>0</v>
      </c>
      <c r="V27" s="656" t="e">
        <v>#REF!</v>
      </c>
      <c r="W27" s="656">
        <v>0</v>
      </c>
      <c r="X27" s="656">
        <v>0</v>
      </c>
      <c r="Y27" s="656" t="e">
        <v>#REF!</v>
      </c>
      <c r="Z27" s="656">
        <v>0</v>
      </c>
      <c r="AA27" s="656">
        <v>0</v>
      </c>
      <c r="AB27" s="656" t="e">
        <v>#REF!</v>
      </c>
      <c r="AC27" s="656"/>
      <c r="AD27" s="657">
        <v>0</v>
      </c>
      <c r="AE27" s="656" t="e">
        <v>#REF!</v>
      </c>
      <c r="AF27" s="656">
        <v>0</v>
      </c>
      <c r="AG27" s="656">
        <v>0</v>
      </c>
      <c r="AH27" s="656" t="e">
        <v>#REF!</v>
      </c>
      <c r="AI27" s="656">
        <v>0</v>
      </c>
      <c r="AJ27" s="656">
        <v>0</v>
      </c>
      <c r="AK27" s="656" t="e">
        <v>#REF!</v>
      </c>
      <c r="AL27" s="647">
        <v>0</v>
      </c>
      <c r="AM27" s="357"/>
      <c r="AN27" s="661">
        <v>0</v>
      </c>
      <c r="AO27" s="656" t="e">
        <v>#REF!</v>
      </c>
      <c r="AP27" s="656">
        <v>0</v>
      </c>
      <c r="AQ27" s="656">
        <v>0</v>
      </c>
      <c r="AR27" s="656" t="e">
        <v>#REF!</v>
      </c>
      <c r="AS27" s="656">
        <v>0</v>
      </c>
      <c r="AT27" s="656">
        <v>0</v>
      </c>
      <c r="AU27" s="646" t="e">
        <v>#REF!</v>
      </c>
      <c r="AV27" s="646">
        <v>0</v>
      </c>
      <c r="AW27" s="646">
        <v>0</v>
      </c>
      <c r="AX27" s="662" t="e">
        <v>#REF!</v>
      </c>
      <c r="AY27" s="646"/>
      <c r="AZ27" s="663">
        <v>0</v>
      </c>
      <c r="BA27" s="646" t="e">
        <v>#REF!</v>
      </c>
      <c r="BB27" s="646">
        <v>0</v>
      </c>
      <c r="BC27" s="646">
        <v>0</v>
      </c>
      <c r="BD27" s="646" t="e">
        <v>#REF!</v>
      </c>
      <c r="BE27" s="646">
        <v>0</v>
      </c>
      <c r="BF27" s="646">
        <v>0</v>
      </c>
      <c r="BG27" s="646" t="e">
        <v>#REF!</v>
      </c>
      <c r="BH27" s="646">
        <v>0</v>
      </c>
      <c r="BI27" s="646">
        <v>0</v>
      </c>
      <c r="BJ27" s="646" t="e">
        <v>#REF!</v>
      </c>
      <c r="BK27" s="647">
        <v>0</v>
      </c>
      <c r="BM27" s="668">
        <v>0</v>
      </c>
      <c r="BN27" s="646" t="e">
        <v>#REF!</v>
      </c>
      <c r="BO27" s="646">
        <v>0</v>
      </c>
      <c r="BP27" s="646">
        <v>0</v>
      </c>
      <c r="BQ27" s="646" t="e">
        <v>#REF!</v>
      </c>
      <c r="BR27" s="646">
        <v>0</v>
      </c>
      <c r="BS27" s="646">
        <v>0</v>
      </c>
      <c r="BT27" s="646" t="e">
        <v>#REF!</v>
      </c>
      <c r="BU27" s="646">
        <v>0</v>
      </c>
      <c r="BV27" s="646">
        <v>0</v>
      </c>
      <c r="BW27" s="646" t="e">
        <v>#REF!</v>
      </c>
      <c r="BX27" s="646">
        <v>0</v>
      </c>
      <c r="BY27" s="646">
        <v>0</v>
      </c>
      <c r="BZ27" s="646" t="e">
        <v>#REF!</v>
      </c>
      <c r="CA27" s="646" t="e">
        <v>#REF!</v>
      </c>
      <c r="CC27" s="663">
        <v>0</v>
      </c>
      <c r="CD27" s="646" t="e">
        <v>#REF!</v>
      </c>
      <c r="CE27" s="646">
        <v>0</v>
      </c>
      <c r="CF27" s="646">
        <v>0</v>
      </c>
      <c r="CG27" s="646" t="e">
        <v>#REF!</v>
      </c>
      <c r="CH27" s="646">
        <v>0</v>
      </c>
      <c r="CI27" s="646">
        <v>0</v>
      </c>
      <c r="CJ27" s="646" t="e">
        <v>#REF!</v>
      </c>
      <c r="CK27" s="646">
        <v>0</v>
      </c>
      <c r="CL27" s="646">
        <v>0</v>
      </c>
      <c r="CM27" s="646" t="e">
        <v>#REF!</v>
      </c>
      <c r="CN27" s="646">
        <v>0</v>
      </c>
      <c r="CO27" s="646">
        <v>0</v>
      </c>
      <c r="CP27" s="646" t="e">
        <v>#REF!</v>
      </c>
      <c r="CQ27" s="646" t="e">
        <v>#REF!</v>
      </c>
      <c r="CR27" s="647">
        <v>0</v>
      </c>
    </row>
    <row r="28" spans="1:96" ht="17.25" x14ac:dyDescent="0.3">
      <c r="A28" s="643">
        <v>0</v>
      </c>
      <c r="B28" s="648" t="e">
        <v>#REF!</v>
      </c>
      <c r="C28" s="648"/>
      <c r="D28" s="645">
        <v>0</v>
      </c>
      <c r="E28" s="649" t="e">
        <v>#REF!</v>
      </c>
      <c r="F28" s="647">
        <v>0</v>
      </c>
      <c r="G28" s="357"/>
      <c r="H28" s="655">
        <v>0</v>
      </c>
      <c r="I28" s="656" t="e">
        <v>#REF!</v>
      </c>
      <c r="J28" s="656">
        <v>0</v>
      </c>
      <c r="K28" s="656">
        <v>0</v>
      </c>
      <c r="L28" s="656" t="e">
        <v>#REF!</v>
      </c>
      <c r="M28" s="656"/>
      <c r="N28" s="657">
        <v>0</v>
      </c>
      <c r="O28" s="656" t="e">
        <v>#REF!</v>
      </c>
      <c r="P28" s="656">
        <v>0</v>
      </c>
      <c r="Q28" s="656">
        <v>0</v>
      </c>
      <c r="R28" s="656" t="e">
        <v>#REF!</v>
      </c>
      <c r="S28" s="647">
        <v>0</v>
      </c>
      <c r="T28" s="357"/>
      <c r="U28" s="655">
        <v>0</v>
      </c>
      <c r="V28" s="656" t="e">
        <v>#REF!</v>
      </c>
      <c r="W28" s="656">
        <v>0</v>
      </c>
      <c r="X28" s="656">
        <v>0</v>
      </c>
      <c r="Y28" s="656" t="e">
        <v>#REF!</v>
      </c>
      <c r="Z28" s="656">
        <v>0</v>
      </c>
      <c r="AA28" s="656">
        <v>0</v>
      </c>
      <c r="AB28" s="656" t="e">
        <v>#REF!</v>
      </c>
      <c r="AC28" s="656"/>
      <c r="AD28" s="657">
        <v>0</v>
      </c>
      <c r="AE28" s="656" t="e">
        <v>#REF!</v>
      </c>
      <c r="AF28" s="656">
        <v>0</v>
      </c>
      <c r="AG28" s="656">
        <v>0</v>
      </c>
      <c r="AH28" s="656" t="e">
        <v>#REF!</v>
      </c>
      <c r="AI28" s="656">
        <v>0</v>
      </c>
      <c r="AJ28" s="656">
        <v>0</v>
      </c>
      <c r="AK28" s="656" t="e">
        <v>#REF!</v>
      </c>
      <c r="AL28" s="647">
        <v>0</v>
      </c>
      <c r="AM28" s="357"/>
      <c r="AN28" s="661">
        <v>0</v>
      </c>
      <c r="AO28" s="656" t="e">
        <v>#REF!</v>
      </c>
      <c r="AP28" s="656">
        <v>0</v>
      </c>
      <c r="AQ28" s="656">
        <v>0</v>
      </c>
      <c r="AR28" s="656" t="e">
        <v>#REF!</v>
      </c>
      <c r="AS28" s="656">
        <v>0</v>
      </c>
      <c r="AT28" s="656">
        <v>0</v>
      </c>
      <c r="AU28" s="646" t="e">
        <v>#REF!</v>
      </c>
      <c r="AV28" s="646">
        <v>0</v>
      </c>
      <c r="AW28" s="646">
        <v>0</v>
      </c>
      <c r="AX28" s="662" t="e">
        <v>#REF!</v>
      </c>
      <c r="AY28" s="646"/>
      <c r="AZ28" s="663">
        <v>0</v>
      </c>
      <c r="BA28" s="646" t="e">
        <v>#REF!</v>
      </c>
      <c r="BB28" s="646">
        <v>0</v>
      </c>
      <c r="BC28" s="646">
        <v>0</v>
      </c>
      <c r="BD28" s="646" t="e">
        <v>#REF!</v>
      </c>
      <c r="BE28" s="646">
        <v>0</v>
      </c>
      <c r="BF28" s="646">
        <v>0</v>
      </c>
      <c r="BG28" s="646" t="e">
        <v>#REF!</v>
      </c>
      <c r="BH28" s="646">
        <v>0</v>
      </c>
      <c r="BI28" s="646">
        <v>0</v>
      </c>
      <c r="BJ28" s="646" t="e">
        <v>#REF!</v>
      </c>
      <c r="BK28" s="647">
        <v>0</v>
      </c>
      <c r="BM28" s="668">
        <v>0</v>
      </c>
      <c r="BN28" s="646" t="e">
        <v>#REF!</v>
      </c>
      <c r="BO28" s="646">
        <v>0</v>
      </c>
      <c r="BP28" s="646">
        <v>0</v>
      </c>
      <c r="BQ28" s="646" t="e">
        <v>#REF!</v>
      </c>
      <c r="BR28" s="646">
        <v>0</v>
      </c>
      <c r="BS28" s="646">
        <v>0</v>
      </c>
      <c r="BT28" s="646" t="e">
        <v>#REF!</v>
      </c>
      <c r="BU28" s="646">
        <v>0</v>
      </c>
      <c r="BV28" s="646">
        <v>0</v>
      </c>
      <c r="BW28" s="646" t="e">
        <v>#REF!</v>
      </c>
      <c r="BX28" s="646">
        <v>0</v>
      </c>
      <c r="BY28" s="646">
        <v>0</v>
      </c>
      <c r="BZ28" s="646" t="e">
        <v>#REF!</v>
      </c>
      <c r="CA28" s="646" t="e">
        <v>#REF!</v>
      </c>
      <c r="CC28" s="663">
        <v>0</v>
      </c>
      <c r="CD28" s="646" t="e">
        <v>#REF!</v>
      </c>
      <c r="CE28" s="646">
        <v>0</v>
      </c>
      <c r="CF28" s="646">
        <v>0</v>
      </c>
      <c r="CG28" s="646" t="e">
        <v>#REF!</v>
      </c>
      <c r="CH28" s="646">
        <v>0</v>
      </c>
      <c r="CI28" s="646">
        <v>0</v>
      </c>
      <c r="CJ28" s="646" t="e">
        <v>#REF!</v>
      </c>
      <c r="CK28" s="646">
        <v>0</v>
      </c>
      <c r="CL28" s="646">
        <v>0</v>
      </c>
      <c r="CM28" s="646" t="e">
        <v>#REF!</v>
      </c>
      <c r="CN28" s="646">
        <v>0</v>
      </c>
      <c r="CO28" s="646">
        <v>0</v>
      </c>
      <c r="CP28" s="646" t="e">
        <v>#REF!</v>
      </c>
      <c r="CQ28" s="646" t="e">
        <v>#REF!</v>
      </c>
      <c r="CR28" s="647">
        <v>0</v>
      </c>
    </row>
    <row r="29" spans="1:96" ht="17.25" x14ac:dyDescent="0.3">
      <c r="A29" s="643">
        <v>0</v>
      </c>
      <c r="B29" s="648" t="e">
        <v>#REF!</v>
      </c>
      <c r="C29" s="648"/>
      <c r="D29" s="645">
        <v>0</v>
      </c>
      <c r="E29" s="649" t="e">
        <v>#REF!</v>
      </c>
      <c r="F29" s="647">
        <v>0</v>
      </c>
      <c r="G29" s="357"/>
      <c r="H29" s="655">
        <v>0</v>
      </c>
      <c r="I29" s="656" t="e">
        <v>#REF!</v>
      </c>
      <c r="J29" s="656">
        <v>0</v>
      </c>
      <c r="K29" s="656">
        <v>0</v>
      </c>
      <c r="L29" s="656" t="e">
        <v>#REF!</v>
      </c>
      <c r="M29" s="656"/>
      <c r="N29" s="657">
        <v>0</v>
      </c>
      <c r="O29" s="656" t="e">
        <v>#REF!</v>
      </c>
      <c r="P29" s="656">
        <v>0</v>
      </c>
      <c r="Q29" s="656">
        <v>0</v>
      </c>
      <c r="R29" s="656" t="e">
        <v>#REF!</v>
      </c>
      <c r="S29" s="647">
        <v>0</v>
      </c>
      <c r="T29" s="357"/>
      <c r="U29" s="655">
        <v>0</v>
      </c>
      <c r="V29" s="656" t="e">
        <v>#REF!</v>
      </c>
      <c r="W29" s="656">
        <v>0</v>
      </c>
      <c r="X29" s="656">
        <v>0</v>
      </c>
      <c r="Y29" s="656" t="e">
        <v>#REF!</v>
      </c>
      <c r="Z29" s="656">
        <v>0</v>
      </c>
      <c r="AA29" s="656">
        <v>0</v>
      </c>
      <c r="AB29" s="656" t="e">
        <v>#REF!</v>
      </c>
      <c r="AC29" s="656"/>
      <c r="AD29" s="657">
        <v>0</v>
      </c>
      <c r="AE29" s="656" t="e">
        <v>#REF!</v>
      </c>
      <c r="AF29" s="656">
        <v>0</v>
      </c>
      <c r="AG29" s="656">
        <v>0</v>
      </c>
      <c r="AH29" s="656" t="e">
        <v>#REF!</v>
      </c>
      <c r="AI29" s="656">
        <v>0</v>
      </c>
      <c r="AJ29" s="656">
        <v>0</v>
      </c>
      <c r="AK29" s="656" t="e">
        <v>#REF!</v>
      </c>
      <c r="AL29" s="647">
        <v>0</v>
      </c>
      <c r="AM29" s="357"/>
      <c r="AN29" s="661">
        <v>0</v>
      </c>
      <c r="AO29" s="656" t="e">
        <v>#REF!</v>
      </c>
      <c r="AP29" s="656">
        <v>0</v>
      </c>
      <c r="AQ29" s="656">
        <v>0</v>
      </c>
      <c r="AR29" s="656" t="e">
        <v>#REF!</v>
      </c>
      <c r="AS29" s="656">
        <v>0</v>
      </c>
      <c r="AT29" s="656">
        <v>0</v>
      </c>
      <c r="AU29" s="646" t="e">
        <v>#REF!</v>
      </c>
      <c r="AV29" s="646">
        <v>0</v>
      </c>
      <c r="AW29" s="646">
        <v>0</v>
      </c>
      <c r="AX29" s="662" t="e">
        <v>#REF!</v>
      </c>
      <c r="AY29" s="646"/>
      <c r="AZ29" s="663">
        <v>0</v>
      </c>
      <c r="BA29" s="646" t="e">
        <v>#REF!</v>
      </c>
      <c r="BB29" s="646">
        <v>0</v>
      </c>
      <c r="BC29" s="646">
        <v>0</v>
      </c>
      <c r="BD29" s="646" t="e">
        <v>#REF!</v>
      </c>
      <c r="BE29" s="646">
        <v>0</v>
      </c>
      <c r="BF29" s="646">
        <v>0</v>
      </c>
      <c r="BG29" s="646" t="e">
        <v>#REF!</v>
      </c>
      <c r="BH29" s="646">
        <v>0</v>
      </c>
      <c r="BI29" s="646">
        <v>0</v>
      </c>
      <c r="BJ29" s="646" t="e">
        <v>#REF!</v>
      </c>
      <c r="BK29" s="647">
        <v>0</v>
      </c>
      <c r="BM29" s="668">
        <v>0</v>
      </c>
      <c r="BN29" s="646" t="e">
        <v>#REF!</v>
      </c>
      <c r="BO29" s="646">
        <v>0</v>
      </c>
      <c r="BP29" s="646">
        <v>0</v>
      </c>
      <c r="BQ29" s="646" t="e">
        <v>#REF!</v>
      </c>
      <c r="BR29" s="646">
        <v>0</v>
      </c>
      <c r="BS29" s="646">
        <v>0</v>
      </c>
      <c r="BT29" s="646" t="e">
        <v>#REF!</v>
      </c>
      <c r="BU29" s="646">
        <v>0</v>
      </c>
      <c r="BV29" s="646">
        <v>0</v>
      </c>
      <c r="BW29" s="646" t="e">
        <v>#REF!</v>
      </c>
      <c r="BX29" s="646">
        <v>0</v>
      </c>
      <c r="BY29" s="646">
        <v>0</v>
      </c>
      <c r="BZ29" s="646" t="e">
        <v>#REF!</v>
      </c>
      <c r="CA29" s="646" t="e">
        <v>#REF!</v>
      </c>
      <c r="CC29" s="663">
        <v>0</v>
      </c>
      <c r="CD29" s="646" t="e">
        <v>#REF!</v>
      </c>
      <c r="CE29" s="646">
        <v>0</v>
      </c>
      <c r="CF29" s="646">
        <v>0</v>
      </c>
      <c r="CG29" s="646" t="e">
        <v>#REF!</v>
      </c>
      <c r="CH29" s="646">
        <v>0</v>
      </c>
      <c r="CI29" s="646">
        <v>0</v>
      </c>
      <c r="CJ29" s="646" t="e">
        <v>#REF!</v>
      </c>
      <c r="CK29" s="646">
        <v>0</v>
      </c>
      <c r="CL29" s="646">
        <v>0</v>
      </c>
      <c r="CM29" s="646" t="e">
        <v>#REF!</v>
      </c>
      <c r="CN29" s="646">
        <v>0</v>
      </c>
      <c r="CO29" s="646">
        <v>0</v>
      </c>
      <c r="CP29" s="646" t="e">
        <v>#REF!</v>
      </c>
      <c r="CQ29" s="646" t="e">
        <v>#REF!</v>
      </c>
      <c r="CR29" s="647">
        <v>0</v>
      </c>
    </row>
    <row r="30" spans="1:96" ht="17.25" x14ac:dyDescent="0.3">
      <c r="A30" s="643">
        <v>0</v>
      </c>
      <c r="B30" s="648" t="e">
        <v>#REF!</v>
      </c>
      <c r="C30" s="648"/>
      <c r="D30" s="645">
        <v>0</v>
      </c>
      <c r="E30" s="649" t="e">
        <v>#REF!</v>
      </c>
      <c r="F30" s="647">
        <v>0</v>
      </c>
      <c r="G30" s="357"/>
      <c r="H30" s="655">
        <v>0</v>
      </c>
      <c r="I30" s="656" t="e">
        <v>#REF!</v>
      </c>
      <c r="J30" s="656">
        <v>0</v>
      </c>
      <c r="K30" s="656">
        <v>0</v>
      </c>
      <c r="L30" s="656" t="e">
        <v>#REF!</v>
      </c>
      <c r="M30" s="656"/>
      <c r="N30" s="657">
        <v>0</v>
      </c>
      <c r="O30" s="656" t="e">
        <v>#REF!</v>
      </c>
      <c r="P30" s="656">
        <v>0</v>
      </c>
      <c r="Q30" s="656">
        <v>0</v>
      </c>
      <c r="R30" s="656" t="e">
        <v>#REF!</v>
      </c>
      <c r="S30" s="647">
        <v>0</v>
      </c>
      <c r="T30" s="357"/>
      <c r="U30" s="655">
        <v>0</v>
      </c>
      <c r="V30" s="656" t="e">
        <v>#REF!</v>
      </c>
      <c r="W30" s="656">
        <v>0</v>
      </c>
      <c r="X30" s="656">
        <v>0</v>
      </c>
      <c r="Y30" s="656" t="e">
        <v>#REF!</v>
      </c>
      <c r="Z30" s="656">
        <v>0</v>
      </c>
      <c r="AA30" s="656">
        <v>0</v>
      </c>
      <c r="AB30" s="656" t="e">
        <v>#REF!</v>
      </c>
      <c r="AC30" s="656"/>
      <c r="AD30" s="657">
        <v>0</v>
      </c>
      <c r="AE30" s="656" t="e">
        <v>#REF!</v>
      </c>
      <c r="AF30" s="656">
        <v>0</v>
      </c>
      <c r="AG30" s="656">
        <v>0</v>
      </c>
      <c r="AH30" s="656" t="e">
        <v>#REF!</v>
      </c>
      <c r="AI30" s="656">
        <v>0</v>
      </c>
      <c r="AJ30" s="656">
        <v>0</v>
      </c>
      <c r="AK30" s="656" t="e">
        <v>#REF!</v>
      </c>
      <c r="AL30" s="647">
        <v>0</v>
      </c>
      <c r="AM30" s="357"/>
      <c r="AN30" s="661">
        <v>0</v>
      </c>
      <c r="AO30" s="656" t="e">
        <v>#REF!</v>
      </c>
      <c r="AP30" s="656">
        <v>0</v>
      </c>
      <c r="AQ30" s="656">
        <v>0</v>
      </c>
      <c r="AR30" s="656" t="e">
        <v>#REF!</v>
      </c>
      <c r="AS30" s="656">
        <v>0</v>
      </c>
      <c r="AT30" s="656">
        <v>0</v>
      </c>
      <c r="AU30" s="646" t="e">
        <v>#REF!</v>
      </c>
      <c r="AV30" s="646">
        <v>0</v>
      </c>
      <c r="AW30" s="646">
        <v>0</v>
      </c>
      <c r="AX30" s="662" t="e">
        <v>#REF!</v>
      </c>
      <c r="AY30" s="646"/>
      <c r="AZ30" s="663">
        <v>0</v>
      </c>
      <c r="BA30" s="646" t="e">
        <v>#REF!</v>
      </c>
      <c r="BB30" s="646">
        <v>0</v>
      </c>
      <c r="BC30" s="646">
        <v>0</v>
      </c>
      <c r="BD30" s="646" t="e">
        <v>#REF!</v>
      </c>
      <c r="BE30" s="646">
        <v>0</v>
      </c>
      <c r="BF30" s="646">
        <v>0</v>
      </c>
      <c r="BG30" s="646" t="e">
        <v>#REF!</v>
      </c>
      <c r="BH30" s="646">
        <v>0</v>
      </c>
      <c r="BI30" s="646">
        <v>0</v>
      </c>
      <c r="BJ30" s="646" t="e">
        <v>#REF!</v>
      </c>
      <c r="BK30" s="647">
        <v>0</v>
      </c>
      <c r="BM30" s="668">
        <v>0</v>
      </c>
      <c r="BN30" s="646" t="e">
        <v>#REF!</v>
      </c>
      <c r="BO30" s="646">
        <v>0</v>
      </c>
      <c r="BP30" s="646">
        <v>0</v>
      </c>
      <c r="BQ30" s="646" t="e">
        <v>#REF!</v>
      </c>
      <c r="BR30" s="646">
        <v>0</v>
      </c>
      <c r="BS30" s="646">
        <v>0</v>
      </c>
      <c r="BT30" s="646" t="e">
        <v>#REF!</v>
      </c>
      <c r="BU30" s="646">
        <v>0</v>
      </c>
      <c r="BV30" s="646">
        <v>0</v>
      </c>
      <c r="BW30" s="646" t="e">
        <v>#REF!</v>
      </c>
      <c r="BX30" s="646">
        <v>0</v>
      </c>
      <c r="BY30" s="646">
        <v>0</v>
      </c>
      <c r="BZ30" s="646" t="e">
        <v>#REF!</v>
      </c>
      <c r="CA30" s="646" t="e">
        <v>#REF!</v>
      </c>
      <c r="CC30" s="663">
        <v>0</v>
      </c>
      <c r="CD30" s="646" t="e">
        <v>#REF!</v>
      </c>
      <c r="CE30" s="646">
        <v>0</v>
      </c>
      <c r="CF30" s="646">
        <v>0</v>
      </c>
      <c r="CG30" s="646" t="e">
        <v>#REF!</v>
      </c>
      <c r="CH30" s="646">
        <v>0</v>
      </c>
      <c r="CI30" s="646">
        <v>0</v>
      </c>
      <c r="CJ30" s="646" t="e">
        <v>#REF!</v>
      </c>
      <c r="CK30" s="646">
        <v>0</v>
      </c>
      <c r="CL30" s="646">
        <v>0</v>
      </c>
      <c r="CM30" s="646" t="e">
        <v>#REF!</v>
      </c>
      <c r="CN30" s="646">
        <v>0</v>
      </c>
      <c r="CO30" s="646">
        <v>0</v>
      </c>
      <c r="CP30" s="646" t="e">
        <v>#REF!</v>
      </c>
      <c r="CQ30" s="646" t="e">
        <v>#REF!</v>
      </c>
      <c r="CR30" s="647">
        <v>0</v>
      </c>
    </row>
    <row r="31" spans="1:96" ht="17.25" x14ac:dyDescent="0.3">
      <c r="A31" s="643">
        <v>0</v>
      </c>
      <c r="B31" s="648" t="e">
        <v>#REF!</v>
      </c>
      <c r="C31" s="648"/>
      <c r="D31" s="645">
        <v>0</v>
      </c>
      <c r="E31" s="649" t="e">
        <v>#REF!</v>
      </c>
      <c r="F31" s="647">
        <v>0</v>
      </c>
      <c r="G31" s="357"/>
      <c r="H31" s="655">
        <v>0</v>
      </c>
      <c r="I31" s="656" t="e">
        <v>#REF!</v>
      </c>
      <c r="J31" s="656">
        <v>0</v>
      </c>
      <c r="K31" s="656">
        <v>0</v>
      </c>
      <c r="L31" s="656" t="e">
        <v>#REF!</v>
      </c>
      <c r="M31" s="656"/>
      <c r="N31" s="657">
        <v>0</v>
      </c>
      <c r="O31" s="656" t="e">
        <v>#REF!</v>
      </c>
      <c r="P31" s="656">
        <v>0</v>
      </c>
      <c r="Q31" s="656">
        <v>0</v>
      </c>
      <c r="R31" s="656" t="e">
        <v>#REF!</v>
      </c>
      <c r="S31" s="647">
        <v>0</v>
      </c>
      <c r="T31" s="357"/>
      <c r="U31" s="655">
        <v>0</v>
      </c>
      <c r="V31" s="656" t="e">
        <v>#REF!</v>
      </c>
      <c r="W31" s="656">
        <v>0</v>
      </c>
      <c r="X31" s="656">
        <v>0</v>
      </c>
      <c r="Y31" s="656" t="e">
        <v>#REF!</v>
      </c>
      <c r="Z31" s="656">
        <v>0</v>
      </c>
      <c r="AA31" s="656">
        <v>0</v>
      </c>
      <c r="AB31" s="656" t="e">
        <v>#REF!</v>
      </c>
      <c r="AC31" s="656"/>
      <c r="AD31" s="657">
        <v>0</v>
      </c>
      <c r="AE31" s="656" t="e">
        <v>#REF!</v>
      </c>
      <c r="AF31" s="656">
        <v>0</v>
      </c>
      <c r="AG31" s="656">
        <v>0</v>
      </c>
      <c r="AH31" s="656" t="e">
        <v>#REF!</v>
      </c>
      <c r="AI31" s="656">
        <v>0</v>
      </c>
      <c r="AJ31" s="656">
        <v>0</v>
      </c>
      <c r="AK31" s="656" t="e">
        <v>#REF!</v>
      </c>
      <c r="AL31" s="647">
        <v>0</v>
      </c>
      <c r="AM31" s="357"/>
      <c r="AN31" s="661">
        <v>0</v>
      </c>
      <c r="AO31" s="656" t="e">
        <v>#REF!</v>
      </c>
      <c r="AP31" s="656">
        <v>0</v>
      </c>
      <c r="AQ31" s="656">
        <v>0</v>
      </c>
      <c r="AR31" s="656" t="e">
        <v>#REF!</v>
      </c>
      <c r="AS31" s="656">
        <v>0</v>
      </c>
      <c r="AT31" s="656">
        <v>0</v>
      </c>
      <c r="AU31" s="646" t="e">
        <v>#REF!</v>
      </c>
      <c r="AV31" s="646">
        <v>0</v>
      </c>
      <c r="AW31" s="646">
        <v>0</v>
      </c>
      <c r="AX31" s="662" t="e">
        <v>#REF!</v>
      </c>
      <c r="AY31" s="646"/>
      <c r="AZ31" s="663">
        <v>0</v>
      </c>
      <c r="BA31" s="646" t="e">
        <v>#REF!</v>
      </c>
      <c r="BB31" s="646">
        <v>0</v>
      </c>
      <c r="BC31" s="646">
        <v>0</v>
      </c>
      <c r="BD31" s="646" t="e">
        <v>#REF!</v>
      </c>
      <c r="BE31" s="646">
        <v>0</v>
      </c>
      <c r="BF31" s="646">
        <v>0</v>
      </c>
      <c r="BG31" s="646" t="e">
        <v>#REF!</v>
      </c>
      <c r="BH31" s="646">
        <v>0</v>
      </c>
      <c r="BI31" s="646">
        <v>0</v>
      </c>
      <c r="BJ31" s="646" t="e">
        <v>#REF!</v>
      </c>
      <c r="BK31" s="647">
        <v>0</v>
      </c>
      <c r="BM31" s="668">
        <v>0</v>
      </c>
      <c r="BN31" s="646" t="e">
        <v>#REF!</v>
      </c>
      <c r="BO31" s="646">
        <v>0</v>
      </c>
      <c r="BP31" s="646">
        <v>0</v>
      </c>
      <c r="BQ31" s="646" t="e">
        <v>#REF!</v>
      </c>
      <c r="BR31" s="646">
        <v>0</v>
      </c>
      <c r="BS31" s="646">
        <v>0</v>
      </c>
      <c r="BT31" s="646" t="e">
        <v>#REF!</v>
      </c>
      <c r="BU31" s="646">
        <v>0</v>
      </c>
      <c r="BV31" s="646">
        <v>0</v>
      </c>
      <c r="BW31" s="646" t="e">
        <v>#REF!</v>
      </c>
      <c r="BX31" s="646">
        <v>0</v>
      </c>
      <c r="BY31" s="646">
        <v>0</v>
      </c>
      <c r="BZ31" s="646" t="e">
        <v>#REF!</v>
      </c>
      <c r="CA31" s="646" t="e">
        <v>#REF!</v>
      </c>
      <c r="CC31" s="663">
        <v>0</v>
      </c>
      <c r="CD31" s="646" t="e">
        <v>#REF!</v>
      </c>
      <c r="CE31" s="646">
        <v>0</v>
      </c>
      <c r="CF31" s="646">
        <v>0</v>
      </c>
      <c r="CG31" s="646" t="e">
        <v>#REF!</v>
      </c>
      <c r="CH31" s="646">
        <v>0</v>
      </c>
      <c r="CI31" s="646">
        <v>0</v>
      </c>
      <c r="CJ31" s="646" t="e">
        <v>#REF!</v>
      </c>
      <c r="CK31" s="646">
        <v>0</v>
      </c>
      <c r="CL31" s="646">
        <v>0</v>
      </c>
      <c r="CM31" s="646" t="e">
        <v>#REF!</v>
      </c>
      <c r="CN31" s="646">
        <v>0</v>
      </c>
      <c r="CO31" s="646">
        <v>0</v>
      </c>
      <c r="CP31" s="646" t="e">
        <v>#REF!</v>
      </c>
      <c r="CQ31" s="646" t="e">
        <v>#REF!</v>
      </c>
      <c r="CR31" s="647">
        <v>0</v>
      </c>
    </row>
    <row r="32" spans="1:96" ht="17.25" x14ac:dyDescent="0.3">
      <c r="A32" s="643">
        <v>0</v>
      </c>
      <c r="B32" s="648" t="e">
        <v>#REF!</v>
      </c>
      <c r="C32" s="648"/>
      <c r="D32" s="645">
        <v>0</v>
      </c>
      <c r="E32" s="649" t="e">
        <v>#REF!</v>
      </c>
      <c r="F32" s="647">
        <v>0</v>
      </c>
      <c r="G32" s="357"/>
      <c r="H32" s="655">
        <v>0</v>
      </c>
      <c r="I32" s="656" t="e">
        <v>#REF!</v>
      </c>
      <c r="J32" s="656">
        <v>0</v>
      </c>
      <c r="K32" s="656">
        <v>0</v>
      </c>
      <c r="L32" s="656" t="e">
        <v>#REF!</v>
      </c>
      <c r="M32" s="656"/>
      <c r="N32" s="657">
        <v>0</v>
      </c>
      <c r="O32" s="656" t="e">
        <v>#REF!</v>
      </c>
      <c r="P32" s="656">
        <v>0</v>
      </c>
      <c r="Q32" s="656">
        <v>0</v>
      </c>
      <c r="R32" s="656" t="e">
        <v>#REF!</v>
      </c>
      <c r="S32" s="647">
        <v>0</v>
      </c>
      <c r="T32" s="357"/>
      <c r="U32" s="655">
        <v>0</v>
      </c>
      <c r="V32" s="656" t="e">
        <v>#REF!</v>
      </c>
      <c r="W32" s="656">
        <v>0</v>
      </c>
      <c r="X32" s="656">
        <v>0</v>
      </c>
      <c r="Y32" s="656" t="e">
        <v>#REF!</v>
      </c>
      <c r="Z32" s="656">
        <v>0</v>
      </c>
      <c r="AA32" s="656">
        <v>0</v>
      </c>
      <c r="AB32" s="656" t="e">
        <v>#REF!</v>
      </c>
      <c r="AC32" s="656"/>
      <c r="AD32" s="657">
        <v>0</v>
      </c>
      <c r="AE32" s="656" t="e">
        <v>#REF!</v>
      </c>
      <c r="AF32" s="656">
        <v>0</v>
      </c>
      <c r="AG32" s="656">
        <v>0</v>
      </c>
      <c r="AH32" s="656" t="e">
        <v>#REF!</v>
      </c>
      <c r="AI32" s="656">
        <v>0</v>
      </c>
      <c r="AJ32" s="656">
        <v>0</v>
      </c>
      <c r="AK32" s="656" t="e">
        <v>#REF!</v>
      </c>
      <c r="AL32" s="647">
        <v>0</v>
      </c>
      <c r="AM32" s="357"/>
      <c r="AN32" s="661">
        <v>0</v>
      </c>
      <c r="AO32" s="656" t="e">
        <v>#REF!</v>
      </c>
      <c r="AP32" s="656">
        <v>0</v>
      </c>
      <c r="AQ32" s="656">
        <v>0</v>
      </c>
      <c r="AR32" s="656" t="e">
        <v>#REF!</v>
      </c>
      <c r="AS32" s="656">
        <v>0</v>
      </c>
      <c r="AT32" s="656">
        <v>0</v>
      </c>
      <c r="AU32" s="646" t="e">
        <v>#REF!</v>
      </c>
      <c r="AV32" s="646">
        <v>0</v>
      </c>
      <c r="AW32" s="646">
        <v>0</v>
      </c>
      <c r="AX32" s="662" t="e">
        <v>#REF!</v>
      </c>
      <c r="AY32" s="646"/>
      <c r="AZ32" s="663">
        <v>0</v>
      </c>
      <c r="BA32" s="646" t="e">
        <v>#REF!</v>
      </c>
      <c r="BB32" s="646">
        <v>0</v>
      </c>
      <c r="BC32" s="646">
        <v>0</v>
      </c>
      <c r="BD32" s="646" t="e">
        <v>#REF!</v>
      </c>
      <c r="BE32" s="646">
        <v>0</v>
      </c>
      <c r="BF32" s="646">
        <v>0</v>
      </c>
      <c r="BG32" s="646" t="e">
        <v>#REF!</v>
      </c>
      <c r="BH32" s="646">
        <v>0</v>
      </c>
      <c r="BI32" s="646">
        <v>0</v>
      </c>
      <c r="BJ32" s="646" t="e">
        <v>#REF!</v>
      </c>
      <c r="BK32" s="647">
        <v>0</v>
      </c>
      <c r="BM32" s="668">
        <v>0</v>
      </c>
      <c r="BN32" s="646" t="e">
        <v>#REF!</v>
      </c>
      <c r="BO32" s="646">
        <v>0</v>
      </c>
      <c r="BP32" s="646">
        <v>0</v>
      </c>
      <c r="BQ32" s="646" t="e">
        <v>#REF!</v>
      </c>
      <c r="BR32" s="646">
        <v>0</v>
      </c>
      <c r="BS32" s="646">
        <v>0</v>
      </c>
      <c r="BT32" s="646" t="e">
        <v>#REF!</v>
      </c>
      <c r="BU32" s="646">
        <v>0</v>
      </c>
      <c r="BV32" s="646">
        <v>0</v>
      </c>
      <c r="BW32" s="646" t="e">
        <v>#REF!</v>
      </c>
      <c r="BX32" s="646">
        <v>0</v>
      </c>
      <c r="BY32" s="646">
        <v>0</v>
      </c>
      <c r="BZ32" s="646" t="e">
        <v>#REF!</v>
      </c>
      <c r="CA32" s="646" t="e">
        <v>#REF!</v>
      </c>
      <c r="CC32" s="663">
        <v>0</v>
      </c>
      <c r="CD32" s="646" t="e">
        <v>#REF!</v>
      </c>
      <c r="CE32" s="646">
        <v>0</v>
      </c>
      <c r="CF32" s="646">
        <v>0</v>
      </c>
      <c r="CG32" s="646" t="e">
        <v>#REF!</v>
      </c>
      <c r="CH32" s="646">
        <v>0</v>
      </c>
      <c r="CI32" s="646">
        <v>0</v>
      </c>
      <c r="CJ32" s="646" t="e">
        <v>#REF!</v>
      </c>
      <c r="CK32" s="646">
        <v>0</v>
      </c>
      <c r="CL32" s="646">
        <v>0</v>
      </c>
      <c r="CM32" s="646" t="e">
        <v>#REF!</v>
      </c>
      <c r="CN32" s="646">
        <v>0</v>
      </c>
      <c r="CO32" s="646">
        <v>0</v>
      </c>
      <c r="CP32" s="646" t="e">
        <v>#REF!</v>
      </c>
      <c r="CQ32" s="646" t="e">
        <v>#REF!</v>
      </c>
      <c r="CR32" s="647">
        <v>0</v>
      </c>
    </row>
    <row r="33" spans="1:96" ht="17.25" x14ac:dyDescent="0.3">
      <c r="A33" s="643">
        <v>0</v>
      </c>
      <c r="B33" s="648" t="e">
        <v>#REF!</v>
      </c>
      <c r="C33" s="648"/>
      <c r="D33" s="645">
        <v>0</v>
      </c>
      <c r="E33" s="649" t="e">
        <v>#REF!</v>
      </c>
      <c r="F33" s="647">
        <v>0</v>
      </c>
      <c r="G33" s="357"/>
      <c r="H33" s="655">
        <v>0</v>
      </c>
      <c r="I33" s="656" t="e">
        <v>#REF!</v>
      </c>
      <c r="J33" s="656">
        <v>0</v>
      </c>
      <c r="K33" s="656">
        <v>0</v>
      </c>
      <c r="L33" s="656" t="e">
        <v>#REF!</v>
      </c>
      <c r="M33" s="656"/>
      <c r="N33" s="657">
        <v>0</v>
      </c>
      <c r="O33" s="656" t="e">
        <v>#REF!</v>
      </c>
      <c r="P33" s="656">
        <v>0</v>
      </c>
      <c r="Q33" s="656">
        <v>0</v>
      </c>
      <c r="R33" s="656" t="e">
        <v>#REF!</v>
      </c>
      <c r="S33" s="647">
        <v>0</v>
      </c>
      <c r="T33" s="357"/>
      <c r="U33" s="655">
        <v>0</v>
      </c>
      <c r="V33" s="656" t="e">
        <v>#REF!</v>
      </c>
      <c r="W33" s="656">
        <v>0</v>
      </c>
      <c r="X33" s="656">
        <v>0</v>
      </c>
      <c r="Y33" s="656" t="e">
        <v>#REF!</v>
      </c>
      <c r="Z33" s="656">
        <v>0</v>
      </c>
      <c r="AA33" s="656">
        <v>0</v>
      </c>
      <c r="AB33" s="656" t="e">
        <v>#REF!</v>
      </c>
      <c r="AC33" s="656"/>
      <c r="AD33" s="657">
        <v>0</v>
      </c>
      <c r="AE33" s="656" t="e">
        <v>#REF!</v>
      </c>
      <c r="AF33" s="656">
        <v>0</v>
      </c>
      <c r="AG33" s="656">
        <v>0</v>
      </c>
      <c r="AH33" s="656" t="e">
        <v>#REF!</v>
      </c>
      <c r="AI33" s="656">
        <v>0</v>
      </c>
      <c r="AJ33" s="656">
        <v>0</v>
      </c>
      <c r="AK33" s="656" t="e">
        <v>#REF!</v>
      </c>
      <c r="AL33" s="647">
        <v>0</v>
      </c>
      <c r="AM33" s="357"/>
      <c r="AN33" s="661">
        <v>0</v>
      </c>
      <c r="AO33" s="656" t="e">
        <v>#REF!</v>
      </c>
      <c r="AP33" s="656">
        <v>0</v>
      </c>
      <c r="AQ33" s="656">
        <v>0</v>
      </c>
      <c r="AR33" s="656" t="e">
        <v>#REF!</v>
      </c>
      <c r="AS33" s="656">
        <v>0</v>
      </c>
      <c r="AT33" s="656">
        <v>0</v>
      </c>
      <c r="AU33" s="646" t="e">
        <v>#REF!</v>
      </c>
      <c r="AV33" s="646">
        <v>0</v>
      </c>
      <c r="AW33" s="646">
        <v>0</v>
      </c>
      <c r="AX33" s="662" t="e">
        <v>#REF!</v>
      </c>
      <c r="AY33" s="646"/>
      <c r="AZ33" s="663">
        <v>0</v>
      </c>
      <c r="BA33" s="646" t="e">
        <v>#REF!</v>
      </c>
      <c r="BB33" s="646">
        <v>0</v>
      </c>
      <c r="BC33" s="646">
        <v>0</v>
      </c>
      <c r="BD33" s="646" t="e">
        <v>#REF!</v>
      </c>
      <c r="BE33" s="646">
        <v>0</v>
      </c>
      <c r="BF33" s="646">
        <v>0</v>
      </c>
      <c r="BG33" s="646" t="e">
        <v>#REF!</v>
      </c>
      <c r="BH33" s="646">
        <v>0</v>
      </c>
      <c r="BI33" s="646">
        <v>0</v>
      </c>
      <c r="BJ33" s="646" t="e">
        <v>#REF!</v>
      </c>
      <c r="BK33" s="647">
        <v>0</v>
      </c>
      <c r="BM33" s="668">
        <v>0</v>
      </c>
      <c r="BN33" s="646" t="e">
        <v>#REF!</v>
      </c>
      <c r="BO33" s="646">
        <v>0</v>
      </c>
      <c r="BP33" s="646">
        <v>0</v>
      </c>
      <c r="BQ33" s="646" t="e">
        <v>#REF!</v>
      </c>
      <c r="BR33" s="646">
        <v>0</v>
      </c>
      <c r="BS33" s="646">
        <v>0</v>
      </c>
      <c r="BT33" s="646" t="e">
        <v>#REF!</v>
      </c>
      <c r="BU33" s="646">
        <v>0</v>
      </c>
      <c r="BV33" s="646">
        <v>0</v>
      </c>
      <c r="BW33" s="646" t="e">
        <v>#REF!</v>
      </c>
      <c r="BX33" s="646">
        <v>0</v>
      </c>
      <c r="BY33" s="646">
        <v>0</v>
      </c>
      <c r="BZ33" s="646" t="e">
        <v>#REF!</v>
      </c>
      <c r="CA33" s="646" t="e">
        <v>#REF!</v>
      </c>
      <c r="CC33" s="663">
        <v>0</v>
      </c>
      <c r="CD33" s="646" t="e">
        <v>#REF!</v>
      </c>
      <c r="CE33" s="646">
        <v>0</v>
      </c>
      <c r="CF33" s="646">
        <v>0</v>
      </c>
      <c r="CG33" s="646" t="e">
        <v>#REF!</v>
      </c>
      <c r="CH33" s="646">
        <v>0</v>
      </c>
      <c r="CI33" s="646">
        <v>0</v>
      </c>
      <c r="CJ33" s="646" t="e">
        <v>#REF!</v>
      </c>
      <c r="CK33" s="646">
        <v>0</v>
      </c>
      <c r="CL33" s="646">
        <v>0</v>
      </c>
      <c r="CM33" s="646" t="e">
        <v>#REF!</v>
      </c>
      <c r="CN33" s="646">
        <v>0</v>
      </c>
      <c r="CO33" s="646">
        <v>0</v>
      </c>
      <c r="CP33" s="646" t="e">
        <v>#REF!</v>
      </c>
      <c r="CQ33" s="646" t="e">
        <v>#REF!</v>
      </c>
      <c r="CR33" s="647">
        <v>0</v>
      </c>
    </row>
    <row r="34" spans="1:96" ht="17.25" x14ac:dyDescent="0.3">
      <c r="A34" s="643">
        <v>0</v>
      </c>
      <c r="B34" s="648" t="e">
        <v>#REF!</v>
      </c>
      <c r="C34" s="648"/>
      <c r="D34" s="645">
        <v>0</v>
      </c>
      <c r="E34" s="649" t="e">
        <v>#REF!</v>
      </c>
      <c r="F34" s="647">
        <v>0</v>
      </c>
      <c r="G34" s="357"/>
      <c r="H34" s="655">
        <v>0</v>
      </c>
      <c r="I34" s="656" t="e">
        <v>#REF!</v>
      </c>
      <c r="J34" s="656">
        <v>0</v>
      </c>
      <c r="K34" s="656">
        <v>0</v>
      </c>
      <c r="L34" s="656" t="e">
        <v>#REF!</v>
      </c>
      <c r="M34" s="656"/>
      <c r="N34" s="657">
        <v>0</v>
      </c>
      <c r="O34" s="656" t="e">
        <v>#REF!</v>
      </c>
      <c r="P34" s="656">
        <v>0</v>
      </c>
      <c r="Q34" s="656">
        <v>0</v>
      </c>
      <c r="R34" s="656" t="e">
        <v>#REF!</v>
      </c>
      <c r="S34" s="647">
        <v>0</v>
      </c>
      <c r="T34" s="357"/>
      <c r="U34" s="655">
        <v>0</v>
      </c>
      <c r="V34" s="656" t="e">
        <v>#REF!</v>
      </c>
      <c r="W34" s="656">
        <v>0</v>
      </c>
      <c r="X34" s="656">
        <v>0</v>
      </c>
      <c r="Y34" s="656" t="e">
        <v>#REF!</v>
      </c>
      <c r="Z34" s="656">
        <v>0</v>
      </c>
      <c r="AA34" s="656">
        <v>0</v>
      </c>
      <c r="AB34" s="656" t="e">
        <v>#REF!</v>
      </c>
      <c r="AC34" s="656"/>
      <c r="AD34" s="657">
        <v>0</v>
      </c>
      <c r="AE34" s="656" t="e">
        <v>#REF!</v>
      </c>
      <c r="AF34" s="656">
        <v>0</v>
      </c>
      <c r="AG34" s="656">
        <v>0</v>
      </c>
      <c r="AH34" s="656" t="e">
        <v>#REF!</v>
      </c>
      <c r="AI34" s="656">
        <v>0</v>
      </c>
      <c r="AJ34" s="656">
        <v>0</v>
      </c>
      <c r="AK34" s="656" t="e">
        <v>#REF!</v>
      </c>
      <c r="AL34" s="647">
        <v>0</v>
      </c>
      <c r="AM34" s="357"/>
      <c r="AN34" s="661">
        <v>0</v>
      </c>
      <c r="AO34" s="656" t="e">
        <v>#REF!</v>
      </c>
      <c r="AP34" s="656">
        <v>0</v>
      </c>
      <c r="AQ34" s="656">
        <v>0</v>
      </c>
      <c r="AR34" s="656" t="e">
        <v>#REF!</v>
      </c>
      <c r="AS34" s="656">
        <v>0</v>
      </c>
      <c r="AT34" s="656">
        <v>0</v>
      </c>
      <c r="AU34" s="646" t="e">
        <v>#REF!</v>
      </c>
      <c r="AV34" s="646">
        <v>0</v>
      </c>
      <c r="AW34" s="646">
        <v>0</v>
      </c>
      <c r="AX34" s="662" t="e">
        <v>#REF!</v>
      </c>
      <c r="AY34" s="646"/>
      <c r="AZ34" s="663">
        <v>0</v>
      </c>
      <c r="BA34" s="646" t="e">
        <v>#REF!</v>
      </c>
      <c r="BB34" s="646">
        <v>0</v>
      </c>
      <c r="BC34" s="646">
        <v>0</v>
      </c>
      <c r="BD34" s="646" t="e">
        <v>#REF!</v>
      </c>
      <c r="BE34" s="646">
        <v>0</v>
      </c>
      <c r="BF34" s="646">
        <v>0</v>
      </c>
      <c r="BG34" s="646" t="e">
        <v>#REF!</v>
      </c>
      <c r="BH34" s="646">
        <v>0</v>
      </c>
      <c r="BI34" s="646">
        <v>0</v>
      </c>
      <c r="BJ34" s="646" t="e">
        <v>#REF!</v>
      </c>
      <c r="BK34" s="647">
        <v>0</v>
      </c>
      <c r="BM34" s="668">
        <v>0</v>
      </c>
      <c r="BN34" s="646" t="e">
        <v>#REF!</v>
      </c>
      <c r="BO34" s="646">
        <v>0</v>
      </c>
      <c r="BP34" s="646">
        <v>0</v>
      </c>
      <c r="BQ34" s="646" t="e">
        <v>#REF!</v>
      </c>
      <c r="BR34" s="646">
        <v>0</v>
      </c>
      <c r="BS34" s="646">
        <v>0</v>
      </c>
      <c r="BT34" s="646" t="e">
        <v>#REF!</v>
      </c>
      <c r="BU34" s="646">
        <v>0</v>
      </c>
      <c r="BV34" s="646">
        <v>0</v>
      </c>
      <c r="BW34" s="646" t="e">
        <v>#REF!</v>
      </c>
      <c r="BX34" s="646">
        <v>0</v>
      </c>
      <c r="BY34" s="646">
        <v>0</v>
      </c>
      <c r="BZ34" s="646" t="e">
        <v>#REF!</v>
      </c>
      <c r="CA34" s="646" t="e">
        <v>#REF!</v>
      </c>
      <c r="CC34" s="663">
        <v>0</v>
      </c>
      <c r="CD34" s="646" t="e">
        <v>#REF!</v>
      </c>
      <c r="CE34" s="646">
        <v>0</v>
      </c>
      <c r="CF34" s="646">
        <v>0</v>
      </c>
      <c r="CG34" s="646" t="e">
        <v>#REF!</v>
      </c>
      <c r="CH34" s="646">
        <v>0</v>
      </c>
      <c r="CI34" s="646">
        <v>0</v>
      </c>
      <c r="CJ34" s="646" t="e">
        <v>#REF!</v>
      </c>
      <c r="CK34" s="646">
        <v>0</v>
      </c>
      <c r="CL34" s="646">
        <v>0</v>
      </c>
      <c r="CM34" s="646" t="e">
        <v>#REF!</v>
      </c>
      <c r="CN34" s="646">
        <v>0</v>
      </c>
      <c r="CO34" s="646">
        <v>0</v>
      </c>
      <c r="CP34" s="646" t="e">
        <v>#REF!</v>
      </c>
      <c r="CQ34" s="646" t="e">
        <v>#REF!</v>
      </c>
      <c r="CR34" s="647">
        <v>0</v>
      </c>
    </row>
    <row r="35" spans="1:96" ht="17.25" x14ac:dyDescent="0.3">
      <c r="A35" s="643">
        <v>0</v>
      </c>
      <c r="B35" s="648" t="e">
        <v>#REF!</v>
      </c>
      <c r="C35" s="648"/>
      <c r="D35" s="645">
        <v>0</v>
      </c>
      <c r="E35" s="649" t="e">
        <v>#REF!</v>
      </c>
      <c r="F35" s="647">
        <v>0</v>
      </c>
      <c r="G35" s="357"/>
      <c r="H35" s="655">
        <v>0</v>
      </c>
      <c r="I35" s="656" t="e">
        <v>#REF!</v>
      </c>
      <c r="J35" s="656">
        <v>0</v>
      </c>
      <c r="K35" s="656">
        <v>0</v>
      </c>
      <c r="L35" s="656" t="e">
        <v>#REF!</v>
      </c>
      <c r="M35" s="656"/>
      <c r="N35" s="657">
        <v>0</v>
      </c>
      <c r="O35" s="656" t="e">
        <v>#REF!</v>
      </c>
      <c r="P35" s="656">
        <v>0</v>
      </c>
      <c r="Q35" s="656">
        <v>0</v>
      </c>
      <c r="R35" s="656" t="e">
        <v>#REF!</v>
      </c>
      <c r="S35" s="647">
        <v>0</v>
      </c>
      <c r="T35" s="357"/>
      <c r="U35" s="655">
        <v>0</v>
      </c>
      <c r="V35" s="656" t="e">
        <v>#REF!</v>
      </c>
      <c r="W35" s="656">
        <v>0</v>
      </c>
      <c r="X35" s="656">
        <v>0</v>
      </c>
      <c r="Y35" s="656" t="e">
        <v>#REF!</v>
      </c>
      <c r="Z35" s="656">
        <v>0</v>
      </c>
      <c r="AA35" s="656">
        <v>0</v>
      </c>
      <c r="AB35" s="656" t="e">
        <v>#REF!</v>
      </c>
      <c r="AC35" s="656"/>
      <c r="AD35" s="657">
        <v>0</v>
      </c>
      <c r="AE35" s="656" t="e">
        <v>#REF!</v>
      </c>
      <c r="AF35" s="656">
        <v>0</v>
      </c>
      <c r="AG35" s="656">
        <v>0</v>
      </c>
      <c r="AH35" s="656" t="e">
        <v>#REF!</v>
      </c>
      <c r="AI35" s="656">
        <v>0</v>
      </c>
      <c r="AJ35" s="656">
        <v>0</v>
      </c>
      <c r="AK35" s="656" t="e">
        <v>#REF!</v>
      </c>
      <c r="AL35" s="647">
        <v>0</v>
      </c>
      <c r="AM35" s="357"/>
      <c r="AN35" s="661">
        <v>0</v>
      </c>
      <c r="AO35" s="656" t="e">
        <v>#REF!</v>
      </c>
      <c r="AP35" s="656">
        <v>0</v>
      </c>
      <c r="AQ35" s="656">
        <v>0</v>
      </c>
      <c r="AR35" s="656" t="e">
        <v>#REF!</v>
      </c>
      <c r="AS35" s="656">
        <v>0</v>
      </c>
      <c r="AT35" s="656">
        <v>0</v>
      </c>
      <c r="AU35" s="646" t="e">
        <v>#REF!</v>
      </c>
      <c r="AV35" s="646">
        <v>0</v>
      </c>
      <c r="AW35" s="646">
        <v>0</v>
      </c>
      <c r="AX35" s="662" t="e">
        <v>#REF!</v>
      </c>
      <c r="AY35" s="646"/>
      <c r="AZ35" s="663">
        <v>0</v>
      </c>
      <c r="BA35" s="646" t="e">
        <v>#REF!</v>
      </c>
      <c r="BB35" s="646">
        <v>0</v>
      </c>
      <c r="BC35" s="646">
        <v>0</v>
      </c>
      <c r="BD35" s="646" t="e">
        <v>#REF!</v>
      </c>
      <c r="BE35" s="646">
        <v>0</v>
      </c>
      <c r="BF35" s="646">
        <v>0</v>
      </c>
      <c r="BG35" s="646" t="e">
        <v>#REF!</v>
      </c>
      <c r="BH35" s="646">
        <v>0</v>
      </c>
      <c r="BI35" s="646">
        <v>0</v>
      </c>
      <c r="BJ35" s="646" t="e">
        <v>#REF!</v>
      </c>
      <c r="BK35" s="647">
        <v>0</v>
      </c>
      <c r="BM35" s="668">
        <v>0</v>
      </c>
      <c r="BN35" s="646" t="e">
        <v>#REF!</v>
      </c>
      <c r="BO35" s="646">
        <v>0</v>
      </c>
      <c r="BP35" s="646">
        <v>0</v>
      </c>
      <c r="BQ35" s="646" t="e">
        <v>#REF!</v>
      </c>
      <c r="BR35" s="646">
        <v>0</v>
      </c>
      <c r="BS35" s="646">
        <v>0</v>
      </c>
      <c r="BT35" s="646" t="e">
        <v>#REF!</v>
      </c>
      <c r="BU35" s="646">
        <v>0</v>
      </c>
      <c r="BV35" s="646">
        <v>0</v>
      </c>
      <c r="BW35" s="646" t="e">
        <v>#REF!</v>
      </c>
      <c r="BX35" s="646">
        <v>0</v>
      </c>
      <c r="BY35" s="646">
        <v>0</v>
      </c>
      <c r="BZ35" s="646" t="e">
        <v>#REF!</v>
      </c>
      <c r="CA35" s="646" t="e">
        <v>#REF!</v>
      </c>
      <c r="CC35" s="663">
        <v>0</v>
      </c>
      <c r="CD35" s="646" t="e">
        <v>#REF!</v>
      </c>
      <c r="CE35" s="646">
        <v>0</v>
      </c>
      <c r="CF35" s="646">
        <v>0</v>
      </c>
      <c r="CG35" s="646" t="e">
        <v>#REF!</v>
      </c>
      <c r="CH35" s="646">
        <v>0</v>
      </c>
      <c r="CI35" s="646">
        <v>0</v>
      </c>
      <c r="CJ35" s="646" t="e">
        <v>#REF!</v>
      </c>
      <c r="CK35" s="646">
        <v>0</v>
      </c>
      <c r="CL35" s="646">
        <v>0</v>
      </c>
      <c r="CM35" s="646" t="e">
        <v>#REF!</v>
      </c>
      <c r="CN35" s="646">
        <v>0</v>
      </c>
      <c r="CO35" s="646">
        <v>0</v>
      </c>
      <c r="CP35" s="646" t="e">
        <v>#REF!</v>
      </c>
      <c r="CQ35" s="646" t="e">
        <v>#REF!</v>
      </c>
      <c r="CR35" s="647">
        <v>0</v>
      </c>
    </row>
    <row r="36" spans="1:96" ht="17.25" x14ac:dyDescent="0.3">
      <c r="A36" s="643">
        <v>0</v>
      </c>
      <c r="B36" s="648" t="e">
        <v>#REF!</v>
      </c>
      <c r="C36" s="648"/>
      <c r="D36" s="645">
        <v>0</v>
      </c>
      <c r="E36" s="649" t="e">
        <v>#REF!</v>
      </c>
      <c r="F36" s="647">
        <v>0</v>
      </c>
      <c r="G36" s="357"/>
      <c r="H36" s="655">
        <v>0</v>
      </c>
      <c r="I36" s="656" t="e">
        <v>#REF!</v>
      </c>
      <c r="J36" s="656">
        <v>0</v>
      </c>
      <c r="K36" s="656">
        <v>0</v>
      </c>
      <c r="L36" s="656" t="e">
        <v>#REF!</v>
      </c>
      <c r="M36" s="656"/>
      <c r="N36" s="657">
        <v>0</v>
      </c>
      <c r="O36" s="656" t="e">
        <v>#REF!</v>
      </c>
      <c r="P36" s="656">
        <v>0</v>
      </c>
      <c r="Q36" s="656">
        <v>0</v>
      </c>
      <c r="R36" s="656" t="e">
        <v>#REF!</v>
      </c>
      <c r="S36" s="647">
        <v>0</v>
      </c>
      <c r="T36" s="357"/>
      <c r="U36" s="655">
        <v>0</v>
      </c>
      <c r="V36" s="656" t="e">
        <v>#REF!</v>
      </c>
      <c r="W36" s="656">
        <v>0</v>
      </c>
      <c r="X36" s="656">
        <v>0</v>
      </c>
      <c r="Y36" s="656" t="e">
        <v>#REF!</v>
      </c>
      <c r="Z36" s="656">
        <v>0</v>
      </c>
      <c r="AA36" s="656">
        <v>0</v>
      </c>
      <c r="AB36" s="656" t="e">
        <v>#REF!</v>
      </c>
      <c r="AC36" s="656"/>
      <c r="AD36" s="657">
        <v>0</v>
      </c>
      <c r="AE36" s="656" t="e">
        <v>#REF!</v>
      </c>
      <c r="AF36" s="656">
        <v>0</v>
      </c>
      <c r="AG36" s="656">
        <v>0</v>
      </c>
      <c r="AH36" s="656" t="e">
        <v>#REF!</v>
      </c>
      <c r="AI36" s="656">
        <v>0</v>
      </c>
      <c r="AJ36" s="656">
        <v>0</v>
      </c>
      <c r="AK36" s="656" t="e">
        <v>#REF!</v>
      </c>
      <c r="AL36" s="647">
        <v>0</v>
      </c>
      <c r="AM36" s="357"/>
      <c r="AN36" s="661">
        <v>0</v>
      </c>
      <c r="AO36" s="656" t="e">
        <v>#REF!</v>
      </c>
      <c r="AP36" s="656">
        <v>0</v>
      </c>
      <c r="AQ36" s="656">
        <v>0</v>
      </c>
      <c r="AR36" s="656" t="e">
        <v>#REF!</v>
      </c>
      <c r="AS36" s="656">
        <v>0</v>
      </c>
      <c r="AT36" s="656">
        <v>0</v>
      </c>
      <c r="AU36" s="646" t="e">
        <v>#REF!</v>
      </c>
      <c r="AV36" s="646">
        <v>0</v>
      </c>
      <c r="AW36" s="646">
        <v>0</v>
      </c>
      <c r="AX36" s="662" t="e">
        <v>#REF!</v>
      </c>
      <c r="AY36" s="646"/>
      <c r="AZ36" s="663">
        <v>0</v>
      </c>
      <c r="BA36" s="646" t="e">
        <v>#REF!</v>
      </c>
      <c r="BB36" s="646">
        <v>0</v>
      </c>
      <c r="BC36" s="646">
        <v>0</v>
      </c>
      <c r="BD36" s="646" t="e">
        <v>#REF!</v>
      </c>
      <c r="BE36" s="646">
        <v>0</v>
      </c>
      <c r="BF36" s="646">
        <v>0</v>
      </c>
      <c r="BG36" s="646" t="e">
        <v>#REF!</v>
      </c>
      <c r="BH36" s="646">
        <v>0</v>
      </c>
      <c r="BI36" s="646">
        <v>0</v>
      </c>
      <c r="BJ36" s="646" t="e">
        <v>#REF!</v>
      </c>
      <c r="BK36" s="647">
        <v>0</v>
      </c>
      <c r="BM36" s="668">
        <v>0</v>
      </c>
      <c r="BN36" s="646" t="e">
        <v>#REF!</v>
      </c>
      <c r="BO36" s="646">
        <v>0</v>
      </c>
      <c r="BP36" s="646">
        <v>0</v>
      </c>
      <c r="BQ36" s="646" t="e">
        <v>#REF!</v>
      </c>
      <c r="BR36" s="646">
        <v>0</v>
      </c>
      <c r="BS36" s="646">
        <v>0</v>
      </c>
      <c r="BT36" s="646" t="e">
        <v>#REF!</v>
      </c>
      <c r="BU36" s="646">
        <v>0</v>
      </c>
      <c r="BV36" s="646">
        <v>0</v>
      </c>
      <c r="BW36" s="646" t="e">
        <v>#REF!</v>
      </c>
      <c r="BX36" s="646">
        <v>0</v>
      </c>
      <c r="BY36" s="646">
        <v>0</v>
      </c>
      <c r="BZ36" s="646" t="e">
        <v>#REF!</v>
      </c>
      <c r="CA36" s="646" t="e">
        <v>#REF!</v>
      </c>
      <c r="CC36" s="663">
        <v>0</v>
      </c>
      <c r="CD36" s="646" t="e">
        <v>#REF!</v>
      </c>
      <c r="CE36" s="646">
        <v>0</v>
      </c>
      <c r="CF36" s="646">
        <v>0</v>
      </c>
      <c r="CG36" s="646" t="e">
        <v>#REF!</v>
      </c>
      <c r="CH36" s="646">
        <v>0</v>
      </c>
      <c r="CI36" s="646">
        <v>0</v>
      </c>
      <c r="CJ36" s="646" t="e">
        <v>#REF!</v>
      </c>
      <c r="CK36" s="646">
        <v>0</v>
      </c>
      <c r="CL36" s="646">
        <v>0</v>
      </c>
      <c r="CM36" s="646" t="e">
        <v>#REF!</v>
      </c>
      <c r="CN36" s="646">
        <v>0</v>
      </c>
      <c r="CO36" s="646">
        <v>0</v>
      </c>
      <c r="CP36" s="646" t="e">
        <v>#REF!</v>
      </c>
      <c r="CQ36" s="646" t="e">
        <v>#REF!</v>
      </c>
      <c r="CR36" s="647">
        <v>0</v>
      </c>
    </row>
    <row r="37" spans="1:96" ht="18" thickBot="1" x14ac:dyDescent="0.35">
      <c r="A37" s="650">
        <v>0</v>
      </c>
      <c r="B37" s="651" t="e">
        <v>#REF!</v>
      </c>
      <c r="C37" s="651"/>
      <c r="D37" s="652">
        <v>0</v>
      </c>
      <c r="E37" s="653" t="e">
        <v>#REF!</v>
      </c>
      <c r="F37" s="654">
        <v>0</v>
      </c>
      <c r="G37" s="357"/>
      <c r="H37" s="658">
        <v>0</v>
      </c>
      <c r="I37" s="659" t="e">
        <v>#REF!</v>
      </c>
      <c r="J37" s="659">
        <v>0</v>
      </c>
      <c r="K37" s="659">
        <v>0</v>
      </c>
      <c r="L37" s="659" t="e">
        <v>#REF!</v>
      </c>
      <c r="M37" s="659"/>
      <c r="N37" s="660">
        <v>0</v>
      </c>
      <c r="O37" s="659" t="e">
        <v>#REF!</v>
      </c>
      <c r="P37" s="659">
        <v>0</v>
      </c>
      <c r="Q37" s="659">
        <v>0</v>
      </c>
      <c r="R37" s="659" t="e">
        <v>#REF!</v>
      </c>
      <c r="S37" s="654">
        <v>0</v>
      </c>
      <c r="T37" s="357"/>
      <c r="U37" s="658">
        <v>0</v>
      </c>
      <c r="V37" s="659" t="e">
        <v>#REF!</v>
      </c>
      <c r="W37" s="659">
        <v>0</v>
      </c>
      <c r="X37" s="659">
        <v>0</v>
      </c>
      <c r="Y37" s="659" t="e">
        <v>#REF!</v>
      </c>
      <c r="Z37" s="659">
        <v>0</v>
      </c>
      <c r="AA37" s="659">
        <v>0</v>
      </c>
      <c r="AB37" s="659" t="e">
        <v>#REF!</v>
      </c>
      <c r="AC37" s="659"/>
      <c r="AD37" s="660">
        <v>0</v>
      </c>
      <c r="AE37" s="659" t="e">
        <v>#REF!</v>
      </c>
      <c r="AF37" s="659">
        <v>0</v>
      </c>
      <c r="AG37" s="659">
        <v>0</v>
      </c>
      <c r="AH37" s="659" t="e">
        <v>#REF!</v>
      </c>
      <c r="AI37" s="659">
        <v>0</v>
      </c>
      <c r="AJ37" s="659">
        <v>0</v>
      </c>
      <c r="AK37" s="659" t="e">
        <v>#REF!</v>
      </c>
      <c r="AL37" s="654">
        <v>0</v>
      </c>
      <c r="AM37" s="357"/>
      <c r="AN37" s="664">
        <v>0</v>
      </c>
      <c r="AO37" s="659" t="e">
        <v>#REF!</v>
      </c>
      <c r="AP37" s="659">
        <v>0</v>
      </c>
      <c r="AQ37" s="659">
        <v>0</v>
      </c>
      <c r="AR37" s="659" t="e">
        <v>#REF!</v>
      </c>
      <c r="AS37" s="659">
        <v>0</v>
      </c>
      <c r="AT37" s="659">
        <v>0</v>
      </c>
      <c r="AU37" s="665" t="e">
        <v>#REF!</v>
      </c>
      <c r="AV37" s="665">
        <v>0</v>
      </c>
      <c r="AW37" s="665">
        <v>0</v>
      </c>
      <c r="AX37" s="666" t="e">
        <v>#REF!</v>
      </c>
      <c r="AY37" s="665"/>
      <c r="AZ37" s="667">
        <v>0</v>
      </c>
      <c r="BA37" s="665" t="e">
        <v>#REF!</v>
      </c>
      <c r="BB37" s="665">
        <v>0</v>
      </c>
      <c r="BC37" s="665">
        <v>0</v>
      </c>
      <c r="BD37" s="665" t="e">
        <v>#REF!</v>
      </c>
      <c r="BE37" s="665">
        <v>0</v>
      </c>
      <c r="BF37" s="665">
        <v>0</v>
      </c>
      <c r="BG37" s="665" t="e">
        <v>#REF!</v>
      </c>
      <c r="BH37" s="665">
        <v>0</v>
      </c>
      <c r="BI37" s="665">
        <v>0</v>
      </c>
      <c r="BJ37" s="665" t="e">
        <v>#REF!</v>
      </c>
      <c r="BK37" s="654">
        <v>0</v>
      </c>
      <c r="BM37" s="669">
        <v>0</v>
      </c>
      <c r="BN37" s="665" t="e">
        <v>#REF!</v>
      </c>
      <c r="BO37" s="665">
        <v>0</v>
      </c>
      <c r="BP37" s="665">
        <v>0</v>
      </c>
      <c r="BQ37" s="665" t="e">
        <v>#REF!</v>
      </c>
      <c r="BR37" s="665">
        <v>0</v>
      </c>
      <c r="BS37" s="665">
        <v>0</v>
      </c>
      <c r="BT37" s="665" t="e">
        <v>#REF!</v>
      </c>
      <c r="BU37" s="665">
        <v>0</v>
      </c>
      <c r="BV37" s="665">
        <v>0</v>
      </c>
      <c r="BW37" s="665" t="e">
        <v>#REF!</v>
      </c>
      <c r="BX37" s="665">
        <v>0</v>
      </c>
      <c r="BY37" s="665">
        <v>0</v>
      </c>
      <c r="BZ37" s="665" t="e">
        <v>#REF!</v>
      </c>
      <c r="CA37" s="665" t="e">
        <v>#REF!</v>
      </c>
      <c r="CB37" s="2"/>
      <c r="CC37" s="667">
        <v>0</v>
      </c>
      <c r="CD37" s="665" t="e">
        <v>#REF!</v>
      </c>
      <c r="CE37" s="665">
        <v>0</v>
      </c>
      <c r="CF37" s="665">
        <v>0</v>
      </c>
      <c r="CG37" s="665" t="e">
        <v>#REF!</v>
      </c>
      <c r="CH37" s="665">
        <v>0</v>
      </c>
      <c r="CI37" s="665">
        <v>0</v>
      </c>
      <c r="CJ37" s="665" t="e">
        <v>#REF!</v>
      </c>
      <c r="CK37" s="665">
        <v>0</v>
      </c>
      <c r="CL37" s="665">
        <v>0</v>
      </c>
      <c r="CM37" s="665" t="e">
        <v>#REF!</v>
      </c>
      <c r="CN37" s="665">
        <v>0</v>
      </c>
      <c r="CO37" s="665">
        <v>0</v>
      </c>
      <c r="CP37" s="665" t="e">
        <v>#REF!</v>
      </c>
      <c r="CQ37" s="665" t="e">
        <v>#REF!</v>
      </c>
      <c r="CR37" s="654">
        <v>0</v>
      </c>
    </row>
    <row r="38" spans="1:96" ht="15.75" x14ac:dyDescent="0.25">
      <c r="A38" s="614"/>
      <c r="B38" s="536"/>
      <c r="C38" s="536"/>
      <c r="D38" s="535"/>
      <c r="E38" s="533"/>
      <c r="F38" s="1"/>
      <c r="G38" s="1"/>
      <c r="H38" s="1"/>
      <c r="I38" s="1"/>
      <c r="J38" s="1"/>
      <c r="K38" s="1"/>
      <c r="L38" s="1"/>
      <c r="M38" s="1"/>
      <c r="N38" s="1"/>
      <c r="O38" s="1"/>
      <c r="P38" s="1"/>
      <c r="Q38" s="1"/>
      <c r="R38" s="1"/>
      <c r="S38" s="1"/>
      <c r="T38" s="1"/>
      <c r="U38" s="1"/>
      <c r="V38" s="1"/>
      <c r="W38" s="1"/>
      <c r="X38" s="1"/>
      <c r="Y38" s="1"/>
      <c r="Z38" s="1"/>
      <c r="AA38" s="1"/>
      <c r="AB38" s="1"/>
      <c r="AC38" s="1"/>
      <c r="AD38" s="1"/>
      <c r="AE38" s="1"/>
      <c r="AF38" s="1"/>
      <c r="AG38" s="1"/>
      <c r="AH38" s="1"/>
      <c r="AI38" s="1"/>
      <c r="AJ38" s="1"/>
      <c r="AK38" s="1"/>
      <c r="AL38" s="1"/>
      <c r="AM38" s="1"/>
      <c r="AN38" s="1"/>
      <c r="AO38" s="1"/>
      <c r="AP38" s="1"/>
      <c r="AQ38" s="1"/>
      <c r="AR38" s="1"/>
      <c r="AS38" s="1"/>
      <c r="AT38" s="1"/>
    </row>
    <row r="39" spans="1:96" ht="29.25" thickBot="1" x14ac:dyDescent="0.5">
      <c r="A39" s="547" t="str">
        <f>+WeeklyPerformanceReport!A27</f>
        <v>May</v>
      </c>
      <c r="B39" s="547"/>
      <c r="C39" s="547"/>
      <c r="D39" s="547"/>
      <c r="E39" s="547"/>
      <c r="F39" s="547"/>
      <c r="G39" s="547"/>
      <c r="H39" s="547"/>
      <c r="I39" s="547"/>
      <c r="J39" s="547"/>
      <c r="K39" s="547"/>
      <c r="L39" s="547"/>
      <c r="M39" s="547"/>
      <c r="N39" s="547"/>
      <c r="O39" s="547"/>
      <c r="P39" s="547"/>
      <c r="Q39" s="547"/>
      <c r="R39" s="547"/>
      <c r="S39" s="547"/>
      <c r="T39" s="547"/>
      <c r="U39" s="547"/>
      <c r="V39" s="547"/>
      <c r="W39" s="547"/>
      <c r="X39" s="547"/>
      <c r="Y39" s="547"/>
      <c r="Z39" s="547"/>
      <c r="AA39" s="547"/>
      <c r="AB39" s="547"/>
      <c r="AC39" s="547"/>
      <c r="AD39" s="547"/>
      <c r="AE39" s="547"/>
      <c r="AF39" s="547"/>
      <c r="AG39" s="547"/>
      <c r="AH39" s="547"/>
      <c r="AI39" s="547"/>
      <c r="AJ39" s="547"/>
      <c r="AK39" s="547"/>
      <c r="AL39" s="547"/>
      <c r="AM39" s="547"/>
      <c r="AN39" s="547"/>
      <c r="AO39" s="547"/>
      <c r="AP39" s="547"/>
      <c r="AQ39" s="547"/>
      <c r="AR39" s="547"/>
      <c r="AS39" s="547"/>
      <c r="AT39" s="547"/>
      <c r="AU39" s="547"/>
      <c r="AV39" s="547"/>
      <c r="AW39" s="547"/>
      <c r="AX39" s="547"/>
      <c r="AY39" s="547"/>
      <c r="AZ39" s="547"/>
      <c r="BA39" s="547"/>
      <c r="BB39" s="547"/>
      <c r="BC39" s="547"/>
      <c r="BD39" s="547"/>
      <c r="BE39" s="547"/>
      <c r="BF39" s="547"/>
      <c r="BG39" s="547"/>
      <c r="BH39" s="547"/>
      <c r="BI39" s="547"/>
      <c r="BJ39" s="547"/>
      <c r="BK39" s="547"/>
      <c r="BL39" s="547"/>
      <c r="BM39" s="547"/>
      <c r="BN39" s="547"/>
      <c r="BO39" s="547"/>
      <c r="BP39" s="547"/>
      <c r="BQ39" s="547"/>
      <c r="BR39" s="547"/>
      <c r="BS39" s="547"/>
      <c r="BT39" s="547"/>
      <c r="BU39" s="547"/>
      <c r="BV39" s="547"/>
      <c r="BW39" s="547"/>
      <c r="BX39" s="547"/>
      <c r="BY39" s="547"/>
      <c r="BZ39" s="547"/>
      <c r="CA39" s="547"/>
      <c r="CB39" s="547"/>
      <c r="CC39" s="547"/>
      <c r="CD39" s="547"/>
      <c r="CE39" s="547"/>
      <c r="CF39" s="547"/>
      <c r="CG39" s="547"/>
      <c r="CH39" s="547"/>
      <c r="CI39" s="547"/>
      <c r="CJ39" s="547"/>
      <c r="CK39" s="547"/>
      <c r="CL39" s="547"/>
      <c r="CM39" s="547"/>
      <c r="CN39" s="547"/>
      <c r="CO39" s="547"/>
      <c r="CP39" s="547"/>
      <c r="CQ39" s="547"/>
      <c r="CR39" s="547"/>
    </row>
    <row r="40" spans="1:96" ht="21.75" thickBot="1" x14ac:dyDescent="0.35">
      <c r="A40" s="961" t="s">
        <v>69</v>
      </c>
      <c r="B40" s="962"/>
      <c r="C40" s="962"/>
      <c r="D40" s="962"/>
      <c r="E40" s="962"/>
      <c r="F40" s="963"/>
      <c r="G40" s="627"/>
      <c r="H40" s="961" t="s">
        <v>71</v>
      </c>
      <c r="I40" s="962"/>
      <c r="J40" s="962"/>
      <c r="K40" s="962"/>
      <c r="L40" s="962"/>
      <c r="M40" s="962"/>
      <c r="N40" s="962"/>
      <c r="O40" s="962"/>
      <c r="P40" s="962"/>
      <c r="Q40" s="962"/>
      <c r="R40" s="962"/>
      <c r="S40" s="963"/>
      <c r="T40" s="627"/>
      <c r="U40" s="961" t="s">
        <v>72</v>
      </c>
      <c r="V40" s="962"/>
      <c r="W40" s="962"/>
      <c r="X40" s="962"/>
      <c r="Y40" s="962"/>
      <c r="Z40" s="962"/>
      <c r="AA40" s="962"/>
      <c r="AB40" s="962"/>
      <c r="AC40" s="962"/>
      <c r="AD40" s="962"/>
      <c r="AE40" s="962"/>
      <c r="AF40" s="962"/>
      <c r="AG40" s="962"/>
      <c r="AH40" s="962"/>
      <c r="AI40" s="962"/>
      <c r="AJ40" s="962"/>
      <c r="AK40" s="962"/>
      <c r="AL40" s="963"/>
      <c r="AM40" s="627"/>
      <c r="AN40" s="961" t="s">
        <v>73</v>
      </c>
      <c r="AO40" s="962"/>
      <c r="AP40" s="962"/>
      <c r="AQ40" s="962"/>
      <c r="AR40" s="962"/>
      <c r="AS40" s="962"/>
      <c r="AT40" s="962"/>
      <c r="AU40" s="962"/>
      <c r="AV40" s="962"/>
      <c r="AW40" s="962"/>
      <c r="AX40" s="962"/>
      <c r="AY40" s="962"/>
      <c r="AZ40" s="962"/>
      <c r="BA40" s="962"/>
      <c r="BB40" s="962"/>
      <c r="BC40" s="962"/>
      <c r="BD40" s="962"/>
      <c r="BE40" s="962"/>
      <c r="BF40" s="962"/>
      <c r="BG40" s="962"/>
      <c r="BH40" s="962"/>
      <c r="BI40" s="962"/>
      <c r="BJ40" s="962"/>
      <c r="BK40" s="963"/>
      <c r="BM40" s="745" t="s">
        <v>110</v>
      </c>
      <c r="BN40" s="746"/>
      <c r="BO40" s="746"/>
      <c r="BP40" s="746"/>
      <c r="BQ40" s="746"/>
      <c r="BR40" s="746"/>
      <c r="BS40" s="746"/>
      <c r="BT40" s="746"/>
      <c r="BU40" s="746"/>
      <c r="BV40" s="746"/>
      <c r="BW40" s="746"/>
      <c r="BX40" s="746"/>
      <c r="BY40" s="746"/>
      <c r="BZ40" s="746"/>
      <c r="CA40" s="746"/>
      <c r="CB40" s="746"/>
      <c r="CC40" s="746"/>
      <c r="CD40" s="746"/>
      <c r="CE40" s="746"/>
      <c r="CF40" s="746"/>
      <c r="CG40" s="746"/>
      <c r="CH40" s="746"/>
      <c r="CI40" s="746"/>
      <c r="CJ40" s="746"/>
      <c r="CK40" s="746"/>
      <c r="CL40" s="746"/>
      <c r="CM40" s="746"/>
      <c r="CN40" s="746"/>
      <c r="CO40" s="746"/>
      <c r="CP40" s="746"/>
      <c r="CQ40" s="746"/>
      <c r="CR40" s="747"/>
    </row>
    <row r="41" spans="1:96" ht="26.25" x14ac:dyDescent="0.4">
      <c r="A41" s="967" t="s">
        <v>111</v>
      </c>
      <c r="B41" s="968"/>
      <c r="C41" s="627"/>
      <c r="D41" s="971" t="s">
        <v>16</v>
      </c>
      <c r="E41" s="971"/>
      <c r="F41" s="972"/>
      <c r="G41" s="625"/>
      <c r="H41" s="542" t="s">
        <v>111</v>
      </c>
      <c r="I41" s="627"/>
      <c r="J41" s="1"/>
      <c r="K41" s="1"/>
      <c r="L41" s="1"/>
      <c r="M41" s="625"/>
      <c r="N41" s="971" t="s">
        <v>16</v>
      </c>
      <c r="O41" s="971"/>
      <c r="P41" s="971"/>
      <c r="Q41" s="971"/>
      <c r="R41" s="971"/>
      <c r="S41" s="972"/>
      <c r="T41" s="625"/>
      <c r="U41" s="964" t="s">
        <v>111</v>
      </c>
      <c r="V41" s="965"/>
      <c r="W41" s="965"/>
      <c r="X41" s="965"/>
      <c r="Y41" s="965"/>
      <c r="Z41" s="965"/>
      <c r="AA41" s="965"/>
      <c r="AB41" s="965"/>
      <c r="AC41" s="543"/>
      <c r="AD41" s="965" t="s">
        <v>16</v>
      </c>
      <c r="AE41" s="965"/>
      <c r="AF41" s="965"/>
      <c r="AG41" s="965"/>
      <c r="AH41" s="965"/>
      <c r="AI41" s="965"/>
      <c r="AJ41" s="965"/>
      <c r="AK41" s="965"/>
      <c r="AL41" s="966"/>
      <c r="AM41" s="541"/>
      <c r="AN41" s="964" t="s">
        <v>111</v>
      </c>
      <c r="AO41" s="965"/>
      <c r="AP41" s="965"/>
      <c r="AQ41" s="965"/>
      <c r="AR41" s="965"/>
      <c r="AS41" s="965"/>
      <c r="AT41" s="965"/>
      <c r="AU41" s="965"/>
      <c r="AV41" s="965"/>
      <c r="AW41" s="965"/>
      <c r="AX41" s="965"/>
      <c r="AY41" s="21"/>
      <c r="AZ41" s="965" t="s">
        <v>16</v>
      </c>
      <c r="BA41" s="965"/>
      <c r="BB41" s="965"/>
      <c r="BC41" s="965"/>
      <c r="BD41" s="965"/>
      <c r="BE41" s="965"/>
      <c r="BF41" s="965"/>
      <c r="BG41" s="965"/>
      <c r="BH41" s="965"/>
      <c r="BI41" s="965"/>
      <c r="BJ41" s="965"/>
      <c r="BK41" s="966"/>
      <c r="BL41" s="617"/>
      <c r="BM41" s="964" t="s">
        <v>111</v>
      </c>
      <c r="BN41" s="965"/>
      <c r="BO41" s="965"/>
      <c r="BP41" s="965"/>
      <c r="BQ41" s="965"/>
      <c r="BR41" s="965"/>
      <c r="BS41" s="965"/>
      <c r="BT41" s="965"/>
      <c r="BU41" s="965"/>
      <c r="BV41" s="965"/>
      <c r="BW41" s="965"/>
      <c r="BX41" s="965"/>
      <c r="BY41" s="965"/>
      <c r="BZ41" s="965"/>
      <c r="CA41" s="965"/>
      <c r="CB41" s="21"/>
      <c r="CC41" s="543" t="s">
        <v>16</v>
      </c>
      <c r="CD41" s="543"/>
      <c r="CE41" s="543"/>
      <c r="CF41" s="543"/>
      <c r="CG41" s="543"/>
      <c r="CH41" s="543"/>
      <c r="CI41" s="543"/>
      <c r="CJ41" s="543"/>
      <c r="CK41" s="544"/>
      <c r="CL41" s="21"/>
      <c r="CM41" s="21"/>
      <c r="CN41" s="21"/>
      <c r="CO41" s="21"/>
      <c r="CP41" s="21"/>
      <c r="CQ41" s="21"/>
      <c r="CR41" s="22"/>
    </row>
    <row r="42" spans="1:96" x14ac:dyDescent="0.25">
      <c r="A42" s="58"/>
      <c r="F42" s="24"/>
      <c r="H42" s="58"/>
      <c r="S42" s="24"/>
      <c r="U42" s="58"/>
      <c r="AL42" s="24"/>
      <c r="AN42" s="58"/>
      <c r="BK42" s="24"/>
      <c r="BM42" s="58"/>
      <c r="CR42" s="24"/>
    </row>
    <row r="43" spans="1:96" ht="17.25" x14ac:dyDescent="0.3">
      <c r="A43" s="671" cm="1">
        <f t="array" ref="A43:B54">_xlfn.SORTBY(WeeklyPerformanceReport!A30:B41,WeeklyPerformanceReport!B30:B41)</f>
        <v>0</v>
      </c>
      <c r="B43" s="644" t="e">
        <v>#REF!</v>
      </c>
      <c r="C43" s="644"/>
      <c r="D43" s="645" cm="1">
        <f t="array" ref="D43:F54">_xlfn.SORTBY(WeeklyPerformanceReport!A30:C41,WeeklyPerformanceReport!C30:C41)</f>
        <v>0</v>
      </c>
      <c r="E43" s="646" t="e">
        <v>#REF!</v>
      </c>
      <c r="F43" s="647">
        <v>0</v>
      </c>
      <c r="G43" s="656"/>
      <c r="H43" s="655" cm="1">
        <f t="array" ref="H43:L54">_xlfn.SORTBY(WeeklyPerformanceReport!A30:E41,WeeklyPerformanceReport!E30:E41)</f>
        <v>0</v>
      </c>
      <c r="I43" s="656" t="e">
        <v>#REF!</v>
      </c>
      <c r="J43" s="656">
        <v>0</v>
      </c>
      <c r="K43" s="656">
        <v>0</v>
      </c>
      <c r="L43" s="656" t="e">
        <v>#REF!</v>
      </c>
      <c r="M43" s="656"/>
      <c r="N43" s="657" cm="1">
        <f t="array" ref="N43:S54">_xlfn.SORTBY(WeeklyPerformanceReport!A30:F41,WeeklyPerformanceReport!F30:F41)</f>
        <v>0</v>
      </c>
      <c r="O43" s="656" t="e">
        <v>#REF!</v>
      </c>
      <c r="P43" s="656">
        <v>0</v>
      </c>
      <c r="Q43" s="656">
        <v>0</v>
      </c>
      <c r="R43" s="656" t="e">
        <v>#REF!</v>
      </c>
      <c r="S43" s="647">
        <v>0</v>
      </c>
      <c r="T43" s="656"/>
      <c r="U43" s="655" cm="1">
        <f t="array" ref="U43:AB54">_xlfn.SORTBY(WeeklyPerformanceReport!A30:H41,WeeklyPerformanceReport!H30:H41)</f>
        <v>0</v>
      </c>
      <c r="V43" s="656" t="e">
        <v>#REF!</v>
      </c>
      <c r="W43" s="656">
        <v>0</v>
      </c>
      <c r="X43" s="656">
        <v>0</v>
      </c>
      <c r="Y43" s="656" t="e">
        <v>#REF!</v>
      </c>
      <c r="Z43" s="656">
        <v>0</v>
      </c>
      <c r="AA43" s="656">
        <v>0</v>
      </c>
      <c r="AB43" s="656">
        <v>0</v>
      </c>
      <c r="AC43" s="656"/>
      <c r="AD43" s="657" cm="1">
        <f t="array" ref="AD43:AL54">_xlfn.SORTBY(WeeklyPerformanceReport!A30:I41,WeeklyPerformanceReport!I30:I41)</f>
        <v>0</v>
      </c>
      <c r="AE43" s="656" t="e">
        <v>#REF!</v>
      </c>
      <c r="AF43" s="656">
        <v>0</v>
      </c>
      <c r="AG43" s="656">
        <v>0</v>
      </c>
      <c r="AH43" s="656" t="e">
        <v>#REF!</v>
      </c>
      <c r="AI43" s="656">
        <v>0</v>
      </c>
      <c r="AJ43" s="656">
        <v>0</v>
      </c>
      <c r="AK43" s="656" t="e">
        <v>#REF!</v>
      </c>
      <c r="AL43" s="647">
        <v>0</v>
      </c>
      <c r="AM43" s="656"/>
      <c r="AN43" s="661" cm="1">
        <f t="array" ref="AN43:AX54">_xlfn.SORTBY(WeeklyPerformanceReport!A30:K41,WeeklyPerformanceReport!K30:K41)</f>
        <v>0</v>
      </c>
      <c r="AO43" s="656" t="e">
        <v>#REF!</v>
      </c>
      <c r="AP43" s="656">
        <v>0</v>
      </c>
      <c r="AQ43" s="656">
        <v>0</v>
      </c>
      <c r="AR43" s="656" t="e">
        <v>#REF!</v>
      </c>
      <c r="AS43" s="656">
        <v>0</v>
      </c>
      <c r="AT43" s="656">
        <v>0</v>
      </c>
      <c r="AU43" s="646" t="e">
        <v>#REF!</v>
      </c>
      <c r="AV43" s="646">
        <v>0</v>
      </c>
      <c r="AW43" s="646">
        <v>0</v>
      </c>
      <c r="AX43" s="662" t="e">
        <v>#REF!</v>
      </c>
      <c r="AY43" s="646"/>
      <c r="AZ43" s="663" cm="1">
        <f t="array" ref="AZ43:BK54">_xlfn.SORTBY(WeeklyPerformanceReport!A30:L41,WeeklyPerformanceReport!L30:L41)</f>
        <v>0</v>
      </c>
      <c r="BA43" s="646" t="e">
        <v>#REF!</v>
      </c>
      <c r="BB43" s="646">
        <v>0</v>
      </c>
      <c r="BC43" s="646">
        <v>0</v>
      </c>
      <c r="BD43" s="646" t="e">
        <v>#REF!</v>
      </c>
      <c r="BE43" s="646">
        <v>0</v>
      </c>
      <c r="BF43" s="646">
        <v>0</v>
      </c>
      <c r="BG43" s="646" t="e">
        <v>#REF!</v>
      </c>
      <c r="BH43" s="646">
        <v>0</v>
      </c>
      <c r="BI43" s="646">
        <v>0</v>
      </c>
      <c r="BJ43" s="646" t="e">
        <v>#REF!</v>
      </c>
      <c r="BK43" s="647">
        <v>0</v>
      </c>
      <c r="BL43" s="646"/>
      <c r="BM43" s="668" cm="1">
        <f t="array" ref="BM43:CA54">_xlfn.SORTBY(WeeklyPerformanceReport!A30:O41,WeeklyPerformanceReport!O30:O41)</f>
        <v>0</v>
      </c>
      <c r="BN43" s="646" t="e">
        <v>#REF!</v>
      </c>
      <c r="BO43" s="646">
        <v>0</v>
      </c>
      <c r="BP43" s="646">
        <v>0</v>
      </c>
      <c r="BQ43" s="646" t="e">
        <v>#REF!</v>
      </c>
      <c r="BR43" s="646">
        <v>0</v>
      </c>
      <c r="BS43" s="646">
        <v>0</v>
      </c>
      <c r="BT43" s="646" t="e">
        <v>#REF!</v>
      </c>
      <c r="BU43" s="646">
        <v>0</v>
      </c>
      <c r="BV43" s="646">
        <v>0</v>
      </c>
      <c r="BW43" s="646" t="e">
        <v>#REF!</v>
      </c>
      <c r="BX43" s="646">
        <v>0</v>
      </c>
      <c r="BY43" s="646">
        <v>0</v>
      </c>
      <c r="BZ43" s="646" t="e">
        <v>#REF!</v>
      </c>
      <c r="CA43" s="646" t="e">
        <v>#REF!</v>
      </c>
      <c r="CB43" s="646"/>
      <c r="CC43" s="670" cm="1">
        <f t="array" ref="CC43:CR54">_xlfn.SORTBY(WeeklyPerformanceReport!A30:P41,WeeklyPerformanceReport!P30:P41)</f>
        <v>0</v>
      </c>
      <c r="CD43" s="646" t="e">
        <v>#REF!</v>
      </c>
      <c r="CE43" s="646">
        <v>0</v>
      </c>
      <c r="CF43" s="646">
        <v>0</v>
      </c>
      <c r="CG43" s="646" t="e">
        <v>#REF!</v>
      </c>
      <c r="CH43" s="646">
        <v>0</v>
      </c>
      <c r="CI43" s="646">
        <v>0</v>
      </c>
      <c r="CJ43" s="646" t="e">
        <v>#REF!</v>
      </c>
      <c r="CK43" s="646">
        <v>0</v>
      </c>
      <c r="CL43" s="646">
        <v>0</v>
      </c>
      <c r="CM43" s="646" t="e">
        <v>#REF!</v>
      </c>
      <c r="CN43" s="646">
        <v>0</v>
      </c>
      <c r="CO43" s="646">
        <v>0</v>
      </c>
      <c r="CP43" s="646" t="e">
        <v>#REF!</v>
      </c>
      <c r="CQ43" s="646" t="e">
        <v>#REF!</v>
      </c>
      <c r="CR43" s="647">
        <v>0</v>
      </c>
    </row>
    <row r="44" spans="1:96" ht="17.25" x14ac:dyDescent="0.3">
      <c r="A44" s="672">
        <v>0</v>
      </c>
      <c r="B44" s="648" t="e">
        <v>#REF!</v>
      </c>
      <c r="C44" s="648"/>
      <c r="D44" s="645">
        <v>0</v>
      </c>
      <c r="E44" s="649" t="e">
        <v>#REF!</v>
      </c>
      <c r="F44" s="647">
        <v>0</v>
      </c>
      <c r="G44" s="656"/>
      <c r="H44" s="655">
        <v>0</v>
      </c>
      <c r="I44" s="656" t="e">
        <v>#REF!</v>
      </c>
      <c r="J44" s="656">
        <v>0</v>
      </c>
      <c r="K44" s="656">
        <v>0</v>
      </c>
      <c r="L44" s="656" t="e">
        <v>#REF!</v>
      </c>
      <c r="M44" s="656"/>
      <c r="N44" s="657">
        <v>0</v>
      </c>
      <c r="O44" s="656" t="e">
        <v>#REF!</v>
      </c>
      <c r="P44" s="656">
        <v>0</v>
      </c>
      <c r="Q44" s="656">
        <v>0</v>
      </c>
      <c r="R44" s="656" t="e">
        <v>#REF!</v>
      </c>
      <c r="S44" s="647">
        <v>0</v>
      </c>
      <c r="T44" s="656"/>
      <c r="U44" s="655">
        <v>0</v>
      </c>
      <c r="V44" s="656" t="e">
        <v>#REF!</v>
      </c>
      <c r="W44" s="656">
        <v>0</v>
      </c>
      <c r="X44" s="656">
        <v>0</v>
      </c>
      <c r="Y44" s="656" t="e">
        <v>#REF!</v>
      </c>
      <c r="Z44" s="656">
        <v>0</v>
      </c>
      <c r="AA44" s="656">
        <v>0</v>
      </c>
      <c r="AB44" s="656">
        <v>0</v>
      </c>
      <c r="AC44" s="656"/>
      <c r="AD44" s="657">
        <v>0</v>
      </c>
      <c r="AE44" s="656" t="e">
        <v>#REF!</v>
      </c>
      <c r="AF44" s="656">
        <v>0</v>
      </c>
      <c r="AG44" s="656">
        <v>0</v>
      </c>
      <c r="AH44" s="656" t="e">
        <v>#REF!</v>
      </c>
      <c r="AI44" s="656">
        <v>0</v>
      </c>
      <c r="AJ44" s="656">
        <v>0</v>
      </c>
      <c r="AK44" s="656">
        <v>0</v>
      </c>
      <c r="AL44" s="647">
        <v>0</v>
      </c>
      <c r="AM44" s="656"/>
      <c r="AN44" s="661">
        <v>0</v>
      </c>
      <c r="AO44" s="656" t="e">
        <v>#REF!</v>
      </c>
      <c r="AP44" s="656">
        <v>0</v>
      </c>
      <c r="AQ44" s="656">
        <v>0</v>
      </c>
      <c r="AR44" s="656" t="e">
        <v>#REF!</v>
      </c>
      <c r="AS44" s="656">
        <v>0</v>
      </c>
      <c r="AT44" s="656">
        <v>0</v>
      </c>
      <c r="AU44" s="646">
        <v>0</v>
      </c>
      <c r="AV44" s="646">
        <v>0</v>
      </c>
      <c r="AW44" s="646">
        <v>0</v>
      </c>
      <c r="AX44" s="662" t="e">
        <v>#REF!</v>
      </c>
      <c r="AY44" s="646"/>
      <c r="AZ44" s="663">
        <v>0</v>
      </c>
      <c r="BA44" s="646" t="e">
        <v>#REF!</v>
      </c>
      <c r="BB44" s="646">
        <v>0</v>
      </c>
      <c r="BC44" s="646">
        <v>0</v>
      </c>
      <c r="BD44" s="646" t="e">
        <v>#REF!</v>
      </c>
      <c r="BE44" s="646">
        <v>0</v>
      </c>
      <c r="BF44" s="646">
        <v>0</v>
      </c>
      <c r="BG44" s="646">
        <v>0</v>
      </c>
      <c r="BH44" s="646">
        <v>0</v>
      </c>
      <c r="BI44" s="646">
        <v>0</v>
      </c>
      <c r="BJ44" s="646" t="e">
        <v>#REF!</v>
      </c>
      <c r="BK44" s="647">
        <v>0</v>
      </c>
      <c r="BL44" s="646"/>
      <c r="BM44" s="668">
        <v>0</v>
      </c>
      <c r="BN44" s="646" t="e">
        <v>#REF!</v>
      </c>
      <c r="BO44" s="646">
        <v>0</v>
      </c>
      <c r="BP44" s="646">
        <v>0</v>
      </c>
      <c r="BQ44" s="646" t="e">
        <v>#REF!</v>
      </c>
      <c r="BR44" s="646">
        <v>0</v>
      </c>
      <c r="BS44" s="646">
        <v>0</v>
      </c>
      <c r="BT44" s="646">
        <v>0</v>
      </c>
      <c r="BU44" s="646">
        <v>0</v>
      </c>
      <c r="BV44" s="646">
        <v>0</v>
      </c>
      <c r="BW44" s="646" t="e">
        <v>#REF!</v>
      </c>
      <c r="BX44" s="646">
        <v>0</v>
      </c>
      <c r="BY44" s="646">
        <v>0</v>
      </c>
      <c r="BZ44" s="646" t="e">
        <v>#REF!</v>
      </c>
      <c r="CA44" s="646" t="e">
        <v>#REF!</v>
      </c>
      <c r="CB44" s="646"/>
      <c r="CC44" s="663">
        <v>0</v>
      </c>
      <c r="CD44" s="646" t="e">
        <v>#REF!</v>
      </c>
      <c r="CE44" s="646">
        <v>0</v>
      </c>
      <c r="CF44" s="646">
        <v>0</v>
      </c>
      <c r="CG44" s="646" t="e">
        <v>#REF!</v>
      </c>
      <c r="CH44" s="646">
        <v>0</v>
      </c>
      <c r="CI44" s="646">
        <v>0</v>
      </c>
      <c r="CJ44" s="646">
        <v>0</v>
      </c>
      <c r="CK44" s="646">
        <v>0</v>
      </c>
      <c r="CL44" s="646">
        <v>0</v>
      </c>
      <c r="CM44" s="646" t="e">
        <v>#REF!</v>
      </c>
      <c r="CN44" s="646">
        <v>0</v>
      </c>
      <c r="CO44" s="646">
        <v>0</v>
      </c>
      <c r="CP44" s="646" t="e">
        <v>#REF!</v>
      </c>
      <c r="CQ44" s="646" t="e">
        <v>#REF!</v>
      </c>
      <c r="CR44" s="647">
        <v>0</v>
      </c>
    </row>
    <row r="45" spans="1:96" ht="17.25" x14ac:dyDescent="0.3">
      <c r="A45" s="672">
        <v>0</v>
      </c>
      <c r="B45" s="648" t="e">
        <v>#REF!</v>
      </c>
      <c r="C45" s="648"/>
      <c r="D45" s="645">
        <v>0</v>
      </c>
      <c r="E45" s="649" t="e">
        <v>#REF!</v>
      </c>
      <c r="F45" s="647">
        <v>0</v>
      </c>
      <c r="G45" s="656"/>
      <c r="H45" s="655">
        <v>0</v>
      </c>
      <c r="I45" s="656" t="e">
        <v>#REF!</v>
      </c>
      <c r="J45" s="656">
        <v>0</v>
      </c>
      <c r="K45" s="656">
        <v>0</v>
      </c>
      <c r="L45" s="656" t="e">
        <v>#REF!</v>
      </c>
      <c r="M45" s="656"/>
      <c r="N45" s="657">
        <v>0</v>
      </c>
      <c r="O45" s="656" t="e">
        <v>#REF!</v>
      </c>
      <c r="P45" s="656">
        <v>0</v>
      </c>
      <c r="Q45" s="656">
        <v>0</v>
      </c>
      <c r="R45" s="656" t="e">
        <v>#REF!</v>
      </c>
      <c r="S45" s="647">
        <v>0</v>
      </c>
      <c r="T45" s="656"/>
      <c r="U45" s="655">
        <v>0</v>
      </c>
      <c r="V45" s="656" t="e">
        <v>#REF!</v>
      </c>
      <c r="W45" s="656">
        <v>0</v>
      </c>
      <c r="X45" s="656">
        <v>0</v>
      </c>
      <c r="Y45" s="656" t="e">
        <v>#REF!</v>
      </c>
      <c r="Z45" s="656">
        <v>0</v>
      </c>
      <c r="AA45" s="656">
        <v>0</v>
      </c>
      <c r="AB45" s="656">
        <v>0</v>
      </c>
      <c r="AC45" s="656"/>
      <c r="AD45" s="657">
        <v>0</v>
      </c>
      <c r="AE45" s="656" t="e">
        <v>#REF!</v>
      </c>
      <c r="AF45" s="656">
        <v>0</v>
      </c>
      <c r="AG45" s="656">
        <v>0</v>
      </c>
      <c r="AH45" s="656" t="e">
        <v>#REF!</v>
      </c>
      <c r="AI45" s="656">
        <v>0</v>
      </c>
      <c r="AJ45" s="656">
        <v>0</v>
      </c>
      <c r="AK45" s="656">
        <v>0</v>
      </c>
      <c r="AL45" s="647">
        <v>0</v>
      </c>
      <c r="AM45" s="656"/>
      <c r="AN45" s="661">
        <v>0</v>
      </c>
      <c r="AO45" s="656" t="e">
        <v>#REF!</v>
      </c>
      <c r="AP45" s="656">
        <v>0</v>
      </c>
      <c r="AQ45" s="656">
        <v>0</v>
      </c>
      <c r="AR45" s="656" t="e">
        <v>#REF!</v>
      </c>
      <c r="AS45" s="656">
        <v>0</v>
      </c>
      <c r="AT45" s="656">
        <v>0</v>
      </c>
      <c r="AU45" s="646">
        <v>0</v>
      </c>
      <c r="AV45" s="646">
        <v>0</v>
      </c>
      <c r="AW45" s="646">
        <v>0</v>
      </c>
      <c r="AX45" s="662" t="e">
        <v>#REF!</v>
      </c>
      <c r="AY45" s="646"/>
      <c r="AZ45" s="663">
        <v>0</v>
      </c>
      <c r="BA45" s="646" t="e">
        <v>#REF!</v>
      </c>
      <c r="BB45" s="646">
        <v>0</v>
      </c>
      <c r="BC45" s="646">
        <v>0</v>
      </c>
      <c r="BD45" s="646" t="e">
        <v>#REF!</v>
      </c>
      <c r="BE45" s="646">
        <v>0</v>
      </c>
      <c r="BF45" s="646">
        <v>0</v>
      </c>
      <c r="BG45" s="646">
        <v>0</v>
      </c>
      <c r="BH45" s="646">
        <v>0</v>
      </c>
      <c r="BI45" s="646">
        <v>0</v>
      </c>
      <c r="BJ45" s="646" t="e">
        <v>#REF!</v>
      </c>
      <c r="BK45" s="647">
        <v>0</v>
      </c>
      <c r="BL45" s="646"/>
      <c r="BM45" s="668">
        <v>0</v>
      </c>
      <c r="BN45" s="646" t="e">
        <v>#REF!</v>
      </c>
      <c r="BO45" s="646">
        <v>0</v>
      </c>
      <c r="BP45" s="646">
        <v>0</v>
      </c>
      <c r="BQ45" s="646" t="e">
        <v>#REF!</v>
      </c>
      <c r="BR45" s="646">
        <v>0</v>
      </c>
      <c r="BS45" s="646">
        <v>0</v>
      </c>
      <c r="BT45" s="646">
        <v>0</v>
      </c>
      <c r="BU45" s="646">
        <v>0</v>
      </c>
      <c r="BV45" s="646">
        <v>0</v>
      </c>
      <c r="BW45" s="646" t="e">
        <v>#REF!</v>
      </c>
      <c r="BX45" s="646">
        <v>0</v>
      </c>
      <c r="BY45" s="646">
        <v>0</v>
      </c>
      <c r="BZ45" s="646" t="e">
        <v>#REF!</v>
      </c>
      <c r="CA45" s="646" t="e">
        <v>#REF!</v>
      </c>
      <c r="CB45" s="646"/>
      <c r="CC45" s="663">
        <v>0</v>
      </c>
      <c r="CD45" s="646" t="e">
        <v>#REF!</v>
      </c>
      <c r="CE45" s="646">
        <v>0</v>
      </c>
      <c r="CF45" s="646">
        <v>0</v>
      </c>
      <c r="CG45" s="646" t="e">
        <v>#REF!</v>
      </c>
      <c r="CH45" s="646">
        <v>0</v>
      </c>
      <c r="CI45" s="646">
        <v>0</v>
      </c>
      <c r="CJ45" s="646">
        <v>0</v>
      </c>
      <c r="CK45" s="646">
        <v>0</v>
      </c>
      <c r="CL45" s="646">
        <v>0</v>
      </c>
      <c r="CM45" s="646" t="e">
        <v>#REF!</v>
      </c>
      <c r="CN45" s="646">
        <v>0</v>
      </c>
      <c r="CO45" s="646">
        <v>0</v>
      </c>
      <c r="CP45" s="646" t="e">
        <v>#REF!</v>
      </c>
      <c r="CQ45" s="646" t="e">
        <v>#REF!</v>
      </c>
      <c r="CR45" s="647">
        <v>0</v>
      </c>
    </row>
    <row r="46" spans="1:96" ht="17.25" x14ac:dyDescent="0.3">
      <c r="A46" s="672">
        <v>0</v>
      </c>
      <c r="B46" s="648" t="e">
        <v>#REF!</v>
      </c>
      <c r="C46" s="648"/>
      <c r="D46" s="645">
        <v>0</v>
      </c>
      <c r="E46" s="649" t="e">
        <v>#REF!</v>
      </c>
      <c r="F46" s="647">
        <v>0</v>
      </c>
      <c r="G46" s="656"/>
      <c r="H46" s="655">
        <v>0</v>
      </c>
      <c r="I46" s="656" t="e">
        <v>#REF!</v>
      </c>
      <c r="J46" s="656">
        <v>0</v>
      </c>
      <c r="K46" s="656">
        <v>0</v>
      </c>
      <c r="L46" s="656" t="e">
        <v>#REF!</v>
      </c>
      <c r="M46" s="656"/>
      <c r="N46" s="657">
        <v>0</v>
      </c>
      <c r="O46" s="656" t="e">
        <v>#REF!</v>
      </c>
      <c r="P46" s="656">
        <v>0</v>
      </c>
      <c r="Q46" s="656">
        <v>0</v>
      </c>
      <c r="R46" s="656" t="e">
        <v>#REF!</v>
      </c>
      <c r="S46" s="647">
        <v>0</v>
      </c>
      <c r="T46" s="656"/>
      <c r="U46" s="655">
        <v>0</v>
      </c>
      <c r="V46" s="656" t="e">
        <v>#REF!</v>
      </c>
      <c r="W46" s="656">
        <v>0</v>
      </c>
      <c r="X46" s="656">
        <v>0</v>
      </c>
      <c r="Y46" s="656" t="e">
        <v>#REF!</v>
      </c>
      <c r="Z46" s="656">
        <v>0</v>
      </c>
      <c r="AA46" s="656">
        <v>0</v>
      </c>
      <c r="AB46" s="656">
        <v>0</v>
      </c>
      <c r="AC46" s="656"/>
      <c r="AD46" s="657">
        <v>0</v>
      </c>
      <c r="AE46" s="656" t="e">
        <v>#REF!</v>
      </c>
      <c r="AF46" s="656">
        <v>0</v>
      </c>
      <c r="AG46" s="656">
        <v>0</v>
      </c>
      <c r="AH46" s="656" t="e">
        <v>#REF!</v>
      </c>
      <c r="AI46" s="656">
        <v>0</v>
      </c>
      <c r="AJ46" s="656">
        <v>0</v>
      </c>
      <c r="AK46" s="656">
        <v>0</v>
      </c>
      <c r="AL46" s="647">
        <v>0</v>
      </c>
      <c r="AM46" s="656"/>
      <c r="AN46" s="661">
        <v>0</v>
      </c>
      <c r="AO46" s="656" t="e">
        <v>#REF!</v>
      </c>
      <c r="AP46" s="656">
        <v>0</v>
      </c>
      <c r="AQ46" s="656">
        <v>0</v>
      </c>
      <c r="AR46" s="656" t="e">
        <v>#REF!</v>
      </c>
      <c r="AS46" s="656">
        <v>0</v>
      </c>
      <c r="AT46" s="656">
        <v>0</v>
      </c>
      <c r="AU46" s="646">
        <v>0</v>
      </c>
      <c r="AV46" s="646">
        <v>0</v>
      </c>
      <c r="AW46" s="646">
        <v>0</v>
      </c>
      <c r="AX46" s="662" t="e">
        <v>#REF!</v>
      </c>
      <c r="AY46" s="646"/>
      <c r="AZ46" s="663">
        <v>0</v>
      </c>
      <c r="BA46" s="646" t="e">
        <v>#REF!</v>
      </c>
      <c r="BB46" s="646">
        <v>0</v>
      </c>
      <c r="BC46" s="646">
        <v>0</v>
      </c>
      <c r="BD46" s="646" t="e">
        <v>#REF!</v>
      </c>
      <c r="BE46" s="646">
        <v>0</v>
      </c>
      <c r="BF46" s="646">
        <v>0</v>
      </c>
      <c r="BG46" s="646">
        <v>0</v>
      </c>
      <c r="BH46" s="646">
        <v>0</v>
      </c>
      <c r="BI46" s="646">
        <v>0</v>
      </c>
      <c r="BJ46" s="646" t="e">
        <v>#REF!</v>
      </c>
      <c r="BK46" s="647">
        <v>0</v>
      </c>
      <c r="BL46" s="646"/>
      <c r="BM46" s="668">
        <v>0</v>
      </c>
      <c r="BN46" s="646" t="e">
        <v>#REF!</v>
      </c>
      <c r="BO46" s="646">
        <v>0</v>
      </c>
      <c r="BP46" s="646">
        <v>0</v>
      </c>
      <c r="BQ46" s="646" t="e">
        <v>#REF!</v>
      </c>
      <c r="BR46" s="646">
        <v>0</v>
      </c>
      <c r="BS46" s="646">
        <v>0</v>
      </c>
      <c r="BT46" s="646">
        <v>0</v>
      </c>
      <c r="BU46" s="646">
        <v>0</v>
      </c>
      <c r="BV46" s="646">
        <v>0</v>
      </c>
      <c r="BW46" s="646" t="e">
        <v>#REF!</v>
      </c>
      <c r="BX46" s="646">
        <v>0</v>
      </c>
      <c r="BY46" s="646">
        <v>0</v>
      </c>
      <c r="BZ46" s="646" t="e">
        <v>#REF!</v>
      </c>
      <c r="CA46" s="646" t="e">
        <v>#REF!</v>
      </c>
      <c r="CB46" s="646"/>
      <c r="CC46" s="663">
        <v>0</v>
      </c>
      <c r="CD46" s="646" t="e">
        <v>#REF!</v>
      </c>
      <c r="CE46" s="646">
        <v>0</v>
      </c>
      <c r="CF46" s="646">
        <v>0</v>
      </c>
      <c r="CG46" s="646" t="e">
        <v>#REF!</v>
      </c>
      <c r="CH46" s="646">
        <v>0</v>
      </c>
      <c r="CI46" s="646">
        <v>0</v>
      </c>
      <c r="CJ46" s="646">
        <v>0</v>
      </c>
      <c r="CK46" s="646">
        <v>0</v>
      </c>
      <c r="CL46" s="646">
        <v>0</v>
      </c>
      <c r="CM46" s="646" t="e">
        <v>#REF!</v>
      </c>
      <c r="CN46" s="646">
        <v>0</v>
      </c>
      <c r="CO46" s="646">
        <v>0</v>
      </c>
      <c r="CP46" s="646" t="e">
        <v>#REF!</v>
      </c>
      <c r="CQ46" s="646" t="e">
        <v>#REF!</v>
      </c>
      <c r="CR46" s="647">
        <v>0</v>
      </c>
    </row>
    <row r="47" spans="1:96" ht="17.25" x14ac:dyDescent="0.3">
      <c r="A47" s="672">
        <v>0</v>
      </c>
      <c r="B47" s="648" t="e">
        <v>#REF!</v>
      </c>
      <c r="C47" s="648"/>
      <c r="D47" s="645">
        <v>0</v>
      </c>
      <c r="E47" s="649" t="e">
        <v>#REF!</v>
      </c>
      <c r="F47" s="647">
        <v>0</v>
      </c>
      <c r="G47" s="656"/>
      <c r="H47" s="655">
        <v>0</v>
      </c>
      <c r="I47" s="656" t="e">
        <v>#REF!</v>
      </c>
      <c r="J47" s="656">
        <v>0</v>
      </c>
      <c r="K47" s="656">
        <v>0</v>
      </c>
      <c r="L47" s="656" t="e">
        <v>#REF!</v>
      </c>
      <c r="M47" s="656"/>
      <c r="N47" s="657">
        <v>0</v>
      </c>
      <c r="O47" s="656" t="e">
        <v>#REF!</v>
      </c>
      <c r="P47" s="656">
        <v>0</v>
      </c>
      <c r="Q47" s="656">
        <v>0</v>
      </c>
      <c r="R47" s="656" t="e">
        <v>#REF!</v>
      </c>
      <c r="S47" s="647">
        <v>0</v>
      </c>
      <c r="T47" s="656"/>
      <c r="U47" s="655">
        <v>0</v>
      </c>
      <c r="V47" s="656" t="e">
        <v>#REF!</v>
      </c>
      <c r="W47" s="656">
        <v>0</v>
      </c>
      <c r="X47" s="656">
        <v>0</v>
      </c>
      <c r="Y47" s="656" t="e">
        <v>#REF!</v>
      </c>
      <c r="Z47" s="656">
        <v>0</v>
      </c>
      <c r="AA47" s="656">
        <v>0</v>
      </c>
      <c r="AB47" s="656">
        <v>0</v>
      </c>
      <c r="AC47" s="656"/>
      <c r="AD47" s="657">
        <v>0</v>
      </c>
      <c r="AE47" s="656" t="e">
        <v>#REF!</v>
      </c>
      <c r="AF47" s="656">
        <v>0</v>
      </c>
      <c r="AG47" s="656">
        <v>0</v>
      </c>
      <c r="AH47" s="656" t="e">
        <v>#REF!</v>
      </c>
      <c r="AI47" s="656">
        <v>0</v>
      </c>
      <c r="AJ47" s="656">
        <v>0</v>
      </c>
      <c r="AK47" s="656">
        <v>0</v>
      </c>
      <c r="AL47" s="647">
        <v>0</v>
      </c>
      <c r="AM47" s="656"/>
      <c r="AN47" s="661">
        <v>0</v>
      </c>
      <c r="AO47" s="656" t="e">
        <v>#REF!</v>
      </c>
      <c r="AP47" s="656">
        <v>0</v>
      </c>
      <c r="AQ47" s="656">
        <v>0</v>
      </c>
      <c r="AR47" s="656" t="e">
        <v>#REF!</v>
      </c>
      <c r="AS47" s="656">
        <v>0</v>
      </c>
      <c r="AT47" s="656">
        <v>0</v>
      </c>
      <c r="AU47" s="646">
        <v>0</v>
      </c>
      <c r="AV47" s="646">
        <v>0</v>
      </c>
      <c r="AW47" s="646">
        <v>0</v>
      </c>
      <c r="AX47" s="662" t="e">
        <v>#REF!</v>
      </c>
      <c r="AY47" s="646"/>
      <c r="AZ47" s="663">
        <v>0</v>
      </c>
      <c r="BA47" s="646" t="e">
        <v>#REF!</v>
      </c>
      <c r="BB47" s="646">
        <v>0</v>
      </c>
      <c r="BC47" s="646">
        <v>0</v>
      </c>
      <c r="BD47" s="646" t="e">
        <v>#REF!</v>
      </c>
      <c r="BE47" s="646">
        <v>0</v>
      </c>
      <c r="BF47" s="646">
        <v>0</v>
      </c>
      <c r="BG47" s="646">
        <v>0</v>
      </c>
      <c r="BH47" s="646">
        <v>0</v>
      </c>
      <c r="BI47" s="646">
        <v>0</v>
      </c>
      <c r="BJ47" s="646" t="e">
        <v>#REF!</v>
      </c>
      <c r="BK47" s="647">
        <v>0</v>
      </c>
      <c r="BL47" s="646"/>
      <c r="BM47" s="668">
        <v>0</v>
      </c>
      <c r="BN47" s="646" t="e">
        <v>#REF!</v>
      </c>
      <c r="BO47" s="646">
        <v>0</v>
      </c>
      <c r="BP47" s="646">
        <v>0</v>
      </c>
      <c r="BQ47" s="646" t="e">
        <v>#REF!</v>
      </c>
      <c r="BR47" s="646">
        <v>0</v>
      </c>
      <c r="BS47" s="646">
        <v>0</v>
      </c>
      <c r="BT47" s="646">
        <v>0</v>
      </c>
      <c r="BU47" s="646">
        <v>0</v>
      </c>
      <c r="BV47" s="646">
        <v>0</v>
      </c>
      <c r="BW47" s="646" t="e">
        <v>#REF!</v>
      </c>
      <c r="BX47" s="646">
        <v>0</v>
      </c>
      <c r="BY47" s="646">
        <v>0</v>
      </c>
      <c r="BZ47" s="646" t="e">
        <v>#REF!</v>
      </c>
      <c r="CA47" s="646" t="e">
        <v>#REF!</v>
      </c>
      <c r="CB47" s="646"/>
      <c r="CC47" s="663">
        <v>0</v>
      </c>
      <c r="CD47" s="646" t="e">
        <v>#REF!</v>
      </c>
      <c r="CE47" s="646">
        <v>0</v>
      </c>
      <c r="CF47" s="646">
        <v>0</v>
      </c>
      <c r="CG47" s="646" t="e">
        <v>#REF!</v>
      </c>
      <c r="CH47" s="646">
        <v>0</v>
      </c>
      <c r="CI47" s="646">
        <v>0</v>
      </c>
      <c r="CJ47" s="646">
        <v>0</v>
      </c>
      <c r="CK47" s="646">
        <v>0</v>
      </c>
      <c r="CL47" s="646">
        <v>0</v>
      </c>
      <c r="CM47" s="646" t="e">
        <v>#REF!</v>
      </c>
      <c r="CN47" s="646">
        <v>0</v>
      </c>
      <c r="CO47" s="646">
        <v>0</v>
      </c>
      <c r="CP47" s="646" t="e">
        <v>#REF!</v>
      </c>
      <c r="CQ47" s="646" t="e">
        <v>#REF!</v>
      </c>
      <c r="CR47" s="647">
        <v>0</v>
      </c>
    </row>
    <row r="48" spans="1:96" ht="17.25" x14ac:dyDescent="0.3">
      <c r="A48" s="672">
        <v>0</v>
      </c>
      <c r="B48" s="648" t="e">
        <v>#REF!</v>
      </c>
      <c r="C48" s="648"/>
      <c r="D48" s="645">
        <v>0</v>
      </c>
      <c r="E48" s="649" t="e">
        <v>#REF!</v>
      </c>
      <c r="F48" s="647">
        <v>0</v>
      </c>
      <c r="G48" s="656"/>
      <c r="H48" s="655">
        <v>0</v>
      </c>
      <c r="I48" s="656" t="e">
        <v>#REF!</v>
      </c>
      <c r="J48" s="656">
        <v>0</v>
      </c>
      <c r="K48" s="656">
        <v>0</v>
      </c>
      <c r="L48" s="656" t="e">
        <v>#REF!</v>
      </c>
      <c r="M48" s="656"/>
      <c r="N48" s="657">
        <v>0</v>
      </c>
      <c r="O48" s="656" t="e">
        <v>#REF!</v>
      </c>
      <c r="P48" s="656">
        <v>0</v>
      </c>
      <c r="Q48" s="656">
        <v>0</v>
      </c>
      <c r="R48" s="656" t="e">
        <v>#REF!</v>
      </c>
      <c r="S48" s="647">
        <v>0</v>
      </c>
      <c r="T48" s="656"/>
      <c r="U48" s="655">
        <v>0</v>
      </c>
      <c r="V48" s="656" t="e">
        <v>#REF!</v>
      </c>
      <c r="W48" s="656">
        <v>0</v>
      </c>
      <c r="X48" s="656">
        <v>0</v>
      </c>
      <c r="Y48" s="656" t="e">
        <v>#REF!</v>
      </c>
      <c r="Z48" s="656">
        <v>0</v>
      </c>
      <c r="AA48" s="656">
        <v>0</v>
      </c>
      <c r="AB48" s="656">
        <v>0</v>
      </c>
      <c r="AC48" s="656"/>
      <c r="AD48" s="657">
        <v>0</v>
      </c>
      <c r="AE48" s="656" t="e">
        <v>#REF!</v>
      </c>
      <c r="AF48" s="656">
        <v>0</v>
      </c>
      <c r="AG48" s="656">
        <v>0</v>
      </c>
      <c r="AH48" s="656" t="e">
        <v>#REF!</v>
      </c>
      <c r="AI48" s="656">
        <v>0</v>
      </c>
      <c r="AJ48" s="656">
        <v>0</v>
      </c>
      <c r="AK48" s="656">
        <v>0</v>
      </c>
      <c r="AL48" s="647">
        <v>0</v>
      </c>
      <c r="AM48" s="656"/>
      <c r="AN48" s="661">
        <v>0</v>
      </c>
      <c r="AO48" s="656" t="e">
        <v>#REF!</v>
      </c>
      <c r="AP48" s="656">
        <v>0</v>
      </c>
      <c r="AQ48" s="656">
        <v>0</v>
      </c>
      <c r="AR48" s="656" t="e">
        <v>#REF!</v>
      </c>
      <c r="AS48" s="656">
        <v>0</v>
      </c>
      <c r="AT48" s="656">
        <v>0</v>
      </c>
      <c r="AU48" s="646">
        <v>0</v>
      </c>
      <c r="AV48" s="646">
        <v>0</v>
      </c>
      <c r="AW48" s="646">
        <v>0</v>
      </c>
      <c r="AX48" s="662" t="e">
        <v>#REF!</v>
      </c>
      <c r="AY48" s="646"/>
      <c r="AZ48" s="663">
        <v>0</v>
      </c>
      <c r="BA48" s="646" t="e">
        <v>#REF!</v>
      </c>
      <c r="BB48" s="646">
        <v>0</v>
      </c>
      <c r="BC48" s="646">
        <v>0</v>
      </c>
      <c r="BD48" s="646" t="e">
        <v>#REF!</v>
      </c>
      <c r="BE48" s="646">
        <v>0</v>
      </c>
      <c r="BF48" s="646">
        <v>0</v>
      </c>
      <c r="BG48" s="646">
        <v>0</v>
      </c>
      <c r="BH48" s="646">
        <v>0</v>
      </c>
      <c r="BI48" s="646">
        <v>0</v>
      </c>
      <c r="BJ48" s="646" t="e">
        <v>#REF!</v>
      </c>
      <c r="BK48" s="647">
        <v>0</v>
      </c>
      <c r="BL48" s="646"/>
      <c r="BM48" s="668">
        <v>0</v>
      </c>
      <c r="BN48" s="646" t="e">
        <v>#REF!</v>
      </c>
      <c r="BO48" s="646">
        <v>0</v>
      </c>
      <c r="BP48" s="646">
        <v>0</v>
      </c>
      <c r="BQ48" s="646" t="e">
        <v>#REF!</v>
      </c>
      <c r="BR48" s="646">
        <v>0</v>
      </c>
      <c r="BS48" s="646">
        <v>0</v>
      </c>
      <c r="BT48" s="646">
        <v>0</v>
      </c>
      <c r="BU48" s="646">
        <v>0</v>
      </c>
      <c r="BV48" s="646">
        <v>0</v>
      </c>
      <c r="BW48" s="646" t="e">
        <v>#REF!</v>
      </c>
      <c r="BX48" s="646">
        <v>0</v>
      </c>
      <c r="BY48" s="646">
        <v>0</v>
      </c>
      <c r="BZ48" s="646" t="e">
        <v>#REF!</v>
      </c>
      <c r="CA48" s="646" t="e">
        <v>#REF!</v>
      </c>
      <c r="CB48" s="646"/>
      <c r="CC48" s="663">
        <v>0</v>
      </c>
      <c r="CD48" s="646" t="e">
        <v>#REF!</v>
      </c>
      <c r="CE48" s="646">
        <v>0</v>
      </c>
      <c r="CF48" s="646">
        <v>0</v>
      </c>
      <c r="CG48" s="646" t="e">
        <v>#REF!</v>
      </c>
      <c r="CH48" s="646">
        <v>0</v>
      </c>
      <c r="CI48" s="646">
        <v>0</v>
      </c>
      <c r="CJ48" s="646">
        <v>0</v>
      </c>
      <c r="CK48" s="646">
        <v>0</v>
      </c>
      <c r="CL48" s="646">
        <v>0</v>
      </c>
      <c r="CM48" s="646" t="e">
        <v>#REF!</v>
      </c>
      <c r="CN48" s="646">
        <v>0</v>
      </c>
      <c r="CO48" s="646">
        <v>0</v>
      </c>
      <c r="CP48" s="646" t="e">
        <v>#REF!</v>
      </c>
      <c r="CQ48" s="646" t="e">
        <v>#REF!</v>
      </c>
      <c r="CR48" s="647">
        <v>0</v>
      </c>
    </row>
    <row r="49" spans="1:96" ht="17.25" x14ac:dyDescent="0.3">
      <c r="A49" s="672">
        <v>0</v>
      </c>
      <c r="B49" s="648" t="e">
        <v>#REF!</v>
      </c>
      <c r="C49" s="648"/>
      <c r="D49" s="645">
        <v>0</v>
      </c>
      <c r="E49" s="649" t="e">
        <v>#REF!</v>
      </c>
      <c r="F49" s="647">
        <v>0</v>
      </c>
      <c r="G49" s="656"/>
      <c r="H49" s="655">
        <v>0</v>
      </c>
      <c r="I49" s="656" t="e">
        <v>#REF!</v>
      </c>
      <c r="J49" s="656">
        <v>0</v>
      </c>
      <c r="K49" s="656">
        <v>0</v>
      </c>
      <c r="L49" s="656" t="e">
        <v>#REF!</v>
      </c>
      <c r="M49" s="656"/>
      <c r="N49" s="657">
        <v>0</v>
      </c>
      <c r="O49" s="656" t="e">
        <v>#REF!</v>
      </c>
      <c r="P49" s="656">
        <v>0</v>
      </c>
      <c r="Q49" s="656">
        <v>0</v>
      </c>
      <c r="R49" s="656" t="e">
        <v>#REF!</v>
      </c>
      <c r="S49" s="647">
        <v>0</v>
      </c>
      <c r="T49" s="656"/>
      <c r="U49" s="655">
        <v>0</v>
      </c>
      <c r="V49" s="656" t="e">
        <v>#REF!</v>
      </c>
      <c r="W49" s="656">
        <v>0</v>
      </c>
      <c r="X49" s="656">
        <v>0</v>
      </c>
      <c r="Y49" s="656" t="e">
        <v>#REF!</v>
      </c>
      <c r="Z49" s="656">
        <v>0</v>
      </c>
      <c r="AA49" s="656">
        <v>0</v>
      </c>
      <c r="AB49" s="656">
        <v>0</v>
      </c>
      <c r="AC49" s="656"/>
      <c r="AD49" s="657">
        <v>0</v>
      </c>
      <c r="AE49" s="656" t="e">
        <v>#REF!</v>
      </c>
      <c r="AF49" s="656">
        <v>0</v>
      </c>
      <c r="AG49" s="656">
        <v>0</v>
      </c>
      <c r="AH49" s="656" t="e">
        <v>#REF!</v>
      </c>
      <c r="AI49" s="656">
        <v>0</v>
      </c>
      <c r="AJ49" s="656">
        <v>0</v>
      </c>
      <c r="AK49" s="656">
        <v>0</v>
      </c>
      <c r="AL49" s="647">
        <v>0</v>
      </c>
      <c r="AM49" s="656"/>
      <c r="AN49" s="661">
        <v>0</v>
      </c>
      <c r="AO49" s="656" t="e">
        <v>#REF!</v>
      </c>
      <c r="AP49" s="656">
        <v>0</v>
      </c>
      <c r="AQ49" s="656">
        <v>0</v>
      </c>
      <c r="AR49" s="656" t="e">
        <v>#REF!</v>
      </c>
      <c r="AS49" s="656">
        <v>0</v>
      </c>
      <c r="AT49" s="656">
        <v>0</v>
      </c>
      <c r="AU49" s="646">
        <v>0</v>
      </c>
      <c r="AV49" s="646">
        <v>0</v>
      </c>
      <c r="AW49" s="646">
        <v>0</v>
      </c>
      <c r="AX49" s="662" t="e">
        <v>#REF!</v>
      </c>
      <c r="AY49" s="646"/>
      <c r="AZ49" s="663">
        <v>0</v>
      </c>
      <c r="BA49" s="646" t="e">
        <v>#REF!</v>
      </c>
      <c r="BB49" s="646">
        <v>0</v>
      </c>
      <c r="BC49" s="646">
        <v>0</v>
      </c>
      <c r="BD49" s="646" t="e">
        <v>#REF!</v>
      </c>
      <c r="BE49" s="646">
        <v>0</v>
      </c>
      <c r="BF49" s="646">
        <v>0</v>
      </c>
      <c r="BG49" s="646">
        <v>0</v>
      </c>
      <c r="BH49" s="646">
        <v>0</v>
      </c>
      <c r="BI49" s="646">
        <v>0</v>
      </c>
      <c r="BJ49" s="646" t="e">
        <v>#REF!</v>
      </c>
      <c r="BK49" s="647">
        <v>0</v>
      </c>
      <c r="BL49" s="646"/>
      <c r="BM49" s="668">
        <v>0</v>
      </c>
      <c r="BN49" s="646" t="e">
        <v>#REF!</v>
      </c>
      <c r="BO49" s="646">
        <v>0</v>
      </c>
      <c r="BP49" s="646">
        <v>0</v>
      </c>
      <c r="BQ49" s="646" t="e">
        <v>#REF!</v>
      </c>
      <c r="BR49" s="646">
        <v>0</v>
      </c>
      <c r="BS49" s="646">
        <v>0</v>
      </c>
      <c r="BT49" s="646">
        <v>0</v>
      </c>
      <c r="BU49" s="646">
        <v>0</v>
      </c>
      <c r="BV49" s="646">
        <v>0</v>
      </c>
      <c r="BW49" s="646" t="e">
        <v>#REF!</v>
      </c>
      <c r="BX49" s="646">
        <v>0</v>
      </c>
      <c r="BY49" s="646">
        <v>0</v>
      </c>
      <c r="BZ49" s="646" t="e">
        <v>#REF!</v>
      </c>
      <c r="CA49" s="646" t="e">
        <v>#REF!</v>
      </c>
      <c r="CB49" s="646"/>
      <c r="CC49" s="663">
        <v>0</v>
      </c>
      <c r="CD49" s="646" t="e">
        <v>#REF!</v>
      </c>
      <c r="CE49" s="646">
        <v>0</v>
      </c>
      <c r="CF49" s="646">
        <v>0</v>
      </c>
      <c r="CG49" s="646" t="e">
        <v>#REF!</v>
      </c>
      <c r="CH49" s="646">
        <v>0</v>
      </c>
      <c r="CI49" s="646">
        <v>0</v>
      </c>
      <c r="CJ49" s="646">
        <v>0</v>
      </c>
      <c r="CK49" s="646">
        <v>0</v>
      </c>
      <c r="CL49" s="646">
        <v>0</v>
      </c>
      <c r="CM49" s="646" t="e">
        <v>#REF!</v>
      </c>
      <c r="CN49" s="646">
        <v>0</v>
      </c>
      <c r="CO49" s="646">
        <v>0</v>
      </c>
      <c r="CP49" s="646" t="e">
        <v>#REF!</v>
      </c>
      <c r="CQ49" s="646" t="e">
        <v>#REF!</v>
      </c>
      <c r="CR49" s="647">
        <v>0</v>
      </c>
    </row>
    <row r="50" spans="1:96" ht="17.25" x14ac:dyDescent="0.3">
      <c r="A50" s="672">
        <v>0</v>
      </c>
      <c r="B50" s="648" t="e">
        <v>#REF!</v>
      </c>
      <c r="C50" s="648"/>
      <c r="D50" s="645">
        <v>0</v>
      </c>
      <c r="E50" s="649" t="e">
        <v>#REF!</v>
      </c>
      <c r="F50" s="647">
        <v>0</v>
      </c>
      <c r="G50" s="656"/>
      <c r="H50" s="655">
        <v>0</v>
      </c>
      <c r="I50" s="656" t="e">
        <v>#REF!</v>
      </c>
      <c r="J50" s="656">
        <v>0</v>
      </c>
      <c r="K50" s="656">
        <v>0</v>
      </c>
      <c r="L50" s="656" t="e">
        <v>#REF!</v>
      </c>
      <c r="M50" s="656"/>
      <c r="N50" s="657">
        <v>0</v>
      </c>
      <c r="O50" s="656" t="e">
        <v>#REF!</v>
      </c>
      <c r="P50" s="656">
        <v>0</v>
      </c>
      <c r="Q50" s="656">
        <v>0</v>
      </c>
      <c r="R50" s="656" t="e">
        <v>#REF!</v>
      </c>
      <c r="S50" s="647">
        <v>0</v>
      </c>
      <c r="T50" s="656"/>
      <c r="U50" s="655">
        <v>0</v>
      </c>
      <c r="V50" s="656" t="e">
        <v>#REF!</v>
      </c>
      <c r="W50" s="656">
        <v>0</v>
      </c>
      <c r="X50" s="656">
        <v>0</v>
      </c>
      <c r="Y50" s="656" t="e">
        <v>#REF!</v>
      </c>
      <c r="Z50" s="656">
        <v>0</v>
      </c>
      <c r="AA50" s="656">
        <v>0</v>
      </c>
      <c r="AB50" s="656">
        <v>0</v>
      </c>
      <c r="AC50" s="656"/>
      <c r="AD50" s="657">
        <v>0</v>
      </c>
      <c r="AE50" s="656" t="e">
        <v>#REF!</v>
      </c>
      <c r="AF50" s="656">
        <v>0</v>
      </c>
      <c r="AG50" s="656">
        <v>0</v>
      </c>
      <c r="AH50" s="656" t="e">
        <v>#REF!</v>
      </c>
      <c r="AI50" s="656">
        <v>0</v>
      </c>
      <c r="AJ50" s="656">
        <v>0</v>
      </c>
      <c r="AK50" s="656">
        <v>0</v>
      </c>
      <c r="AL50" s="647">
        <v>0</v>
      </c>
      <c r="AM50" s="656"/>
      <c r="AN50" s="661">
        <v>0</v>
      </c>
      <c r="AO50" s="656" t="e">
        <v>#REF!</v>
      </c>
      <c r="AP50" s="656">
        <v>0</v>
      </c>
      <c r="AQ50" s="656">
        <v>0</v>
      </c>
      <c r="AR50" s="656" t="e">
        <v>#REF!</v>
      </c>
      <c r="AS50" s="656">
        <v>0</v>
      </c>
      <c r="AT50" s="656">
        <v>0</v>
      </c>
      <c r="AU50" s="646">
        <v>0</v>
      </c>
      <c r="AV50" s="646">
        <v>0</v>
      </c>
      <c r="AW50" s="646">
        <v>0</v>
      </c>
      <c r="AX50" s="662" t="e">
        <v>#REF!</v>
      </c>
      <c r="AY50" s="646"/>
      <c r="AZ50" s="663">
        <v>0</v>
      </c>
      <c r="BA50" s="646" t="e">
        <v>#REF!</v>
      </c>
      <c r="BB50" s="646">
        <v>0</v>
      </c>
      <c r="BC50" s="646">
        <v>0</v>
      </c>
      <c r="BD50" s="646" t="e">
        <v>#REF!</v>
      </c>
      <c r="BE50" s="646">
        <v>0</v>
      </c>
      <c r="BF50" s="646">
        <v>0</v>
      </c>
      <c r="BG50" s="646">
        <v>0</v>
      </c>
      <c r="BH50" s="646">
        <v>0</v>
      </c>
      <c r="BI50" s="646">
        <v>0</v>
      </c>
      <c r="BJ50" s="646" t="e">
        <v>#REF!</v>
      </c>
      <c r="BK50" s="647">
        <v>0</v>
      </c>
      <c r="BL50" s="646"/>
      <c r="BM50" s="668">
        <v>0</v>
      </c>
      <c r="BN50" s="646" t="e">
        <v>#REF!</v>
      </c>
      <c r="BO50" s="646">
        <v>0</v>
      </c>
      <c r="BP50" s="646">
        <v>0</v>
      </c>
      <c r="BQ50" s="646" t="e">
        <v>#REF!</v>
      </c>
      <c r="BR50" s="646">
        <v>0</v>
      </c>
      <c r="BS50" s="646">
        <v>0</v>
      </c>
      <c r="BT50" s="646">
        <v>0</v>
      </c>
      <c r="BU50" s="646">
        <v>0</v>
      </c>
      <c r="BV50" s="646">
        <v>0</v>
      </c>
      <c r="BW50" s="646" t="e">
        <v>#REF!</v>
      </c>
      <c r="BX50" s="646">
        <v>0</v>
      </c>
      <c r="BY50" s="646">
        <v>0</v>
      </c>
      <c r="BZ50" s="646" t="e">
        <v>#REF!</v>
      </c>
      <c r="CA50" s="646" t="e">
        <v>#REF!</v>
      </c>
      <c r="CB50" s="646"/>
      <c r="CC50" s="663">
        <v>0</v>
      </c>
      <c r="CD50" s="646" t="e">
        <v>#REF!</v>
      </c>
      <c r="CE50" s="646">
        <v>0</v>
      </c>
      <c r="CF50" s="646">
        <v>0</v>
      </c>
      <c r="CG50" s="646" t="e">
        <v>#REF!</v>
      </c>
      <c r="CH50" s="646">
        <v>0</v>
      </c>
      <c r="CI50" s="646">
        <v>0</v>
      </c>
      <c r="CJ50" s="646">
        <v>0</v>
      </c>
      <c r="CK50" s="646">
        <v>0</v>
      </c>
      <c r="CL50" s="646">
        <v>0</v>
      </c>
      <c r="CM50" s="646" t="e">
        <v>#REF!</v>
      </c>
      <c r="CN50" s="646">
        <v>0</v>
      </c>
      <c r="CO50" s="646">
        <v>0</v>
      </c>
      <c r="CP50" s="646" t="e">
        <v>#REF!</v>
      </c>
      <c r="CQ50" s="646" t="e">
        <v>#REF!</v>
      </c>
      <c r="CR50" s="647">
        <v>0</v>
      </c>
    </row>
    <row r="51" spans="1:96" ht="17.25" x14ac:dyDescent="0.3">
      <c r="A51" s="672">
        <v>0</v>
      </c>
      <c r="B51" s="648" t="e">
        <v>#REF!</v>
      </c>
      <c r="C51" s="648"/>
      <c r="D51" s="645">
        <v>0</v>
      </c>
      <c r="E51" s="649" t="e">
        <v>#REF!</v>
      </c>
      <c r="F51" s="647">
        <v>0</v>
      </c>
      <c r="G51" s="656"/>
      <c r="H51" s="655">
        <v>0</v>
      </c>
      <c r="I51" s="656" t="e">
        <v>#REF!</v>
      </c>
      <c r="J51" s="656">
        <v>0</v>
      </c>
      <c r="K51" s="656">
        <v>0</v>
      </c>
      <c r="L51" s="656" t="e">
        <v>#REF!</v>
      </c>
      <c r="M51" s="656"/>
      <c r="N51" s="657">
        <v>0</v>
      </c>
      <c r="O51" s="656" t="e">
        <v>#REF!</v>
      </c>
      <c r="P51" s="656">
        <v>0</v>
      </c>
      <c r="Q51" s="656">
        <v>0</v>
      </c>
      <c r="R51" s="656" t="e">
        <v>#REF!</v>
      </c>
      <c r="S51" s="647">
        <v>0</v>
      </c>
      <c r="T51" s="656"/>
      <c r="U51" s="655">
        <v>0</v>
      </c>
      <c r="V51" s="656" t="e">
        <v>#REF!</v>
      </c>
      <c r="W51" s="656">
        <v>0</v>
      </c>
      <c r="X51" s="656">
        <v>0</v>
      </c>
      <c r="Y51" s="656" t="e">
        <v>#REF!</v>
      </c>
      <c r="Z51" s="656">
        <v>0</v>
      </c>
      <c r="AA51" s="656">
        <v>0</v>
      </c>
      <c r="AB51" s="656">
        <v>0</v>
      </c>
      <c r="AC51" s="656"/>
      <c r="AD51" s="657">
        <v>0</v>
      </c>
      <c r="AE51" s="656" t="e">
        <v>#REF!</v>
      </c>
      <c r="AF51" s="656">
        <v>0</v>
      </c>
      <c r="AG51" s="656">
        <v>0</v>
      </c>
      <c r="AH51" s="656" t="e">
        <v>#REF!</v>
      </c>
      <c r="AI51" s="656">
        <v>0</v>
      </c>
      <c r="AJ51" s="656">
        <v>0</v>
      </c>
      <c r="AK51" s="656">
        <v>0</v>
      </c>
      <c r="AL51" s="647">
        <v>0</v>
      </c>
      <c r="AM51" s="656"/>
      <c r="AN51" s="661">
        <v>0</v>
      </c>
      <c r="AO51" s="656" t="e">
        <v>#REF!</v>
      </c>
      <c r="AP51" s="656">
        <v>0</v>
      </c>
      <c r="AQ51" s="656">
        <v>0</v>
      </c>
      <c r="AR51" s="656" t="e">
        <v>#REF!</v>
      </c>
      <c r="AS51" s="656">
        <v>0</v>
      </c>
      <c r="AT51" s="656">
        <v>0</v>
      </c>
      <c r="AU51" s="646">
        <v>0</v>
      </c>
      <c r="AV51" s="646">
        <v>0</v>
      </c>
      <c r="AW51" s="646">
        <v>0</v>
      </c>
      <c r="AX51" s="662" t="e">
        <v>#REF!</v>
      </c>
      <c r="AY51" s="646"/>
      <c r="AZ51" s="663">
        <v>0</v>
      </c>
      <c r="BA51" s="646" t="e">
        <v>#REF!</v>
      </c>
      <c r="BB51" s="646">
        <v>0</v>
      </c>
      <c r="BC51" s="646">
        <v>0</v>
      </c>
      <c r="BD51" s="646" t="e">
        <v>#REF!</v>
      </c>
      <c r="BE51" s="646">
        <v>0</v>
      </c>
      <c r="BF51" s="646">
        <v>0</v>
      </c>
      <c r="BG51" s="646">
        <v>0</v>
      </c>
      <c r="BH51" s="646">
        <v>0</v>
      </c>
      <c r="BI51" s="646">
        <v>0</v>
      </c>
      <c r="BJ51" s="646" t="e">
        <v>#REF!</v>
      </c>
      <c r="BK51" s="647">
        <v>0</v>
      </c>
      <c r="BL51" s="646"/>
      <c r="BM51" s="668">
        <v>0</v>
      </c>
      <c r="BN51" s="646" t="e">
        <v>#REF!</v>
      </c>
      <c r="BO51" s="646">
        <v>0</v>
      </c>
      <c r="BP51" s="646">
        <v>0</v>
      </c>
      <c r="BQ51" s="646" t="e">
        <v>#REF!</v>
      </c>
      <c r="BR51" s="646">
        <v>0</v>
      </c>
      <c r="BS51" s="646">
        <v>0</v>
      </c>
      <c r="BT51" s="646">
        <v>0</v>
      </c>
      <c r="BU51" s="646">
        <v>0</v>
      </c>
      <c r="BV51" s="646">
        <v>0</v>
      </c>
      <c r="BW51" s="646" t="e">
        <v>#REF!</v>
      </c>
      <c r="BX51" s="646">
        <v>0</v>
      </c>
      <c r="BY51" s="646">
        <v>0</v>
      </c>
      <c r="BZ51" s="646" t="e">
        <v>#REF!</v>
      </c>
      <c r="CA51" s="646" t="e">
        <v>#REF!</v>
      </c>
      <c r="CB51" s="646"/>
      <c r="CC51" s="663">
        <v>0</v>
      </c>
      <c r="CD51" s="646" t="e">
        <v>#REF!</v>
      </c>
      <c r="CE51" s="646">
        <v>0</v>
      </c>
      <c r="CF51" s="646">
        <v>0</v>
      </c>
      <c r="CG51" s="646" t="e">
        <v>#REF!</v>
      </c>
      <c r="CH51" s="646">
        <v>0</v>
      </c>
      <c r="CI51" s="646">
        <v>0</v>
      </c>
      <c r="CJ51" s="646">
        <v>0</v>
      </c>
      <c r="CK51" s="646">
        <v>0</v>
      </c>
      <c r="CL51" s="646">
        <v>0</v>
      </c>
      <c r="CM51" s="646" t="e">
        <v>#REF!</v>
      </c>
      <c r="CN51" s="646">
        <v>0</v>
      </c>
      <c r="CO51" s="646">
        <v>0</v>
      </c>
      <c r="CP51" s="646" t="e">
        <v>#REF!</v>
      </c>
      <c r="CQ51" s="646" t="e">
        <v>#REF!</v>
      </c>
      <c r="CR51" s="647">
        <v>0</v>
      </c>
    </row>
    <row r="52" spans="1:96" ht="17.25" x14ac:dyDescent="0.3">
      <c r="A52" s="672">
        <v>0</v>
      </c>
      <c r="B52" s="648" t="e">
        <v>#REF!</v>
      </c>
      <c r="C52" s="648"/>
      <c r="D52" s="645">
        <v>0</v>
      </c>
      <c r="E52" s="649" t="e">
        <v>#REF!</v>
      </c>
      <c r="F52" s="647">
        <v>0</v>
      </c>
      <c r="G52" s="656"/>
      <c r="H52" s="655">
        <v>0</v>
      </c>
      <c r="I52" s="656" t="e">
        <v>#REF!</v>
      </c>
      <c r="J52" s="656">
        <v>0</v>
      </c>
      <c r="K52" s="656">
        <v>0</v>
      </c>
      <c r="L52" s="656" t="e">
        <v>#REF!</v>
      </c>
      <c r="M52" s="656"/>
      <c r="N52" s="657">
        <v>0</v>
      </c>
      <c r="O52" s="656" t="e">
        <v>#REF!</v>
      </c>
      <c r="P52" s="656">
        <v>0</v>
      </c>
      <c r="Q52" s="656">
        <v>0</v>
      </c>
      <c r="R52" s="656" t="e">
        <v>#REF!</v>
      </c>
      <c r="S52" s="647">
        <v>0</v>
      </c>
      <c r="T52" s="656"/>
      <c r="U52" s="655">
        <v>0</v>
      </c>
      <c r="V52" s="656" t="e">
        <v>#REF!</v>
      </c>
      <c r="W52" s="656">
        <v>0</v>
      </c>
      <c r="X52" s="656">
        <v>0</v>
      </c>
      <c r="Y52" s="656" t="e">
        <v>#REF!</v>
      </c>
      <c r="Z52" s="656">
        <v>0</v>
      </c>
      <c r="AA52" s="656">
        <v>0</v>
      </c>
      <c r="AB52" s="656">
        <v>0</v>
      </c>
      <c r="AC52" s="656"/>
      <c r="AD52" s="657">
        <v>0</v>
      </c>
      <c r="AE52" s="656" t="e">
        <v>#REF!</v>
      </c>
      <c r="AF52" s="656">
        <v>0</v>
      </c>
      <c r="AG52" s="656">
        <v>0</v>
      </c>
      <c r="AH52" s="656" t="e">
        <v>#REF!</v>
      </c>
      <c r="AI52" s="656">
        <v>0</v>
      </c>
      <c r="AJ52" s="656">
        <v>0</v>
      </c>
      <c r="AK52" s="656">
        <v>0</v>
      </c>
      <c r="AL52" s="647">
        <v>0</v>
      </c>
      <c r="AM52" s="656"/>
      <c r="AN52" s="661">
        <v>0</v>
      </c>
      <c r="AO52" s="656" t="e">
        <v>#REF!</v>
      </c>
      <c r="AP52" s="656">
        <v>0</v>
      </c>
      <c r="AQ52" s="656">
        <v>0</v>
      </c>
      <c r="AR52" s="656" t="e">
        <v>#REF!</v>
      </c>
      <c r="AS52" s="656">
        <v>0</v>
      </c>
      <c r="AT52" s="656">
        <v>0</v>
      </c>
      <c r="AU52" s="646">
        <v>0</v>
      </c>
      <c r="AV52" s="646">
        <v>0</v>
      </c>
      <c r="AW52" s="646">
        <v>0</v>
      </c>
      <c r="AX52" s="662" t="e">
        <v>#REF!</v>
      </c>
      <c r="AY52" s="646"/>
      <c r="AZ52" s="663">
        <v>0</v>
      </c>
      <c r="BA52" s="646" t="e">
        <v>#REF!</v>
      </c>
      <c r="BB52" s="646">
        <v>0</v>
      </c>
      <c r="BC52" s="646">
        <v>0</v>
      </c>
      <c r="BD52" s="646" t="e">
        <v>#REF!</v>
      </c>
      <c r="BE52" s="646">
        <v>0</v>
      </c>
      <c r="BF52" s="646">
        <v>0</v>
      </c>
      <c r="BG52" s="646">
        <v>0</v>
      </c>
      <c r="BH52" s="646">
        <v>0</v>
      </c>
      <c r="BI52" s="646">
        <v>0</v>
      </c>
      <c r="BJ52" s="646" t="e">
        <v>#REF!</v>
      </c>
      <c r="BK52" s="647">
        <v>0</v>
      </c>
      <c r="BL52" s="646"/>
      <c r="BM52" s="668">
        <v>0</v>
      </c>
      <c r="BN52" s="646" t="e">
        <v>#REF!</v>
      </c>
      <c r="BO52" s="646">
        <v>0</v>
      </c>
      <c r="BP52" s="646">
        <v>0</v>
      </c>
      <c r="BQ52" s="646" t="e">
        <v>#REF!</v>
      </c>
      <c r="BR52" s="646">
        <v>0</v>
      </c>
      <c r="BS52" s="646">
        <v>0</v>
      </c>
      <c r="BT52" s="646">
        <v>0</v>
      </c>
      <c r="BU52" s="646">
        <v>0</v>
      </c>
      <c r="BV52" s="646">
        <v>0</v>
      </c>
      <c r="BW52" s="646" t="e">
        <v>#REF!</v>
      </c>
      <c r="BX52" s="646">
        <v>0</v>
      </c>
      <c r="BY52" s="646">
        <v>0</v>
      </c>
      <c r="BZ52" s="646" t="e">
        <v>#REF!</v>
      </c>
      <c r="CA52" s="646" t="e">
        <v>#REF!</v>
      </c>
      <c r="CB52" s="646"/>
      <c r="CC52" s="663">
        <v>0</v>
      </c>
      <c r="CD52" s="646" t="e">
        <v>#REF!</v>
      </c>
      <c r="CE52" s="646">
        <v>0</v>
      </c>
      <c r="CF52" s="646">
        <v>0</v>
      </c>
      <c r="CG52" s="646" t="e">
        <v>#REF!</v>
      </c>
      <c r="CH52" s="646">
        <v>0</v>
      </c>
      <c r="CI52" s="646">
        <v>0</v>
      </c>
      <c r="CJ52" s="646">
        <v>0</v>
      </c>
      <c r="CK52" s="646">
        <v>0</v>
      </c>
      <c r="CL52" s="646">
        <v>0</v>
      </c>
      <c r="CM52" s="646" t="e">
        <v>#REF!</v>
      </c>
      <c r="CN52" s="646">
        <v>0</v>
      </c>
      <c r="CO52" s="646">
        <v>0</v>
      </c>
      <c r="CP52" s="646" t="e">
        <v>#REF!</v>
      </c>
      <c r="CQ52" s="646" t="e">
        <v>#REF!</v>
      </c>
      <c r="CR52" s="647">
        <v>0</v>
      </c>
    </row>
    <row r="53" spans="1:96" ht="17.25" x14ac:dyDescent="0.3">
      <c r="A53" s="672">
        <v>0</v>
      </c>
      <c r="B53" s="648" t="e">
        <v>#REF!</v>
      </c>
      <c r="C53" s="648"/>
      <c r="D53" s="645">
        <v>0</v>
      </c>
      <c r="E53" s="649" t="e">
        <v>#REF!</v>
      </c>
      <c r="F53" s="647">
        <v>0</v>
      </c>
      <c r="G53" s="656"/>
      <c r="H53" s="655">
        <v>0</v>
      </c>
      <c r="I53" s="656" t="e">
        <v>#REF!</v>
      </c>
      <c r="J53" s="656">
        <v>0</v>
      </c>
      <c r="K53" s="656">
        <v>0</v>
      </c>
      <c r="L53" s="656" t="e">
        <v>#REF!</v>
      </c>
      <c r="M53" s="656"/>
      <c r="N53" s="657">
        <v>0</v>
      </c>
      <c r="O53" s="656" t="e">
        <v>#REF!</v>
      </c>
      <c r="P53" s="656">
        <v>0</v>
      </c>
      <c r="Q53" s="656">
        <v>0</v>
      </c>
      <c r="R53" s="656" t="e">
        <v>#REF!</v>
      </c>
      <c r="S53" s="647">
        <v>0</v>
      </c>
      <c r="T53" s="656"/>
      <c r="U53" s="655">
        <v>0</v>
      </c>
      <c r="V53" s="656" t="e">
        <v>#REF!</v>
      </c>
      <c r="W53" s="656">
        <v>0</v>
      </c>
      <c r="X53" s="656">
        <v>0</v>
      </c>
      <c r="Y53" s="656" t="e">
        <v>#REF!</v>
      </c>
      <c r="Z53" s="656">
        <v>0</v>
      </c>
      <c r="AA53" s="656">
        <v>0</v>
      </c>
      <c r="AB53" s="656">
        <v>0</v>
      </c>
      <c r="AC53" s="656"/>
      <c r="AD53" s="657">
        <v>0</v>
      </c>
      <c r="AE53" s="656" t="e">
        <v>#REF!</v>
      </c>
      <c r="AF53" s="656">
        <v>0</v>
      </c>
      <c r="AG53" s="656">
        <v>0</v>
      </c>
      <c r="AH53" s="656" t="e">
        <v>#REF!</v>
      </c>
      <c r="AI53" s="656">
        <v>0</v>
      </c>
      <c r="AJ53" s="656">
        <v>0</v>
      </c>
      <c r="AK53" s="656">
        <v>0</v>
      </c>
      <c r="AL53" s="647">
        <v>0</v>
      </c>
      <c r="AM53" s="656"/>
      <c r="AN53" s="661">
        <v>0</v>
      </c>
      <c r="AO53" s="656" t="e">
        <v>#REF!</v>
      </c>
      <c r="AP53" s="656">
        <v>0</v>
      </c>
      <c r="AQ53" s="656">
        <v>0</v>
      </c>
      <c r="AR53" s="656" t="e">
        <v>#REF!</v>
      </c>
      <c r="AS53" s="656">
        <v>0</v>
      </c>
      <c r="AT53" s="656">
        <v>0</v>
      </c>
      <c r="AU53" s="646">
        <v>0</v>
      </c>
      <c r="AV53" s="646">
        <v>0</v>
      </c>
      <c r="AW53" s="646">
        <v>0</v>
      </c>
      <c r="AX53" s="662" t="e">
        <v>#REF!</v>
      </c>
      <c r="AY53" s="646"/>
      <c r="AZ53" s="663">
        <v>0</v>
      </c>
      <c r="BA53" s="646" t="e">
        <v>#REF!</v>
      </c>
      <c r="BB53" s="646">
        <v>0</v>
      </c>
      <c r="BC53" s="646">
        <v>0</v>
      </c>
      <c r="BD53" s="646" t="e">
        <v>#REF!</v>
      </c>
      <c r="BE53" s="646">
        <v>0</v>
      </c>
      <c r="BF53" s="646">
        <v>0</v>
      </c>
      <c r="BG53" s="646">
        <v>0</v>
      </c>
      <c r="BH53" s="646">
        <v>0</v>
      </c>
      <c r="BI53" s="646">
        <v>0</v>
      </c>
      <c r="BJ53" s="646" t="e">
        <v>#REF!</v>
      </c>
      <c r="BK53" s="647">
        <v>0</v>
      </c>
      <c r="BL53" s="646"/>
      <c r="BM53" s="668">
        <v>0</v>
      </c>
      <c r="BN53" s="646" t="e">
        <v>#REF!</v>
      </c>
      <c r="BO53" s="646">
        <v>0</v>
      </c>
      <c r="BP53" s="646">
        <v>0</v>
      </c>
      <c r="BQ53" s="646" t="e">
        <v>#REF!</v>
      </c>
      <c r="BR53" s="646">
        <v>0</v>
      </c>
      <c r="BS53" s="646">
        <v>0</v>
      </c>
      <c r="BT53" s="646">
        <v>0</v>
      </c>
      <c r="BU53" s="646">
        <v>0</v>
      </c>
      <c r="BV53" s="646">
        <v>0</v>
      </c>
      <c r="BW53" s="646" t="e">
        <v>#REF!</v>
      </c>
      <c r="BX53" s="646">
        <v>0</v>
      </c>
      <c r="BY53" s="646">
        <v>0</v>
      </c>
      <c r="BZ53" s="646" t="e">
        <v>#REF!</v>
      </c>
      <c r="CA53" s="646" t="e">
        <v>#REF!</v>
      </c>
      <c r="CB53" s="646"/>
      <c r="CC53" s="663">
        <v>0</v>
      </c>
      <c r="CD53" s="646" t="e">
        <v>#REF!</v>
      </c>
      <c r="CE53" s="646">
        <v>0</v>
      </c>
      <c r="CF53" s="646">
        <v>0</v>
      </c>
      <c r="CG53" s="646" t="e">
        <v>#REF!</v>
      </c>
      <c r="CH53" s="646">
        <v>0</v>
      </c>
      <c r="CI53" s="646">
        <v>0</v>
      </c>
      <c r="CJ53" s="646">
        <v>0</v>
      </c>
      <c r="CK53" s="646">
        <v>0</v>
      </c>
      <c r="CL53" s="646">
        <v>0</v>
      </c>
      <c r="CM53" s="646" t="e">
        <v>#REF!</v>
      </c>
      <c r="CN53" s="646">
        <v>0</v>
      </c>
      <c r="CO53" s="646">
        <v>0</v>
      </c>
      <c r="CP53" s="646" t="e">
        <v>#REF!</v>
      </c>
      <c r="CQ53" s="646" t="e">
        <v>#REF!</v>
      </c>
      <c r="CR53" s="647">
        <v>0</v>
      </c>
    </row>
    <row r="54" spans="1:96" ht="18" thickBot="1" x14ac:dyDescent="0.35">
      <c r="A54" s="673">
        <v>0</v>
      </c>
      <c r="B54" s="651" t="e">
        <v>#REF!</v>
      </c>
      <c r="C54" s="651"/>
      <c r="D54" s="652">
        <v>0</v>
      </c>
      <c r="E54" s="653" t="e">
        <v>#REF!</v>
      </c>
      <c r="F54" s="654">
        <v>0</v>
      </c>
      <c r="G54" s="656"/>
      <c r="H54" s="658">
        <v>0</v>
      </c>
      <c r="I54" s="659" t="e">
        <v>#REF!</v>
      </c>
      <c r="J54" s="659">
        <v>0</v>
      </c>
      <c r="K54" s="659">
        <v>0</v>
      </c>
      <c r="L54" s="659" t="e">
        <v>#REF!</v>
      </c>
      <c r="M54" s="659"/>
      <c r="N54" s="660">
        <v>0</v>
      </c>
      <c r="O54" s="659" t="e">
        <v>#REF!</v>
      </c>
      <c r="P54" s="659">
        <v>0</v>
      </c>
      <c r="Q54" s="659">
        <v>0</v>
      </c>
      <c r="R54" s="659" t="e">
        <v>#REF!</v>
      </c>
      <c r="S54" s="654">
        <v>0</v>
      </c>
      <c r="T54" s="656"/>
      <c r="U54" s="658">
        <v>0</v>
      </c>
      <c r="V54" s="659" t="e">
        <v>#REF!</v>
      </c>
      <c r="W54" s="659">
        <v>0</v>
      </c>
      <c r="X54" s="659">
        <v>0</v>
      </c>
      <c r="Y54" s="659" t="e">
        <v>#REF!</v>
      </c>
      <c r="Z54" s="659">
        <v>0</v>
      </c>
      <c r="AA54" s="659">
        <v>0</v>
      </c>
      <c r="AB54" s="659" t="e">
        <v>#REF!</v>
      </c>
      <c r="AC54" s="659"/>
      <c r="AD54" s="660">
        <v>0</v>
      </c>
      <c r="AE54" s="659" t="e">
        <v>#REF!</v>
      </c>
      <c r="AF54" s="659">
        <v>0</v>
      </c>
      <c r="AG54" s="659">
        <v>0</v>
      </c>
      <c r="AH54" s="659" t="e">
        <v>#REF!</v>
      </c>
      <c r="AI54" s="659">
        <v>0</v>
      </c>
      <c r="AJ54" s="659">
        <v>0</v>
      </c>
      <c r="AK54" s="659">
        <v>0</v>
      </c>
      <c r="AL54" s="654">
        <v>0</v>
      </c>
      <c r="AM54" s="656"/>
      <c r="AN54" s="664">
        <v>0</v>
      </c>
      <c r="AO54" s="659" t="e">
        <v>#REF!</v>
      </c>
      <c r="AP54" s="659">
        <v>0</v>
      </c>
      <c r="AQ54" s="659">
        <v>0</v>
      </c>
      <c r="AR54" s="659" t="e">
        <v>#REF!</v>
      </c>
      <c r="AS54" s="659">
        <v>0</v>
      </c>
      <c r="AT54" s="659">
        <v>0</v>
      </c>
      <c r="AU54" s="665">
        <v>0</v>
      </c>
      <c r="AV54" s="665">
        <v>0</v>
      </c>
      <c r="AW54" s="665">
        <v>0</v>
      </c>
      <c r="AX54" s="666" t="e">
        <v>#REF!</v>
      </c>
      <c r="AY54" s="665"/>
      <c r="AZ54" s="667">
        <v>0</v>
      </c>
      <c r="BA54" s="665" t="e">
        <v>#REF!</v>
      </c>
      <c r="BB54" s="665">
        <v>0</v>
      </c>
      <c r="BC54" s="665">
        <v>0</v>
      </c>
      <c r="BD54" s="665" t="e">
        <v>#REF!</v>
      </c>
      <c r="BE54" s="665">
        <v>0</v>
      </c>
      <c r="BF54" s="665">
        <v>0</v>
      </c>
      <c r="BG54" s="665">
        <v>0</v>
      </c>
      <c r="BH54" s="665">
        <v>0</v>
      </c>
      <c r="BI54" s="665">
        <v>0</v>
      </c>
      <c r="BJ54" s="665" t="e">
        <v>#REF!</v>
      </c>
      <c r="BK54" s="654">
        <v>0</v>
      </c>
      <c r="BL54" s="646"/>
      <c r="BM54" s="669">
        <v>0</v>
      </c>
      <c r="BN54" s="665" t="e">
        <v>#REF!</v>
      </c>
      <c r="BO54" s="665">
        <v>0</v>
      </c>
      <c r="BP54" s="665">
        <v>0</v>
      </c>
      <c r="BQ54" s="665" t="e">
        <v>#REF!</v>
      </c>
      <c r="BR54" s="665">
        <v>0</v>
      </c>
      <c r="BS54" s="665">
        <v>0</v>
      </c>
      <c r="BT54" s="665">
        <v>0</v>
      </c>
      <c r="BU54" s="665">
        <v>0</v>
      </c>
      <c r="BV54" s="665">
        <v>0</v>
      </c>
      <c r="BW54" s="665" t="e">
        <v>#REF!</v>
      </c>
      <c r="BX54" s="665">
        <v>0</v>
      </c>
      <c r="BY54" s="665">
        <v>0</v>
      </c>
      <c r="BZ54" s="665" t="e">
        <v>#REF!</v>
      </c>
      <c r="CA54" s="665" t="e">
        <v>#REF!</v>
      </c>
      <c r="CB54" s="665"/>
      <c r="CC54" s="667">
        <v>0</v>
      </c>
      <c r="CD54" s="665" t="e">
        <v>#REF!</v>
      </c>
      <c r="CE54" s="665">
        <v>0</v>
      </c>
      <c r="CF54" s="665">
        <v>0</v>
      </c>
      <c r="CG54" s="665" t="e">
        <v>#REF!</v>
      </c>
      <c r="CH54" s="665">
        <v>0</v>
      </c>
      <c r="CI54" s="665">
        <v>0</v>
      </c>
      <c r="CJ54" s="665">
        <v>0</v>
      </c>
      <c r="CK54" s="665">
        <v>0</v>
      </c>
      <c r="CL54" s="665">
        <v>0</v>
      </c>
      <c r="CM54" s="665" t="e">
        <v>#REF!</v>
      </c>
      <c r="CN54" s="665">
        <v>0</v>
      </c>
      <c r="CO54" s="665">
        <v>0</v>
      </c>
      <c r="CP54" s="665" t="e">
        <v>#REF!</v>
      </c>
      <c r="CQ54" s="665" t="e">
        <v>#REF!</v>
      </c>
      <c r="CR54" s="654">
        <v>0</v>
      </c>
    </row>
    <row r="57" spans="1:96" ht="29.25" thickBot="1" x14ac:dyDescent="0.5">
      <c r="A57" s="546" t="str">
        <f>+WeeklyPerformanceReport!A52</f>
        <v>June</v>
      </c>
      <c r="B57" s="545"/>
      <c r="C57" s="545"/>
      <c r="D57" s="545"/>
      <c r="E57" s="545"/>
      <c r="F57" s="545"/>
      <c r="G57" s="545"/>
      <c r="H57" s="545"/>
      <c r="I57" s="545"/>
      <c r="J57" s="545"/>
      <c r="K57" s="545"/>
      <c r="L57" s="545"/>
      <c r="M57" s="545"/>
      <c r="N57" s="545"/>
      <c r="O57" s="545"/>
      <c r="P57" s="545"/>
      <c r="Q57" s="545"/>
      <c r="R57" s="545"/>
      <c r="S57" s="545"/>
      <c r="T57" s="545"/>
      <c r="U57" s="545"/>
      <c r="V57" s="545"/>
      <c r="W57" s="545"/>
      <c r="X57" s="545"/>
      <c r="Y57" s="545"/>
      <c r="Z57" s="545"/>
      <c r="AA57" s="545"/>
      <c r="AB57" s="545"/>
      <c r="AC57" s="545"/>
      <c r="AD57" s="545"/>
      <c r="AE57" s="545"/>
      <c r="AF57" s="545"/>
      <c r="AG57" s="545"/>
      <c r="AH57" s="545"/>
      <c r="AI57" s="545"/>
      <c r="AJ57" s="545"/>
      <c r="AK57" s="545"/>
      <c r="AL57" s="545"/>
      <c r="AM57" s="545"/>
      <c r="AN57" s="545"/>
      <c r="AO57" s="545"/>
      <c r="AP57" s="545"/>
      <c r="AQ57" s="545"/>
      <c r="AR57" s="545"/>
      <c r="AS57" s="545"/>
      <c r="AT57" s="545"/>
      <c r="AU57" s="545"/>
      <c r="AV57" s="545"/>
      <c r="AW57" s="545"/>
      <c r="AX57" s="545"/>
      <c r="AY57" s="545"/>
      <c r="AZ57" s="545"/>
      <c r="BA57" s="545"/>
      <c r="BB57" s="545"/>
      <c r="BC57" s="545"/>
      <c r="BD57" s="545"/>
      <c r="BE57" s="545"/>
      <c r="BF57" s="545"/>
      <c r="BG57" s="545"/>
      <c r="BH57" s="545"/>
      <c r="BI57" s="545"/>
      <c r="BJ57" s="545"/>
      <c r="BK57" s="545"/>
      <c r="BL57" s="545"/>
      <c r="BM57" s="545"/>
      <c r="BN57" s="545"/>
      <c r="BO57" s="545"/>
      <c r="BP57" s="545"/>
      <c r="BQ57" s="545"/>
      <c r="BR57" s="545"/>
      <c r="BS57" s="545"/>
      <c r="BT57" s="545"/>
      <c r="BU57" s="545"/>
      <c r="BV57" s="545"/>
      <c r="BW57" s="545"/>
      <c r="BX57" s="545"/>
      <c r="BY57" s="545"/>
      <c r="BZ57" s="545"/>
      <c r="CA57" s="545"/>
      <c r="CB57" s="545"/>
      <c r="CC57" s="545"/>
      <c r="CD57" s="545"/>
      <c r="CE57" s="545"/>
      <c r="CF57" s="545"/>
      <c r="CG57" s="545"/>
      <c r="CH57" s="545"/>
      <c r="CI57" s="545"/>
      <c r="CJ57" s="545"/>
      <c r="CK57" s="545"/>
      <c r="CL57" s="545"/>
      <c r="CM57" s="545"/>
      <c r="CN57" s="545"/>
      <c r="CO57" s="545"/>
      <c r="CP57" s="545"/>
      <c r="CQ57" s="545"/>
      <c r="CR57" s="545"/>
    </row>
    <row r="58" spans="1:96" ht="21.75" thickBot="1" x14ac:dyDescent="0.35">
      <c r="A58" s="961" t="s">
        <v>69</v>
      </c>
      <c r="B58" s="962"/>
      <c r="C58" s="962"/>
      <c r="D58" s="962"/>
      <c r="E58" s="962"/>
      <c r="F58" s="963"/>
      <c r="G58" s="627"/>
      <c r="H58" s="961" t="s">
        <v>71</v>
      </c>
      <c r="I58" s="962"/>
      <c r="J58" s="962"/>
      <c r="K58" s="962"/>
      <c r="L58" s="962"/>
      <c r="M58" s="962"/>
      <c r="N58" s="962"/>
      <c r="O58" s="962"/>
      <c r="P58" s="962"/>
      <c r="Q58" s="962"/>
      <c r="R58" s="962"/>
      <c r="S58" s="963"/>
      <c r="T58" s="627"/>
      <c r="U58" s="961" t="s">
        <v>72</v>
      </c>
      <c r="V58" s="962"/>
      <c r="W58" s="962"/>
      <c r="X58" s="962"/>
      <c r="Y58" s="962"/>
      <c r="Z58" s="962"/>
      <c r="AA58" s="962"/>
      <c r="AB58" s="962"/>
      <c r="AC58" s="962"/>
      <c r="AD58" s="962"/>
      <c r="AE58" s="962"/>
      <c r="AF58" s="962"/>
      <c r="AG58" s="962"/>
      <c r="AH58" s="962"/>
      <c r="AI58" s="962"/>
      <c r="AJ58" s="962"/>
      <c r="AK58" s="962"/>
      <c r="AL58" s="963"/>
      <c r="AM58" s="627"/>
      <c r="AN58" s="961" t="s">
        <v>73</v>
      </c>
      <c r="AO58" s="962"/>
      <c r="AP58" s="962"/>
      <c r="AQ58" s="962"/>
      <c r="AR58" s="962"/>
      <c r="AS58" s="962"/>
      <c r="AT58" s="962"/>
      <c r="AU58" s="962"/>
      <c r="AV58" s="962"/>
      <c r="AW58" s="962"/>
      <c r="AX58" s="962"/>
      <c r="AY58" s="962"/>
      <c r="AZ58" s="962"/>
      <c r="BA58" s="962"/>
      <c r="BB58" s="962"/>
      <c r="BC58" s="962"/>
      <c r="BD58" s="962"/>
      <c r="BE58" s="962"/>
      <c r="BF58" s="962"/>
      <c r="BG58" s="962"/>
      <c r="BH58" s="962"/>
      <c r="BI58" s="962"/>
      <c r="BJ58" s="962"/>
      <c r="BK58" s="963"/>
      <c r="BM58" s="745" t="s">
        <v>110</v>
      </c>
      <c r="BN58" s="746"/>
      <c r="BO58" s="746"/>
      <c r="BP58" s="746"/>
      <c r="BQ58" s="746"/>
      <c r="BR58" s="746"/>
      <c r="BS58" s="746"/>
      <c r="BT58" s="746"/>
      <c r="BU58" s="746"/>
      <c r="BV58" s="746"/>
      <c r="BW58" s="746"/>
      <c r="BX58" s="746"/>
      <c r="BY58" s="746"/>
      <c r="BZ58" s="746"/>
      <c r="CA58" s="746"/>
      <c r="CB58" s="746"/>
      <c r="CC58" s="746"/>
      <c r="CD58" s="746"/>
      <c r="CE58" s="746"/>
      <c r="CF58" s="746"/>
      <c r="CG58" s="746"/>
      <c r="CH58" s="746"/>
      <c r="CI58" s="746"/>
      <c r="CJ58" s="746"/>
      <c r="CK58" s="746"/>
      <c r="CL58" s="746"/>
      <c r="CM58" s="746"/>
      <c r="CN58" s="746"/>
      <c r="CO58" s="746"/>
      <c r="CP58" s="746"/>
      <c r="CQ58" s="746"/>
      <c r="CR58" s="747"/>
    </row>
    <row r="59" spans="1:96" ht="26.25" x14ac:dyDescent="0.4">
      <c r="A59" s="967" t="s">
        <v>111</v>
      </c>
      <c r="B59" s="968"/>
      <c r="C59" s="539"/>
      <c r="D59" s="969" t="s">
        <v>16</v>
      </c>
      <c r="E59" s="969"/>
      <c r="F59" s="970"/>
      <c r="G59" s="625"/>
      <c r="H59" s="538" t="s">
        <v>111</v>
      </c>
      <c r="I59" s="539"/>
      <c r="J59" s="540"/>
      <c r="K59" s="540"/>
      <c r="L59" s="540"/>
      <c r="M59" s="625"/>
      <c r="N59" s="969" t="s">
        <v>16</v>
      </c>
      <c r="O59" s="969"/>
      <c r="P59" s="969"/>
      <c r="Q59" s="969"/>
      <c r="R59" s="969"/>
      <c r="S59" s="970"/>
      <c r="T59" s="625"/>
      <c r="U59" s="964" t="s">
        <v>111</v>
      </c>
      <c r="V59" s="965"/>
      <c r="W59" s="965"/>
      <c r="X59" s="965"/>
      <c r="Y59" s="965"/>
      <c r="Z59" s="965"/>
      <c r="AA59" s="965"/>
      <c r="AB59" s="965"/>
      <c r="AC59" s="543"/>
      <c r="AD59" s="965" t="s">
        <v>16</v>
      </c>
      <c r="AE59" s="965"/>
      <c r="AF59" s="965"/>
      <c r="AG59" s="965"/>
      <c r="AH59" s="965"/>
      <c r="AI59" s="965"/>
      <c r="AJ59" s="965"/>
      <c r="AK59" s="965"/>
      <c r="AL59" s="966"/>
      <c r="AM59" s="541"/>
      <c r="AN59" s="964" t="s">
        <v>111</v>
      </c>
      <c r="AO59" s="965"/>
      <c r="AP59" s="965"/>
      <c r="AQ59" s="965"/>
      <c r="AR59" s="965"/>
      <c r="AS59" s="965"/>
      <c r="AT59" s="965"/>
      <c r="AU59" s="965"/>
      <c r="AV59" s="965"/>
      <c r="AW59" s="965"/>
      <c r="AX59" s="965"/>
      <c r="AY59" s="21"/>
      <c r="AZ59" s="965" t="s">
        <v>16</v>
      </c>
      <c r="BA59" s="965"/>
      <c r="BB59" s="965"/>
      <c r="BC59" s="965"/>
      <c r="BD59" s="965"/>
      <c r="BE59" s="965"/>
      <c r="BF59" s="965"/>
      <c r="BG59" s="965"/>
      <c r="BH59" s="965"/>
      <c r="BI59" s="965"/>
      <c r="BJ59" s="965"/>
      <c r="BK59" s="966"/>
      <c r="BL59" s="617"/>
      <c r="BM59" s="964" t="s">
        <v>111</v>
      </c>
      <c r="BN59" s="965"/>
      <c r="BO59" s="965"/>
      <c r="BP59" s="965"/>
      <c r="BQ59" s="965"/>
      <c r="BR59" s="965"/>
      <c r="BS59" s="965"/>
      <c r="BT59" s="965"/>
      <c r="BU59" s="965"/>
      <c r="BV59" s="965"/>
      <c r="BW59" s="965"/>
      <c r="BX59" s="965"/>
      <c r="BY59" s="965"/>
      <c r="BZ59" s="965"/>
      <c r="CA59" s="965"/>
      <c r="CB59" s="21"/>
      <c r="CC59" s="543" t="s">
        <v>16</v>
      </c>
      <c r="CD59" s="543"/>
      <c r="CE59" s="543"/>
      <c r="CF59" s="543"/>
      <c r="CG59" s="543"/>
      <c r="CH59" s="543"/>
      <c r="CI59" s="543"/>
      <c r="CJ59" s="543"/>
      <c r="CK59" s="544"/>
      <c r="CL59" s="21"/>
      <c r="CM59" s="21"/>
      <c r="CN59" s="21"/>
      <c r="CO59" s="21"/>
      <c r="CP59" s="21"/>
      <c r="CQ59" s="21"/>
      <c r="CR59" s="22"/>
    </row>
    <row r="60" spans="1:96" x14ac:dyDescent="0.25">
      <c r="A60" s="58"/>
      <c r="F60" s="24"/>
      <c r="H60" s="58"/>
      <c r="S60" s="24"/>
      <c r="U60" s="58"/>
      <c r="AL60" s="24"/>
      <c r="AN60" s="58"/>
      <c r="BK60" s="24"/>
      <c r="BM60" s="58"/>
      <c r="CR60" s="24"/>
    </row>
    <row r="61" spans="1:96" ht="17.25" x14ac:dyDescent="0.3">
      <c r="A61" s="674" cm="1">
        <f t="array" ref="A61:B72">_xlfn.SORTBY(WeeklyPerformanceReport!A55:B66,WeeklyPerformanceReport!B55:B66)</f>
        <v>0</v>
      </c>
      <c r="B61" s="644" t="e">
        <v>#REF!</v>
      </c>
      <c r="C61" s="644"/>
      <c r="D61" s="677" cm="1">
        <f t="array" ref="D61:F72">_xlfn.SORTBY(WeeklyPerformanceReport!A55:C66,WeeklyPerformanceReport!C55:C66)</f>
        <v>0</v>
      </c>
      <c r="E61" s="646" t="e">
        <v>#REF!</v>
      </c>
      <c r="F61" s="647">
        <v>0</v>
      </c>
      <c r="G61" s="656"/>
      <c r="H61" s="655" cm="1">
        <f t="array" ref="H61:L72">_xlfn.SORTBY(WeeklyPerformanceReport!A55:E66,WeeklyPerformanceReport!E55:E66)</f>
        <v>0</v>
      </c>
      <c r="I61" s="656" t="e">
        <v>#REF!</v>
      </c>
      <c r="J61" s="656">
        <v>0</v>
      </c>
      <c r="K61" s="656">
        <v>0</v>
      </c>
      <c r="L61" s="656">
        <v>0</v>
      </c>
      <c r="M61" s="656"/>
      <c r="N61" s="657" cm="1">
        <f t="array" ref="N61:S72">_xlfn.SORTBY(WeeklyPerformanceReport!A55:F66,WeeklyPerformanceReport!F55:F66)</f>
        <v>0</v>
      </c>
      <c r="O61" s="656" t="e">
        <v>#REF!</v>
      </c>
      <c r="P61" s="656">
        <v>0</v>
      </c>
      <c r="Q61" s="656">
        <v>0</v>
      </c>
      <c r="R61" s="656" t="e">
        <v>#REF!</v>
      </c>
      <c r="S61" s="647">
        <v>0</v>
      </c>
      <c r="T61" s="656"/>
      <c r="U61" s="655" cm="1">
        <f t="array" ref="U61:AB72">_xlfn.SORTBY(WeeklyPerformanceReport!A55:H66,WeeklyPerformanceReport!H55:H66)</f>
        <v>0</v>
      </c>
      <c r="V61" s="656" t="e">
        <v>#REF!</v>
      </c>
      <c r="W61" s="656">
        <v>0</v>
      </c>
      <c r="X61" s="656">
        <v>0</v>
      </c>
      <c r="Y61" s="656">
        <v>0</v>
      </c>
      <c r="Z61" s="656">
        <v>0</v>
      </c>
      <c r="AA61" s="656">
        <v>0</v>
      </c>
      <c r="AB61" s="656">
        <v>0</v>
      </c>
      <c r="AC61" s="656"/>
      <c r="AD61" s="657" cm="1">
        <f t="array" ref="AD61:AL72">_xlfn.SORTBY(WeeklyPerformanceReport!A55:I66,WeeklyPerformanceReport!I55:I66)</f>
        <v>0</v>
      </c>
      <c r="AE61" s="656" t="e">
        <v>#REF!</v>
      </c>
      <c r="AF61" s="656">
        <v>0</v>
      </c>
      <c r="AG61" s="656">
        <v>0</v>
      </c>
      <c r="AH61" s="656" t="e">
        <v>#REF!</v>
      </c>
      <c r="AI61" s="656">
        <v>0</v>
      </c>
      <c r="AJ61" s="656">
        <v>0</v>
      </c>
      <c r="AK61" s="656" t="e">
        <v>#REF!</v>
      </c>
      <c r="AL61" s="647">
        <v>0</v>
      </c>
      <c r="AM61" s="656"/>
      <c r="AN61" s="661" cm="1">
        <f t="array" aca="1" ref="AN61:AX72" ca="1">_xlfn.SORTBY(WeeklyPerformanceReport!A55:K66,WeeklyPerformanceReport!K55:K66)</f>
        <v>0</v>
      </c>
      <c r="AO61" s="656" t="e">
        <f ca="1"/>
        <v>#REF!</v>
      </c>
      <c r="AP61" s="656">
        <f ca="1"/>
        <v>0</v>
      </c>
      <c r="AQ61" s="656">
        <f ca="1"/>
        <v>0</v>
      </c>
      <c r="AR61" s="656">
        <f ca="1"/>
        <v>0</v>
      </c>
      <c r="AS61" s="656">
        <f ca="1"/>
        <v>0</v>
      </c>
      <c r="AT61" s="656">
        <f ca="1"/>
        <v>0</v>
      </c>
      <c r="AU61" s="646">
        <f ca="1"/>
        <v>0</v>
      </c>
      <c r="AV61" s="646">
        <f ca="1"/>
        <v>0</v>
      </c>
      <c r="AW61" s="646">
        <f ca="1"/>
        <v>0</v>
      </c>
      <c r="AX61" s="662">
        <f ca="1"/>
        <v>0</v>
      </c>
      <c r="AY61" s="646"/>
      <c r="AZ61" s="663" cm="1">
        <f t="array" aca="1" ref="AZ61:BK72" ca="1">_xlfn.SORTBY(WeeklyPerformanceReport!A55:L66,WeeklyPerformanceReport!L55:L66)</f>
        <v>0</v>
      </c>
      <c r="BA61" s="646" t="e">
        <f ca="1"/>
        <v>#REF!</v>
      </c>
      <c r="BB61" s="646">
        <f ca="1"/>
        <v>0</v>
      </c>
      <c r="BC61" s="646">
        <f ca="1"/>
        <v>0</v>
      </c>
      <c r="BD61" s="646" t="e">
        <f ca="1"/>
        <v>#REF!</v>
      </c>
      <c r="BE61" s="646">
        <f ca="1"/>
        <v>0</v>
      </c>
      <c r="BF61" s="646">
        <f ca="1"/>
        <v>0</v>
      </c>
      <c r="BG61" s="646" t="e">
        <f ca="1"/>
        <v>#REF!</v>
      </c>
      <c r="BH61" s="646">
        <f ca="1"/>
        <v>0</v>
      </c>
      <c r="BI61" s="646">
        <f ca="1"/>
        <v>0</v>
      </c>
      <c r="BJ61" s="646" t="e">
        <f ca="1"/>
        <v>#REF!</v>
      </c>
      <c r="BK61" s="647">
        <f ca="1"/>
        <v>0</v>
      </c>
      <c r="BL61" s="646"/>
      <c r="BM61" s="668" cm="1">
        <f t="array" aca="1" ref="BM61:CA72" ca="1">_xlfn.SORTBY(WeeklyPerformanceReport!A55:O66,WeeklyPerformanceReport!O55:O66)</f>
        <v>0</v>
      </c>
      <c r="BN61" s="646" t="e">
        <f ca="1"/>
        <v>#REF!</v>
      </c>
      <c r="BO61" s="646">
        <f ca="1"/>
        <v>0</v>
      </c>
      <c r="BP61" s="646">
        <f ca="1"/>
        <v>0</v>
      </c>
      <c r="BQ61" s="646" t="e">
        <f ca="1"/>
        <v>#REF!</v>
      </c>
      <c r="BR61" s="646">
        <f ca="1"/>
        <v>0</v>
      </c>
      <c r="BS61" s="646">
        <f ca="1"/>
        <v>0</v>
      </c>
      <c r="BT61" s="646" t="e">
        <f ca="1"/>
        <v>#REF!</v>
      </c>
      <c r="BU61" s="646">
        <f ca="1"/>
        <v>0</v>
      </c>
      <c r="BV61" s="646">
        <f ca="1"/>
        <v>0</v>
      </c>
      <c r="BW61" s="646" t="e">
        <f ca="1"/>
        <v>#REF!</v>
      </c>
      <c r="BX61" s="646">
        <f ca="1"/>
        <v>0</v>
      </c>
      <c r="BY61" s="646">
        <f ca="1"/>
        <v>0</v>
      </c>
      <c r="BZ61" s="646" t="e">
        <f ca="1"/>
        <v>#REF!</v>
      </c>
      <c r="CA61" s="646" t="e">
        <f ca="1"/>
        <v>#REF!</v>
      </c>
      <c r="CB61" s="646"/>
      <c r="CC61" s="670" cm="1">
        <f t="array" aca="1" ref="CC61:CR72" ca="1">_xlfn.SORTBY(WeeklyPerformanceReport!A55:P66,WeeklyPerformanceReport!P55:P66)</f>
        <v>0</v>
      </c>
      <c r="CD61" s="646" t="e">
        <f ca="1"/>
        <v>#REF!</v>
      </c>
      <c r="CE61" s="646">
        <f ca="1"/>
        <v>0</v>
      </c>
      <c r="CF61" s="646">
        <f ca="1"/>
        <v>0</v>
      </c>
      <c r="CG61" s="646" t="e">
        <f ca="1"/>
        <v>#REF!</v>
      </c>
      <c r="CH61" s="646">
        <f ca="1"/>
        <v>0</v>
      </c>
      <c r="CI61" s="646">
        <f ca="1"/>
        <v>0</v>
      </c>
      <c r="CJ61" s="646" t="e">
        <f ca="1"/>
        <v>#REF!</v>
      </c>
      <c r="CK61" s="646">
        <f ca="1"/>
        <v>0</v>
      </c>
      <c r="CL61" s="646">
        <f ca="1"/>
        <v>0</v>
      </c>
      <c r="CM61" s="646" t="e">
        <f ca="1"/>
        <v>#REF!</v>
      </c>
      <c r="CN61" s="646">
        <f ca="1"/>
        <v>0</v>
      </c>
      <c r="CO61" s="646">
        <f ca="1"/>
        <v>0</v>
      </c>
      <c r="CP61" s="646" t="e">
        <f ca="1"/>
        <v>#REF!</v>
      </c>
      <c r="CQ61" s="646" t="e">
        <f ca="1"/>
        <v>#REF!</v>
      </c>
      <c r="CR61" s="647">
        <f ca="1"/>
        <v>0</v>
      </c>
    </row>
    <row r="62" spans="1:96" ht="17.25" x14ac:dyDescent="0.3">
      <c r="A62" s="675">
        <v>0</v>
      </c>
      <c r="B62" s="648" t="e">
        <v>#REF!</v>
      </c>
      <c r="C62" s="648"/>
      <c r="D62" s="677">
        <v>0</v>
      </c>
      <c r="E62" s="649" t="e">
        <v>#REF!</v>
      </c>
      <c r="F62" s="647">
        <v>0</v>
      </c>
      <c r="G62" s="656"/>
      <c r="H62" s="655">
        <v>0</v>
      </c>
      <c r="I62" s="656" t="e">
        <v>#REF!</v>
      </c>
      <c r="J62" s="656">
        <v>0</v>
      </c>
      <c r="K62" s="656">
        <v>0</v>
      </c>
      <c r="L62" s="656">
        <v>0</v>
      </c>
      <c r="M62" s="656"/>
      <c r="N62" s="657">
        <v>0</v>
      </c>
      <c r="O62" s="656" t="e">
        <v>#REF!</v>
      </c>
      <c r="P62" s="656">
        <v>0</v>
      </c>
      <c r="Q62" s="656">
        <v>0</v>
      </c>
      <c r="R62" s="656" t="e">
        <v>#REF!</v>
      </c>
      <c r="S62" s="647">
        <v>0</v>
      </c>
      <c r="T62" s="656"/>
      <c r="U62" s="655">
        <v>0</v>
      </c>
      <c r="V62" s="656" t="e">
        <v>#REF!</v>
      </c>
      <c r="W62" s="656">
        <v>0</v>
      </c>
      <c r="X62" s="656">
        <v>0</v>
      </c>
      <c r="Y62" s="656">
        <v>0</v>
      </c>
      <c r="Z62" s="656">
        <v>0</v>
      </c>
      <c r="AA62" s="656">
        <v>0</v>
      </c>
      <c r="AB62" s="656">
        <v>0</v>
      </c>
      <c r="AC62" s="656"/>
      <c r="AD62" s="657">
        <v>0</v>
      </c>
      <c r="AE62" s="656" t="e">
        <v>#REF!</v>
      </c>
      <c r="AF62" s="656">
        <v>0</v>
      </c>
      <c r="AG62" s="656">
        <v>0</v>
      </c>
      <c r="AH62" s="656" t="e">
        <v>#REF!</v>
      </c>
      <c r="AI62" s="656">
        <v>0</v>
      </c>
      <c r="AJ62" s="656">
        <v>0</v>
      </c>
      <c r="AK62" s="656" t="e">
        <v>#REF!</v>
      </c>
      <c r="AL62" s="647">
        <v>0</v>
      </c>
      <c r="AM62" s="656"/>
      <c r="AN62" s="661">
        <f ca="1"/>
        <v>0</v>
      </c>
      <c r="AO62" s="656" t="e">
        <f ca="1"/>
        <v>#REF!</v>
      </c>
      <c r="AP62" s="656">
        <f ca="1"/>
        <v>0</v>
      </c>
      <c r="AQ62" s="656">
        <f ca="1"/>
        <v>0</v>
      </c>
      <c r="AR62" s="656">
        <f ca="1"/>
        <v>0</v>
      </c>
      <c r="AS62" s="656">
        <f ca="1"/>
        <v>0</v>
      </c>
      <c r="AT62" s="656">
        <f ca="1"/>
        <v>0</v>
      </c>
      <c r="AU62" s="646">
        <f ca="1"/>
        <v>0</v>
      </c>
      <c r="AV62" s="646">
        <f ca="1"/>
        <v>0</v>
      </c>
      <c r="AW62" s="646">
        <f ca="1"/>
        <v>0</v>
      </c>
      <c r="AX62" s="662">
        <f ca="1"/>
        <v>0</v>
      </c>
      <c r="AY62" s="646"/>
      <c r="AZ62" s="663">
        <f ca="1"/>
        <v>0</v>
      </c>
      <c r="BA62" s="646" t="e">
        <f ca="1"/>
        <v>#REF!</v>
      </c>
      <c r="BB62" s="646">
        <f ca="1"/>
        <v>0</v>
      </c>
      <c r="BC62" s="646">
        <f ca="1"/>
        <v>0</v>
      </c>
      <c r="BD62" s="646" t="e">
        <f ca="1"/>
        <v>#REF!</v>
      </c>
      <c r="BE62" s="646">
        <f ca="1"/>
        <v>0</v>
      </c>
      <c r="BF62" s="646">
        <f ca="1"/>
        <v>0</v>
      </c>
      <c r="BG62" s="646" t="e">
        <f ca="1"/>
        <v>#REF!</v>
      </c>
      <c r="BH62" s="646">
        <f ca="1"/>
        <v>0</v>
      </c>
      <c r="BI62" s="646">
        <f ca="1"/>
        <v>0</v>
      </c>
      <c r="BJ62" s="646" t="e">
        <f ca="1"/>
        <v>#REF!</v>
      </c>
      <c r="BK62" s="647">
        <f ca="1"/>
        <v>0</v>
      </c>
      <c r="BL62" s="646"/>
      <c r="BM62" s="668">
        <f ca="1"/>
        <v>0</v>
      </c>
      <c r="BN62" s="646" t="e">
        <f ca="1"/>
        <v>#REF!</v>
      </c>
      <c r="BO62" s="646">
        <f ca="1"/>
        <v>0</v>
      </c>
      <c r="BP62" s="646">
        <f ca="1"/>
        <v>0</v>
      </c>
      <c r="BQ62" s="646" t="e">
        <f ca="1"/>
        <v>#REF!</v>
      </c>
      <c r="BR62" s="646">
        <f ca="1"/>
        <v>0</v>
      </c>
      <c r="BS62" s="646">
        <f ca="1"/>
        <v>0</v>
      </c>
      <c r="BT62" s="646" t="e">
        <f ca="1"/>
        <v>#REF!</v>
      </c>
      <c r="BU62" s="646">
        <f ca="1"/>
        <v>0</v>
      </c>
      <c r="BV62" s="646">
        <f ca="1"/>
        <v>0</v>
      </c>
      <c r="BW62" s="646" t="e">
        <f ca="1"/>
        <v>#REF!</v>
      </c>
      <c r="BX62" s="646">
        <f ca="1"/>
        <v>0</v>
      </c>
      <c r="BY62" s="646">
        <f ca="1"/>
        <v>0</v>
      </c>
      <c r="BZ62" s="646" t="e">
        <f ca="1"/>
        <v>#REF!</v>
      </c>
      <c r="CA62" s="646" t="e">
        <f ca="1"/>
        <v>#REF!</v>
      </c>
      <c r="CB62" s="646"/>
      <c r="CC62" s="663">
        <f ca="1"/>
        <v>0</v>
      </c>
      <c r="CD62" s="646" t="e">
        <f ca="1"/>
        <v>#REF!</v>
      </c>
      <c r="CE62" s="646">
        <f ca="1"/>
        <v>0</v>
      </c>
      <c r="CF62" s="646">
        <f ca="1"/>
        <v>0</v>
      </c>
      <c r="CG62" s="646" t="e">
        <f ca="1"/>
        <v>#REF!</v>
      </c>
      <c r="CH62" s="646">
        <f ca="1"/>
        <v>0</v>
      </c>
      <c r="CI62" s="646">
        <f ca="1"/>
        <v>0</v>
      </c>
      <c r="CJ62" s="646" t="e">
        <f ca="1"/>
        <v>#REF!</v>
      </c>
      <c r="CK62" s="646">
        <f ca="1"/>
        <v>0</v>
      </c>
      <c r="CL62" s="646">
        <f ca="1"/>
        <v>0</v>
      </c>
      <c r="CM62" s="646" t="e">
        <f ca="1"/>
        <v>#REF!</v>
      </c>
      <c r="CN62" s="646">
        <f ca="1"/>
        <v>0</v>
      </c>
      <c r="CO62" s="646">
        <f ca="1"/>
        <v>0</v>
      </c>
      <c r="CP62" s="646" t="e">
        <f ca="1"/>
        <v>#REF!</v>
      </c>
      <c r="CQ62" s="646" t="e">
        <f ca="1"/>
        <v>#REF!</v>
      </c>
      <c r="CR62" s="647">
        <f ca="1"/>
        <v>0</v>
      </c>
    </row>
    <row r="63" spans="1:96" ht="17.25" x14ac:dyDescent="0.3">
      <c r="A63" s="675">
        <v>0</v>
      </c>
      <c r="B63" s="648" t="e">
        <v>#REF!</v>
      </c>
      <c r="C63" s="648"/>
      <c r="D63" s="677">
        <v>0</v>
      </c>
      <c r="E63" s="649" t="e">
        <v>#REF!</v>
      </c>
      <c r="F63" s="647">
        <v>0</v>
      </c>
      <c r="G63" s="656"/>
      <c r="H63" s="655">
        <v>0</v>
      </c>
      <c r="I63" s="656" t="e">
        <v>#REF!</v>
      </c>
      <c r="J63" s="656">
        <v>0</v>
      </c>
      <c r="K63" s="656">
        <v>0</v>
      </c>
      <c r="L63" s="656">
        <v>0</v>
      </c>
      <c r="M63" s="656"/>
      <c r="N63" s="657">
        <v>0</v>
      </c>
      <c r="O63" s="656" t="e">
        <v>#REF!</v>
      </c>
      <c r="P63" s="656">
        <v>0</v>
      </c>
      <c r="Q63" s="656">
        <v>0</v>
      </c>
      <c r="R63" s="656">
        <v>0</v>
      </c>
      <c r="S63" s="647">
        <v>0</v>
      </c>
      <c r="T63" s="656"/>
      <c r="U63" s="655">
        <v>0</v>
      </c>
      <c r="V63" s="656" t="e">
        <v>#REF!</v>
      </c>
      <c r="W63" s="656">
        <v>0</v>
      </c>
      <c r="X63" s="656">
        <v>0</v>
      </c>
      <c r="Y63" s="656">
        <v>0</v>
      </c>
      <c r="Z63" s="656">
        <v>0</v>
      </c>
      <c r="AA63" s="656">
        <v>0</v>
      </c>
      <c r="AB63" s="656">
        <v>0</v>
      </c>
      <c r="AC63" s="656"/>
      <c r="AD63" s="657">
        <v>0</v>
      </c>
      <c r="AE63" s="656" t="e">
        <v>#REF!</v>
      </c>
      <c r="AF63" s="656">
        <v>0</v>
      </c>
      <c r="AG63" s="656">
        <v>0</v>
      </c>
      <c r="AH63" s="656">
        <v>0</v>
      </c>
      <c r="AI63" s="656">
        <v>0</v>
      </c>
      <c r="AJ63" s="656">
        <v>0</v>
      </c>
      <c r="AK63" s="656" t="e">
        <v>#REF!</v>
      </c>
      <c r="AL63" s="647">
        <v>0</v>
      </c>
      <c r="AM63" s="656"/>
      <c r="AN63" s="661">
        <f ca="1"/>
        <v>0</v>
      </c>
      <c r="AO63" s="656" t="e">
        <f ca="1"/>
        <v>#REF!</v>
      </c>
      <c r="AP63" s="656">
        <f ca="1"/>
        <v>0</v>
      </c>
      <c r="AQ63" s="656">
        <f ca="1"/>
        <v>0</v>
      </c>
      <c r="AR63" s="656">
        <f ca="1"/>
        <v>0</v>
      </c>
      <c r="AS63" s="656">
        <f ca="1"/>
        <v>0</v>
      </c>
      <c r="AT63" s="656">
        <f ca="1"/>
        <v>0</v>
      </c>
      <c r="AU63" s="646">
        <f ca="1"/>
        <v>0</v>
      </c>
      <c r="AV63" s="646">
        <f ca="1"/>
        <v>0</v>
      </c>
      <c r="AW63" s="646">
        <f ca="1"/>
        <v>0</v>
      </c>
      <c r="AX63" s="662">
        <f ca="1"/>
        <v>0</v>
      </c>
      <c r="AY63" s="646"/>
      <c r="AZ63" s="663">
        <f ca="1"/>
        <v>0</v>
      </c>
      <c r="BA63" s="646" t="e">
        <f ca="1"/>
        <v>#REF!</v>
      </c>
      <c r="BB63" s="646">
        <f ca="1"/>
        <v>0</v>
      </c>
      <c r="BC63" s="646">
        <f ca="1"/>
        <v>0</v>
      </c>
      <c r="BD63" s="646">
        <f ca="1"/>
        <v>0</v>
      </c>
      <c r="BE63" s="646">
        <f ca="1"/>
        <v>0</v>
      </c>
      <c r="BF63" s="646">
        <f ca="1"/>
        <v>0</v>
      </c>
      <c r="BG63" s="646" t="e">
        <f ca="1"/>
        <v>#REF!</v>
      </c>
      <c r="BH63" s="646">
        <f ca="1"/>
        <v>0</v>
      </c>
      <c r="BI63" s="646">
        <f ca="1"/>
        <v>0</v>
      </c>
      <c r="BJ63" s="646" t="e">
        <f ca="1"/>
        <v>#REF!</v>
      </c>
      <c r="BK63" s="647">
        <f ca="1"/>
        <v>0</v>
      </c>
      <c r="BL63" s="646"/>
      <c r="BM63" s="668">
        <f ca="1"/>
        <v>0</v>
      </c>
      <c r="BN63" s="646" t="e">
        <f ca="1"/>
        <v>#REF!</v>
      </c>
      <c r="BO63" s="646">
        <f ca="1"/>
        <v>0</v>
      </c>
      <c r="BP63" s="646">
        <f ca="1"/>
        <v>0</v>
      </c>
      <c r="BQ63" s="646">
        <f ca="1"/>
        <v>0</v>
      </c>
      <c r="BR63" s="646">
        <f ca="1"/>
        <v>0</v>
      </c>
      <c r="BS63" s="646">
        <f ca="1"/>
        <v>0</v>
      </c>
      <c r="BT63" s="646" t="e">
        <f ca="1"/>
        <v>#REF!</v>
      </c>
      <c r="BU63" s="646">
        <f ca="1"/>
        <v>0</v>
      </c>
      <c r="BV63" s="646">
        <f ca="1"/>
        <v>0</v>
      </c>
      <c r="BW63" s="646" t="e">
        <f ca="1"/>
        <v>#REF!</v>
      </c>
      <c r="BX63" s="646">
        <f ca="1"/>
        <v>0</v>
      </c>
      <c r="BY63" s="646">
        <f ca="1"/>
        <v>0</v>
      </c>
      <c r="BZ63" s="646" t="e">
        <f ca="1"/>
        <v>#REF!</v>
      </c>
      <c r="CA63" s="646" t="e">
        <f ca="1"/>
        <v>#REF!</v>
      </c>
      <c r="CB63" s="646"/>
      <c r="CC63" s="663">
        <f ca="1"/>
        <v>0</v>
      </c>
      <c r="CD63" s="646" t="e">
        <f ca="1"/>
        <v>#REF!</v>
      </c>
      <c r="CE63" s="646">
        <f ca="1"/>
        <v>0</v>
      </c>
      <c r="CF63" s="646">
        <f ca="1"/>
        <v>0</v>
      </c>
      <c r="CG63" s="646">
        <f ca="1"/>
        <v>0</v>
      </c>
      <c r="CH63" s="646">
        <f ca="1"/>
        <v>0</v>
      </c>
      <c r="CI63" s="646">
        <f ca="1"/>
        <v>0</v>
      </c>
      <c r="CJ63" s="646" t="e">
        <f ca="1"/>
        <v>#REF!</v>
      </c>
      <c r="CK63" s="646">
        <f ca="1"/>
        <v>0</v>
      </c>
      <c r="CL63" s="646">
        <f ca="1"/>
        <v>0</v>
      </c>
      <c r="CM63" s="646" t="e">
        <f ca="1"/>
        <v>#REF!</v>
      </c>
      <c r="CN63" s="646">
        <f ca="1"/>
        <v>0</v>
      </c>
      <c r="CO63" s="646">
        <f ca="1"/>
        <v>0</v>
      </c>
      <c r="CP63" s="646" t="e">
        <f ca="1"/>
        <v>#REF!</v>
      </c>
      <c r="CQ63" s="646" t="e">
        <f ca="1"/>
        <v>#REF!</v>
      </c>
      <c r="CR63" s="647">
        <f ca="1"/>
        <v>0</v>
      </c>
    </row>
    <row r="64" spans="1:96" ht="17.25" x14ac:dyDescent="0.3">
      <c r="A64" s="675">
        <v>0</v>
      </c>
      <c r="B64" s="648" t="e">
        <v>#REF!</v>
      </c>
      <c r="C64" s="648"/>
      <c r="D64" s="677">
        <v>0</v>
      </c>
      <c r="E64" s="649" t="e">
        <v>#REF!</v>
      </c>
      <c r="F64" s="647">
        <v>0</v>
      </c>
      <c r="G64" s="656"/>
      <c r="H64" s="655">
        <v>0</v>
      </c>
      <c r="I64" s="656" t="e">
        <v>#REF!</v>
      </c>
      <c r="J64" s="656">
        <v>0</v>
      </c>
      <c r="K64" s="656">
        <v>0</v>
      </c>
      <c r="L64" s="656">
        <v>0</v>
      </c>
      <c r="M64" s="656"/>
      <c r="N64" s="657">
        <v>0</v>
      </c>
      <c r="O64" s="656" t="e">
        <v>#REF!</v>
      </c>
      <c r="P64" s="656">
        <v>0</v>
      </c>
      <c r="Q64" s="656">
        <v>0</v>
      </c>
      <c r="R64" s="656">
        <v>0</v>
      </c>
      <c r="S64" s="647">
        <v>0</v>
      </c>
      <c r="T64" s="656"/>
      <c r="U64" s="655">
        <v>0</v>
      </c>
      <c r="V64" s="656" t="e">
        <v>#REF!</v>
      </c>
      <c r="W64" s="656">
        <v>0</v>
      </c>
      <c r="X64" s="656">
        <v>0</v>
      </c>
      <c r="Y64" s="656">
        <v>0</v>
      </c>
      <c r="Z64" s="656">
        <v>0</v>
      </c>
      <c r="AA64" s="656">
        <v>0</v>
      </c>
      <c r="AB64" s="656">
        <v>0</v>
      </c>
      <c r="AC64" s="656"/>
      <c r="AD64" s="657">
        <v>0</v>
      </c>
      <c r="AE64" s="656" t="e">
        <v>#REF!</v>
      </c>
      <c r="AF64" s="656">
        <v>0</v>
      </c>
      <c r="AG64" s="656">
        <v>0</v>
      </c>
      <c r="AH64" s="656">
        <v>0</v>
      </c>
      <c r="AI64" s="656">
        <v>0</v>
      </c>
      <c r="AJ64" s="656">
        <v>0</v>
      </c>
      <c r="AK64" s="656">
        <v>0</v>
      </c>
      <c r="AL64" s="647">
        <v>0</v>
      </c>
      <c r="AM64" s="656"/>
      <c r="AN64" s="661">
        <f ca="1"/>
        <v>0</v>
      </c>
      <c r="AO64" s="656" t="e">
        <f ca="1"/>
        <v>#REF!</v>
      </c>
      <c r="AP64" s="656">
        <f ca="1"/>
        <v>0</v>
      </c>
      <c r="AQ64" s="656">
        <f ca="1"/>
        <v>0</v>
      </c>
      <c r="AR64" s="656">
        <f ca="1"/>
        <v>0</v>
      </c>
      <c r="AS64" s="656">
        <f ca="1"/>
        <v>0</v>
      </c>
      <c r="AT64" s="656">
        <f ca="1"/>
        <v>0</v>
      </c>
      <c r="AU64" s="646">
        <f ca="1"/>
        <v>0</v>
      </c>
      <c r="AV64" s="646">
        <f ca="1"/>
        <v>0</v>
      </c>
      <c r="AW64" s="646">
        <f ca="1"/>
        <v>0</v>
      </c>
      <c r="AX64" s="662">
        <f ca="1"/>
        <v>0</v>
      </c>
      <c r="AY64" s="646"/>
      <c r="AZ64" s="663">
        <f ca="1"/>
        <v>0</v>
      </c>
      <c r="BA64" s="646" t="e">
        <f ca="1"/>
        <v>#REF!</v>
      </c>
      <c r="BB64" s="646">
        <f ca="1"/>
        <v>0</v>
      </c>
      <c r="BC64" s="646">
        <f ca="1"/>
        <v>0</v>
      </c>
      <c r="BD64" s="646">
        <f ca="1"/>
        <v>0</v>
      </c>
      <c r="BE64" s="646">
        <f ca="1"/>
        <v>0</v>
      </c>
      <c r="BF64" s="646">
        <f ca="1"/>
        <v>0</v>
      </c>
      <c r="BG64" s="646">
        <f ca="1"/>
        <v>0</v>
      </c>
      <c r="BH64" s="646">
        <f ca="1"/>
        <v>0</v>
      </c>
      <c r="BI64" s="646">
        <f ca="1"/>
        <v>0</v>
      </c>
      <c r="BJ64" s="646">
        <f ca="1"/>
        <v>0</v>
      </c>
      <c r="BK64" s="647">
        <f ca="1"/>
        <v>0</v>
      </c>
      <c r="BL64" s="646"/>
      <c r="BM64" s="668">
        <f ca="1"/>
        <v>0</v>
      </c>
      <c r="BN64" s="646" t="e">
        <f ca="1"/>
        <v>#REF!</v>
      </c>
      <c r="BO64" s="646">
        <f ca="1"/>
        <v>0</v>
      </c>
      <c r="BP64" s="646">
        <f ca="1"/>
        <v>0</v>
      </c>
      <c r="BQ64" s="646">
        <f ca="1"/>
        <v>0</v>
      </c>
      <c r="BR64" s="646">
        <f ca="1"/>
        <v>0</v>
      </c>
      <c r="BS64" s="646">
        <f ca="1"/>
        <v>0</v>
      </c>
      <c r="BT64" s="646">
        <f ca="1"/>
        <v>0</v>
      </c>
      <c r="BU64" s="646">
        <f ca="1"/>
        <v>0</v>
      </c>
      <c r="BV64" s="646">
        <f ca="1"/>
        <v>0</v>
      </c>
      <c r="BW64" s="646">
        <f ca="1"/>
        <v>0</v>
      </c>
      <c r="BX64" s="646">
        <f ca="1"/>
        <v>0</v>
      </c>
      <c r="BY64" s="646">
        <f ca="1"/>
        <v>0</v>
      </c>
      <c r="BZ64" s="646" t="e">
        <f ca="1"/>
        <v>#REF!</v>
      </c>
      <c r="CA64" s="646" t="e">
        <f ca="1"/>
        <v>#REF!</v>
      </c>
      <c r="CB64" s="646"/>
      <c r="CC64" s="663">
        <f ca="1"/>
        <v>0</v>
      </c>
      <c r="CD64" s="646" t="e">
        <f ca="1"/>
        <v>#REF!</v>
      </c>
      <c r="CE64" s="646">
        <f ca="1"/>
        <v>0</v>
      </c>
      <c r="CF64" s="646">
        <f ca="1"/>
        <v>0</v>
      </c>
      <c r="CG64" s="646">
        <f ca="1"/>
        <v>0</v>
      </c>
      <c r="CH64" s="646">
        <f ca="1"/>
        <v>0</v>
      </c>
      <c r="CI64" s="646">
        <f ca="1"/>
        <v>0</v>
      </c>
      <c r="CJ64" s="646">
        <f ca="1"/>
        <v>0</v>
      </c>
      <c r="CK64" s="646">
        <f ca="1"/>
        <v>0</v>
      </c>
      <c r="CL64" s="646">
        <f ca="1"/>
        <v>0</v>
      </c>
      <c r="CM64" s="646">
        <f ca="1"/>
        <v>0</v>
      </c>
      <c r="CN64" s="646">
        <f ca="1"/>
        <v>0</v>
      </c>
      <c r="CO64" s="646">
        <f ca="1"/>
        <v>0</v>
      </c>
      <c r="CP64" s="646" t="e">
        <f ca="1"/>
        <v>#REF!</v>
      </c>
      <c r="CQ64" s="646" t="e">
        <f ca="1"/>
        <v>#REF!</v>
      </c>
      <c r="CR64" s="647">
        <f ca="1"/>
        <v>0</v>
      </c>
    </row>
    <row r="65" spans="1:96" ht="17.25" x14ac:dyDescent="0.3">
      <c r="A65" s="675">
        <v>0</v>
      </c>
      <c r="B65" s="648" t="e">
        <v>#REF!</v>
      </c>
      <c r="C65" s="648"/>
      <c r="D65" s="677">
        <v>0</v>
      </c>
      <c r="E65" s="649" t="e">
        <v>#REF!</v>
      </c>
      <c r="F65" s="647">
        <v>0</v>
      </c>
      <c r="G65" s="656"/>
      <c r="H65" s="655">
        <v>0</v>
      </c>
      <c r="I65" s="656" t="e">
        <v>#REF!</v>
      </c>
      <c r="J65" s="656">
        <v>0</v>
      </c>
      <c r="K65" s="656">
        <v>0</v>
      </c>
      <c r="L65" s="656">
        <v>0</v>
      </c>
      <c r="M65" s="656"/>
      <c r="N65" s="657">
        <v>0</v>
      </c>
      <c r="O65" s="656" t="e">
        <v>#REF!</v>
      </c>
      <c r="P65" s="656">
        <v>0</v>
      </c>
      <c r="Q65" s="656">
        <v>0</v>
      </c>
      <c r="R65" s="656">
        <v>0</v>
      </c>
      <c r="S65" s="647">
        <v>0</v>
      </c>
      <c r="T65" s="656"/>
      <c r="U65" s="655">
        <v>0</v>
      </c>
      <c r="V65" s="656" t="e">
        <v>#REF!</v>
      </c>
      <c r="W65" s="656">
        <v>0</v>
      </c>
      <c r="X65" s="656">
        <v>0</v>
      </c>
      <c r="Y65" s="656">
        <v>0</v>
      </c>
      <c r="Z65" s="656">
        <v>0</v>
      </c>
      <c r="AA65" s="656">
        <v>0</v>
      </c>
      <c r="AB65" s="656">
        <v>0</v>
      </c>
      <c r="AC65" s="656"/>
      <c r="AD65" s="657">
        <v>0</v>
      </c>
      <c r="AE65" s="656" t="e">
        <v>#REF!</v>
      </c>
      <c r="AF65" s="656">
        <v>0</v>
      </c>
      <c r="AG65" s="656">
        <v>0</v>
      </c>
      <c r="AH65" s="656">
        <v>0</v>
      </c>
      <c r="AI65" s="656">
        <v>0</v>
      </c>
      <c r="AJ65" s="656">
        <v>0</v>
      </c>
      <c r="AK65" s="656">
        <v>0</v>
      </c>
      <c r="AL65" s="647">
        <v>0</v>
      </c>
      <c r="AM65" s="656"/>
      <c r="AN65" s="661">
        <f ca="1"/>
        <v>0</v>
      </c>
      <c r="AO65" s="656" t="e">
        <f ca="1"/>
        <v>#REF!</v>
      </c>
      <c r="AP65" s="656">
        <f ca="1"/>
        <v>0</v>
      </c>
      <c r="AQ65" s="656">
        <f ca="1"/>
        <v>0</v>
      </c>
      <c r="AR65" s="656">
        <f ca="1"/>
        <v>0</v>
      </c>
      <c r="AS65" s="656">
        <f ca="1"/>
        <v>0</v>
      </c>
      <c r="AT65" s="656">
        <f ca="1"/>
        <v>0</v>
      </c>
      <c r="AU65" s="646">
        <f ca="1"/>
        <v>0</v>
      </c>
      <c r="AV65" s="646">
        <f ca="1"/>
        <v>0</v>
      </c>
      <c r="AW65" s="646">
        <f ca="1"/>
        <v>0</v>
      </c>
      <c r="AX65" s="662">
        <f ca="1"/>
        <v>0</v>
      </c>
      <c r="AY65" s="646"/>
      <c r="AZ65" s="663">
        <f ca="1"/>
        <v>0</v>
      </c>
      <c r="BA65" s="646" t="e">
        <f ca="1"/>
        <v>#REF!</v>
      </c>
      <c r="BB65" s="646">
        <f ca="1"/>
        <v>0</v>
      </c>
      <c r="BC65" s="646">
        <f ca="1"/>
        <v>0</v>
      </c>
      <c r="BD65" s="646">
        <f ca="1"/>
        <v>0</v>
      </c>
      <c r="BE65" s="646">
        <f ca="1"/>
        <v>0</v>
      </c>
      <c r="BF65" s="646">
        <f ca="1"/>
        <v>0</v>
      </c>
      <c r="BG65" s="646">
        <f ca="1"/>
        <v>0</v>
      </c>
      <c r="BH65" s="646">
        <f ca="1"/>
        <v>0</v>
      </c>
      <c r="BI65" s="646">
        <f ca="1"/>
        <v>0</v>
      </c>
      <c r="BJ65" s="646">
        <f ca="1"/>
        <v>0</v>
      </c>
      <c r="BK65" s="647">
        <f ca="1"/>
        <v>0</v>
      </c>
      <c r="BL65" s="646"/>
      <c r="BM65" s="668">
        <f ca="1"/>
        <v>0</v>
      </c>
      <c r="BN65" s="646" t="e">
        <f ca="1"/>
        <v>#REF!</v>
      </c>
      <c r="BO65" s="646">
        <f ca="1"/>
        <v>0</v>
      </c>
      <c r="BP65" s="646">
        <f ca="1"/>
        <v>0</v>
      </c>
      <c r="BQ65" s="646">
        <f ca="1"/>
        <v>0</v>
      </c>
      <c r="BR65" s="646">
        <f ca="1"/>
        <v>0</v>
      </c>
      <c r="BS65" s="646">
        <f ca="1"/>
        <v>0</v>
      </c>
      <c r="BT65" s="646">
        <f ca="1"/>
        <v>0</v>
      </c>
      <c r="BU65" s="646">
        <f ca="1"/>
        <v>0</v>
      </c>
      <c r="BV65" s="646">
        <f ca="1"/>
        <v>0</v>
      </c>
      <c r="BW65" s="646">
        <f ca="1"/>
        <v>0</v>
      </c>
      <c r="BX65" s="646">
        <f ca="1"/>
        <v>0</v>
      </c>
      <c r="BY65" s="646">
        <f ca="1"/>
        <v>0</v>
      </c>
      <c r="BZ65" s="646" t="e">
        <f ca="1"/>
        <v>#REF!</v>
      </c>
      <c r="CA65" s="646" t="e">
        <f ca="1"/>
        <v>#REF!</v>
      </c>
      <c r="CB65" s="646"/>
      <c r="CC65" s="663">
        <f ca="1"/>
        <v>0</v>
      </c>
      <c r="CD65" s="646" t="e">
        <f ca="1"/>
        <v>#REF!</v>
      </c>
      <c r="CE65" s="646">
        <f ca="1"/>
        <v>0</v>
      </c>
      <c r="CF65" s="646">
        <f ca="1"/>
        <v>0</v>
      </c>
      <c r="CG65" s="646">
        <f ca="1"/>
        <v>0</v>
      </c>
      <c r="CH65" s="646">
        <f ca="1"/>
        <v>0</v>
      </c>
      <c r="CI65" s="646">
        <f ca="1"/>
        <v>0</v>
      </c>
      <c r="CJ65" s="646">
        <f ca="1"/>
        <v>0</v>
      </c>
      <c r="CK65" s="646">
        <f ca="1"/>
        <v>0</v>
      </c>
      <c r="CL65" s="646">
        <f ca="1"/>
        <v>0</v>
      </c>
      <c r="CM65" s="646">
        <f ca="1"/>
        <v>0</v>
      </c>
      <c r="CN65" s="646">
        <f ca="1"/>
        <v>0</v>
      </c>
      <c r="CO65" s="646">
        <f ca="1"/>
        <v>0</v>
      </c>
      <c r="CP65" s="646" t="e">
        <f ca="1"/>
        <v>#REF!</v>
      </c>
      <c r="CQ65" s="646" t="e">
        <f ca="1"/>
        <v>#REF!</v>
      </c>
      <c r="CR65" s="647">
        <f ca="1"/>
        <v>0</v>
      </c>
    </row>
    <row r="66" spans="1:96" ht="17.25" x14ac:dyDescent="0.3">
      <c r="A66" s="675">
        <v>0</v>
      </c>
      <c r="B66" s="648" t="e">
        <v>#REF!</v>
      </c>
      <c r="C66" s="648"/>
      <c r="D66" s="677">
        <v>0</v>
      </c>
      <c r="E66" s="649" t="e">
        <v>#REF!</v>
      </c>
      <c r="F66" s="647">
        <v>0</v>
      </c>
      <c r="G66" s="656"/>
      <c r="H66" s="655">
        <v>0</v>
      </c>
      <c r="I66" s="656" t="e">
        <v>#REF!</v>
      </c>
      <c r="J66" s="656">
        <v>0</v>
      </c>
      <c r="K66" s="656">
        <v>0</v>
      </c>
      <c r="L66" s="656">
        <v>0</v>
      </c>
      <c r="M66" s="656"/>
      <c r="N66" s="657">
        <v>0</v>
      </c>
      <c r="O66" s="656" t="e">
        <v>#REF!</v>
      </c>
      <c r="P66" s="656">
        <v>0</v>
      </c>
      <c r="Q66" s="656">
        <v>0</v>
      </c>
      <c r="R66" s="656">
        <v>0</v>
      </c>
      <c r="S66" s="647">
        <v>0</v>
      </c>
      <c r="T66" s="656"/>
      <c r="U66" s="655">
        <v>0</v>
      </c>
      <c r="V66" s="656" t="e">
        <v>#REF!</v>
      </c>
      <c r="W66" s="656">
        <v>0</v>
      </c>
      <c r="X66" s="656">
        <v>0</v>
      </c>
      <c r="Y66" s="656">
        <v>0</v>
      </c>
      <c r="Z66" s="656">
        <v>0</v>
      </c>
      <c r="AA66" s="656">
        <v>0</v>
      </c>
      <c r="AB66" s="656">
        <v>0</v>
      </c>
      <c r="AC66" s="656"/>
      <c r="AD66" s="657">
        <v>0</v>
      </c>
      <c r="AE66" s="656" t="e">
        <v>#REF!</v>
      </c>
      <c r="AF66" s="656">
        <v>0</v>
      </c>
      <c r="AG66" s="656">
        <v>0</v>
      </c>
      <c r="AH66" s="656">
        <v>0</v>
      </c>
      <c r="AI66" s="656">
        <v>0</v>
      </c>
      <c r="AJ66" s="656">
        <v>0</v>
      </c>
      <c r="AK66" s="656">
        <v>0</v>
      </c>
      <c r="AL66" s="647">
        <v>0</v>
      </c>
      <c r="AM66" s="656"/>
      <c r="AN66" s="661">
        <f ca="1"/>
        <v>0</v>
      </c>
      <c r="AO66" s="656" t="e">
        <f ca="1"/>
        <v>#REF!</v>
      </c>
      <c r="AP66" s="656">
        <f ca="1"/>
        <v>0</v>
      </c>
      <c r="AQ66" s="656">
        <f ca="1"/>
        <v>0</v>
      </c>
      <c r="AR66" s="656">
        <f ca="1"/>
        <v>0</v>
      </c>
      <c r="AS66" s="656">
        <f ca="1"/>
        <v>0</v>
      </c>
      <c r="AT66" s="656">
        <f ca="1"/>
        <v>0</v>
      </c>
      <c r="AU66" s="646">
        <f ca="1"/>
        <v>0</v>
      </c>
      <c r="AV66" s="646">
        <f ca="1"/>
        <v>0</v>
      </c>
      <c r="AW66" s="646">
        <f ca="1"/>
        <v>0</v>
      </c>
      <c r="AX66" s="662">
        <f ca="1"/>
        <v>0</v>
      </c>
      <c r="AY66" s="646"/>
      <c r="AZ66" s="663">
        <f ca="1"/>
        <v>0</v>
      </c>
      <c r="BA66" s="646" t="e">
        <f ca="1"/>
        <v>#REF!</v>
      </c>
      <c r="BB66" s="646">
        <f ca="1"/>
        <v>0</v>
      </c>
      <c r="BC66" s="646">
        <f ca="1"/>
        <v>0</v>
      </c>
      <c r="BD66" s="646">
        <f ca="1"/>
        <v>0</v>
      </c>
      <c r="BE66" s="646">
        <f ca="1"/>
        <v>0</v>
      </c>
      <c r="BF66" s="646">
        <f ca="1"/>
        <v>0</v>
      </c>
      <c r="BG66" s="646">
        <f ca="1"/>
        <v>0</v>
      </c>
      <c r="BH66" s="646">
        <f ca="1"/>
        <v>0</v>
      </c>
      <c r="BI66" s="646">
        <f ca="1"/>
        <v>0</v>
      </c>
      <c r="BJ66" s="646">
        <f ca="1"/>
        <v>0</v>
      </c>
      <c r="BK66" s="647">
        <f ca="1"/>
        <v>0</v>
      </c>
      <c r="BL66" s="646"/>
      <c r="BM66" s="668">
        <f ca="1"/>
        <v>0</v>
      </c>
      <c r="BN66" s="646" t="e">
        <f ca="1"/>
        <v>#REF!</v>
      </c>
      <c r="BO66" s="646">
        <f ca="1"/>
        <v>0</v>
      </c>
      <c r="BP66" s="646">
        <f ca="1"/>
        <v>0</v>
      </c>
      <c r="BQ66" s="646">
        <f ca="1"/>
        <v>0</v>
      </c>
      <c r="BR66" s="646">
        <f ca="1"/>
        <v>0</v>
      </c>
      <c r="BS66" s="646">
        <f ca="1"/>
        <v>0</v>
      </c>
      <c r="BT66" s="646">
        <f ca="1"/>
        <v>0</v>
      </c>
      <c r="BU66" s="646">
        <f ca="1"/>
        <v>0</v>
      </c>
      <c r="BV66" s="646">
        <f ca="1"/>
        <v>0</v>
      </c>
      <c r="BW66" s="646">
        <f ca="1"/>
        <v>0</v>
      </c>
      <c r="BX66" s="646">
        <f ca="1"/>
        <v>0</v>
      </c>
      <c r="BY66" s="646">
        <f ca="1"/>
        <v>0</v>
      </c>
      <c r="BZ66" s="646" t="e">
        <f ca="1"/>
        <v>#REF!</v>
      </c>
      <c r="CA66" s="646" t="e">
        <f ca="1"/>
        <v>#REF!</v>
      </c>
      <c r="CB66" s="646"/>
      <c r="CC66" s="663">
        <f ca="1"/>
        <v>0</v>
      </c>
      <c r="CD66" s="646" t="e">
        <f ca="1"/>
        <v>#REF!</v>
      </c>
      <c r="CE66" s="646">
        <f ca="1"/>
        <v>0</v>
      </c>
      <c r="CF66" s="646">
        <f ca="1"/>
        <v>0</v>
      </c>
      <c r="CG66" s="646">
        <f ca="1"/>
        <v>0</v>
      </c>
      <c r="CH66" s="646">
        <f ca="1"/>
        <v>0</v>
      </c>
      <c r="CI66" s="646">
        <f ca="1"/>
        <v>0</v>
      </c>
      <c r="CJ66" s="646">
        <f ca="1"/>
        <v>0</v>
      </c>
      <c r="CK66" s="646">
        <f ca="1"/>
        <v>0</v>
      </c>
      <c r="CL66" s="646">
        <f ca="1"/>
        <v>0</v>
      </c>
      <c r="CM66" s="646">
        <f ca="1"/>
        <v>0</v>
      </c>
      <c r="CN66" s="646">
        <f ca="1"/>
        <v>0</v>
      </c>
      <c r="CO66" s="646">
        <f ca="1"/>
        <v>0</v>
      </c>
      <c r="CP66" s="646" t="e">
        <f ca="1"/>
        <v>#REF!</v>
      </c>
      <c r="CQ66" s="646" t="e">
        <f ca="1"/>
        <v>#REF!</v>
      </c>
      <c r="CR66" s="647">
        <f ca="1"/>
        <v>0</v>
      </c>
    </row>
    <row r="67" spans="1:96" ht="17.25" x14ac:dyDescent="0.3">
      <c r="A67" s="675">
        <v>0</v>
      </c>
      <c r="B67" s="648" t="e">
        <v>#REF!</v>
      </c>
      <c r="C67" s="648"/>
      <c r="D67" s="677">
        <v>0</v>
      </c>
      <c r="E67" s="649" t="e">
        <v>#REF!</v>
      </c>
      <c r="F67" s="647">
        <v>0</v>
      </c>
      <c r="G67" s="656"/>
      <c r="H67" s="655">
        <v>0</v>
      </c>
      <c r="I67" s="656" t="e">
        <v>#REF!</v>
      </c>
      <c r="J67" s="656">
        <v>0</v>
      </c>
      <c r="K67" s="656">
        <v>0</v>
      </c>
      <c r="L67" s="656">
        <v>0</v>
      </c>
      <c r="M67" s="656"/>
      <c r="N67" s="657">
        <v>0</v>
      </c>
      <c r="O67" s="656" t="e">
        <v>#REF!</v>
      </c>
      <c r="P67" s="656">
        <v>0</v>
      </c>
      <c r="Q67" s="656">
        <v>0</v>
      </c>
      <c r="R67" s="656">
        <v>0</v>
      </c>
      <c r="S67" s="647">
        <v>0</v>
      </c>
      <c r="T67" s="656"/>
      <c r="U67" s="655">
        <v>0</v>
      </c>
      <c r="V67" s="656" t="e">
        <v>#REF!</v>
      </c>
      <c r="W67" s="656">
        <v>0</v>
      </c>
      <c r="X67" s="656">
        <v>0</v>
      </c>
      <c r="Y67" s="656">
        <v>0</v>
      </c>
      <c r="Z67" s="656">
        <v>0</v>
      </c>
      <c r="AA67" s="656">
        <v>0</v>
      </c>
      <c r="AB67" s="656">
        <v>0</v>
      </c>
      <c r="AC67" s="656"/>
      <c r="AD67" s="657">
        <v>0</v>
      </c>
      <c r="AE67" s="656" t="e">
        <v>#REF!</v>
      </c>
      <c r="AF67" s="656">
        <v>0</v>
      </c>
      <c r="AG67" s="656">
        <v>0</v>
      </c>
      <c r="AH67" s="656">
        <v>0</v>
      </c>
      <c r="AI67" s="656">
        <v>0</v>
      </c>
      <c r="AJ67" s="656">
        <v>0</v>
      </c>
      <c r="AK67" s="656">
        <v>0</v>
      </c>
      <c r="AL67" s="647">
        <v>0</v>
      </c>
      <c r="AM67" s="656"/>
      <c r="AN67" s="661">
        <f ca="1"/>
        <v>0</v>
      </c>
      <c r="AO67" s="656" t="e">
        <f ca="1"/>
        <v>#REF!</v>
      </c>
      <c r="AP67" s="656">
        <f ca="1"/>
        <v>0</v>
      </c>
      <c r="AQ67" s="656">
        <f ca="1"/>
        <v>0</v>
      </c>
      <c r="AR67" s="656">
        <f ca="1"/>
        <v>0</v>
      </c>
      <c r="AS67" s="656">
        <f ca="1"/>
        <v>0</v>
      </c>
      <c r="AT67" s="656">
        <f ca="1"/>
        <v>0</v>
      </c>
      <c r="AU67" s="646">
        <f ca="1"/>
        <v>0</v>
      </c>
      <c r="AV67" s="646">
        <f ca="1"/>
        <v>0</v>
      </c>
      <c r="AW67" s="646">
        <f ca="1"/>
        <v>0</v>
      </c>
      <c r="AX67" s="662">
        <f ca="1"/>
        <v>0</v>
      </c>
      <c r="AY67" s="646"/>
      <c r="AZ67" s="663">
        <f ca="1"/>
        <v>0</v>
      </c>
      <c r="BA67" s="646" t="e">
        <f ca="1"/>
        <v>#REF!</v>
      </c>
      <c r="BB67" s="646">
        <f ca="1"/>
        <v>0</v>
      </c>
      <c r="BC67" s="646">
        <f ca="1"/>
        <v>0</v>
      </c>
      <c r="BD67" s="646">
        <f ca="1"/>
        <v>0</v>
      </c>
      <c r="BE67" s="646">
        <f ca="1"/>
        <v>0</v>
      </c>
      <c r="BF67" s="646">
        <f ca="1"/>
        <v>0</v>
      </c>
      <c r="BG67" s="646">
        <f ca="1"/>
        <v>0</v>
      </c>
      <c r="BH67" s="646">
        <f ca="1"/>
        <v>0</v>
      </c>
      <c r="BI67" s="646">
        <f ca="1"/>
        <v>0</v>
      </c>
      <c r="BJ67" s="646">
        <f ca="1"/>
        <v>0</v>
      </c>
      <c r="BK67" s="647">
        <f ca="1"/>
        <v>0</v>
      </c>
      <c r="BL67" s="646"/>
      <c r="BM67" s="668">
        <f ca="1"/>
        <v>0</v>
      </c>
      <c r="BN67" s="646" t="e">
        <f ca="1"/>
        <v>#REF!</v>
      </c>
      <c r="BO67" s="646">
        <f ca="1"/>
        <v>0</v>
      </c>
      <c r="BP67" s="646">
        <f ca="1"/>
        <v>0</v>
      </c>
      <c r="BQ67" s="646">
        <f ca="1"/>
        <v>0</v>
      </c>
      <c r="BR67" s="646">
        <f ca="1"/>
        <v>0</v>
      </c>
      <c r="BS67" s="646">
        <f ca="1"/>
        <v>0</v>
      </c>
      <c r="BT67" s="646">
        <f ca="1"/>
        <v>0</v>
      </c>
      <c r="BU67" s="646">
        <f ca="1"/>
        <v>0</v>
      </c>
      <c r="BV67" s="646">
        <f ca="1"/>
        <v>0</v>
      </c>
      <c r="BW67" s="646">
        <f ca="1"/>
        <v>0</v>
      </c>
      <c r="BX67" s="646">
        <f ca="1"/>
        <v>0</v>
      </c>
      <c r="BY67" s="646">
        <f ca="1"/>
        <v>0</v>
      </c>
      <c r="BZ67" s="646" t="e">
        <f ca="1"/>
        <v>#REF!</v>
      </c>
      <c r="CA67" s="646" t="e">
        <f ca="1"/>
        <v>#REF!</v>
      </c>
      <c r="CB67" s="646"/>
      <c r="CC67" s="663">
        <f ca="1"/>
        <v>0</v>
      </c>
      <c r="CD67" s="646" t="e">
        <f ca="1"/>
        <v>#REF!</v>
      </c>
      <c r="CE67" s="646">
        <f ca="1"/>
        <v>0</v>
      </c>
      <c r="CF67" s="646">
        <f ca="1"/>
        <v>0</v>
      </c>
      <c r="CG67" s="646">
        <f ca="1"/>
        <v>0</v>
      </c>
      <c r="CH67" s="646">
        <f ca="1"/>
        <v>0</v>
      </c>
      <c r="CI67" s="646">
        <f ca="1"/>
        <v>0</v>
      </c>
      <c r="CJ67" s="646">
        <f ca="1"/>
        <v>0</v>
      </c>
      <c r="CK67" s="646">
        <f ca="1"/>
        <v>0</v>
      </c>
      <c r="CL67" s="646">
        <f ca="1"/>
        <v>0</v>
      </c>
      <c r="CM67" s="646">
        <f ca="1"/>
        <v>0</v>
      </c>
      <c r="CN67" s="646">
        <f ca="1"/>
        <v>0</v>
      </c>
      <c r="CO67" s="646">
        <f ca="1"/>
        <v>0</v>
      </c>
      <c r="CP67" s="646" t="e">
        <f ca="1"/>
        <v>#REF!</v>
      </c>
      <c r="CQ67" s="646" t="e">
        <f ca="1"/>
        <v>#REF!</v>
      </c>
      <c r="CR67" s="647">
        <f ca="1"/>
        <v>0</v>
      </c>
    </row>
    <row r="68" spans="1:96" ht="17.25" x14ac:dyDescent="0.3">
      <c r="A68" s="675">
        <v>0</v>
      </c>
      <c r="B68" s="648" t="e">
        <v>#REF!</v>
      </c>
      <c r="C68" s="648"/>
      <c r="D68" s="677">
        <v>0</v>
      </c>
      <c r="E68" s="649" t="e">
        <v>#REF!</v>
      </c>
      <c r="F68" s="647">
        <v>0</v>
      </c>
      <c r="G68" s="656"/>
      <c r="H68" s="655">
        <v>0</v>
      </c>
      <c r="I68" s="656" t="e">
        <v>#REF!</v>
      </c>
      <c r="J68" s="656">
        <v>0</v>
      </c>
      <c r="K68" s="656">
        <v>0</v>
      </c>
      <c r="L68" s="656">
        <v>0</v>
      </c>
      <c r="M68" s="656"/>
      <c r="N68" s="657">
        <v>0</v>
      </c>
      <c r="O68" s="656" t="e">
        <v>#REF!</v>
      </c>
      <c r="P68" s="656">
        <v>0</v>
      </c>
      <c r="Q68" s="656">
        <v>0</v>
      </c>
      <c r="R68" s="656">
        <v>0</v>
      </c>
      <c r="S68" s="647">
        <v>0</v>
      </c>
      <c r="T68" s="656"/>
      <c r="U68" s="655">
        <v>0</v>
      </c>
      <c r="V68" s="656" t="e">
        <v>#REF!</v>
      </c>
      <c r="W68" s="656">
        <v>0</v>
      </c>
      <c r="X68" s="656">
        <v>0</v>
      </c>
      <c r="Y68" s="656">
        <v>0</v>
      </c>
      <c r="Z68" s="656">
        <v>0</v>
      </c>
      <c r="AA68" s="656">
        <v>0</v>
      </c>
      <c r="AB68" s="656">
        <v>0</v>
      </c>
      <c r="AC68" s="656"/>
      <c r="AD68" s="657">
        <v>0</v>
      </c>
      <c r="AE68" s="656" t="e">
        <v>#REF!</v>
      </c>
      <c r="AF68" s="656">
        <v>0</v>
      </c>
      <c r="AG68" s="656">
        <v>0</v>
      </c>
      <c r="AH68" s="656">
        <v>0</v>
      </c>
      <c r="AI68" s="656">
        <v>0</v>
      </c>
      <c r="AJ68" s="656">
        <v>0</v>
      </c>
      <c r="AK68" s="656">
        <v>0</v>
      </c>
      <c r="AL68" s="647">
        <v>0</v>
      </c>
      <c r="AM68" s="656"/>
      <c r="AN68" s="661">
        <f ca="1"/>
        <v>0</v>
      </c>
      <c r="AO68" s="656" t="e">
        <f ca="1"/>
        <v>#REF!</v>
      </c>
      <c r="AP68" s="656">
        <f ca="1"/>
        <v>0</v>
      </c>
      <c r="AQ68" s="656">
        <f ca="1"/>
        <v>0</v>
      </c>
      <c r="AR68" s="656">
        <f ca="1"/>
        <v>0</v>
      </c>
      <c r="AS68" s="656">
        <f ca="1"/>
        <v>0</v>
      </c>
      <c r="AT68" s="656">
        <f ca="1"/>
        <v>0</v>
      </c>
      <c r="AU68" s="646">
        <f ca="1"/>
        <v>0</v>
      </c>
      <c r="AV68" s="646">
        <f ca="1"/>
        <v>0</v>
      </c>
      <c r="AW68" s="646">
        <f ca="1"/>
        <v>0</v>
      </c>
      <c r="AX68" s="662">
        <f ca="1"/>
        <v>0</v>
      </c>
      <c r="AY68" s="646"/>
      <c r="AZ68" s="663">
        <f ca="1"/>
        <v>0</v>
      </c>
      <c r="BA68" s="646" t="e">
        <f ca="1"/>
        <v>#REF!</v>
      </c>
      <c r="BB68" s="646">
        <f ca="1"/>
        <v>0</v>
      </c>
      <c r="BC68" s="646">
        <f ca="1"/>
        <v>0</v>
      </c>
      <c r="BD68" s="646">
        <f ca="1"/>
        <v>0</v>
      </c>
      <c r="BE68" s="646">
        <f ca="1"/>
        <v>0</v>
      </c>
      <c r="BF68" s="646">
        <f ca="1"/>
        <v>0</v>
      </c>
      <c r="BG68" s="646">
        <f ca="1"/>
        <v>0</v>
      </c>
      <c r="BH68" s="646">
        <f ca="1"/>
        <v>0</v>
      </c>
      <c r="BI68" s="646">
        <f ca="1"/>
        <v>0</v>
      </c>
      <c r="BJ68" s="646">
        <f ca="1"/>
        <v>0</v>
      </c>
      <c r="BK68" s="647">
        <f ca="1"/>
        <v>0</v>
      </c>
      <c r="BL68" s="646"/>
      <c r="BM68" s="668">
        <f ca="1"/>
        <v>0</v>
      </c>
      <c r="BN68" s="646" t="e">
        <f ca="1"/>
        <v>#REF!</v>
      </c>
      <c r="BO68" s="646">
        <f ca="1"/>
        <v>0</v>
      </c>
      <c r="BP68" s="646">
        <f ca="1"/>
        <v>0</v>
      </c>
      <c r="BQ68" s="646">
        <f ca="1"/>
        <v>0</v>
      </c>
      <c r="BR68" s="646">
        <f ca="1"/>
        <v>0</v>
      </c>
      <c r="BS68" s="646">
        <f ca="1"/>
        <v>0</v>
      </c>
      <c r="BT68" s="646">
        <f ca="1"/>
        <v>0</v>
      </c>
      <c r="BU68" s="646">
        <f ca="1"/>
        <v>0</v>
      </c>
      <c r="BV68" s="646">
        <f ca="1"/>
        <v>0</v>
      </c>
      <c r="BW68" s="646">
        <f ca="1"/>
        <v>0</v>
      </c>
      <c r="BX68" s="646">
        <f ca="1"/>
        <v>0</v>
      </c>
      <c r="BY68" s="646">
        <f ca="1"/>
        <v>0</v>
      </c>
      <c r="BZ68" s="646" t="e">
        <f ca="1"/>
        <v>#REF!</v>
      </c>
      <c r="CA68" s="646" t="e">
        <f ca="1"/>
        <v>#REF!</v>
      </c>
      <c r="CB68" s="646"/>
      <c r="CC68" s="663">
        <f ca="1"/>
        <v>0</v>
      </c>
      <c r="CD68" s="646" t="e">
        <f ca="1"/>
        <v>#REF!</v>
      </c>
      <c r="CE68" s="646">
        <f ca="1"/>
        <v>0</v>
      </c>
      <c r="CF68" s="646">
        <f ca="1"/>
        <v>0</v>
      </c>
      <c r="CG68" s="646">
        <f ca="1"/>
        <v>0</v>
      </c>
      <c r="CH68" s="646">
        <f ca="1"/>
        <v>0</v>
      </c>
      <c r="CI68" s="646">
        <f ca="1"/>
        <v>0</v>
      </c>
      <c r="CJ68" s="646">
        <f ca="1"/>
        <v>0</v>
      </c>
      <c r="CK68" s="646">
        <f ca="1"/>
        <v>0</v>
      </c>
      <c r="CL68" s="646">
        <f ca="1"/>
        <v>0</v>
      </c>
      <c r="CM68" s="646">
        <f ca="1"/>
        <v>0</v>
      </c>
      <c r="CN68" s="646">
        <f ca="1"/>
        <v>0</v>
      </c>
      <c r="CO68" s="646">
        <f ca="1"/>
        <v>0</v>
      </c>
      <c r="CP68" s="646" t="e">
        <f ca="1"/>
        <v>#REF!</v>
      </c>
      <c r="CQ68" s="646" t="e">
        <f ca="1"/>
        <v>#REF!</v>
      </c>
      <c r="CR68" s="647">
        <f ca="1"/>
        <v>0</v>
      </c>
    </row>
    <row r="69" spans="1:96" ht="17.25" x14ac:dyDescent="0.3">
      <c r="A69" s="675">
        <v>0</v>
      </c>
      <c r="B69" s="648" t="e">
        <v>#REF!</v>
      </c>
      <c r="C69" s="648"/>
      <c r="D69" s="677">
        <v>0</v>
      </c>
      <c r="E69" s="649" t="e">
        <v>#REF!</v>
      </c>
      <c r="F69" s="647">
        <v>0</v>
      </c>
      <c r="G69" s="656"/>
      <c r="H69" s="655">
        <v>0</v>
      </c>
      <c r="I69" s="656" t="e">
        <v>#REF!</v>
      </c>
      <c r="J69" s="656">
        <v>0</v>
      </c>
      <c r="K69" s="656">
        <v>0</v>
      </c>
      <c r="L69" s="656">
        <v>0</v>
      </c>
      <c r="M69" s="656"/>
      <c r="N69" s="657">
        <v>0</v>
      </c>
      <c r="O69" s="656" t="e">
        <v>#REF!</v>
      </c>
      <c r="P69" s="656">
        <v>0</v>
      </c>
      <c r="Q69" s="656">
        <v>0</v>
      </c>
      <c r="R69" s="656">
        <v>0</v>
      </c>
      <c r="S69" s="647">
        <v>0</v>
      </c>
      <c r="T69" s="656"/>
      <c r="U69" s="655">
        <v>0</v>
      </c>
      <c r="V69" s="656" t="e">
        <v>#REF!</v>
      </c>
      <c r="W69" s="656">
        <v>0</v>
      </c>
      <c r="X69" s="656">
        <v>0</v>
      </c>
      <c r="Y69" s="656">
        <v>0</v>
      </c>
      <c r="Z69" s="656">
        <v>0</v>
      </c>
      <c r="AA69" s="656">
        <v>0</v>
      </c>
      <c r="AB69" s="656">
        <v>0</v>
      </c>
      <c r="AC69" s="656"/>
      <c r="AD69" s="657">
        <v>0</v>
      </c>
      <c r="AE69" s="656" t="e">
        <v>#REF!</v>
      </c>
      <c r="AF69" s="656">
        <v>0</v>
      </c>
      <c r="AG69" s="656">
        <v>0</v>
      </c>
      <c r="AH69" s="656">
        <v>0</v>
      </c>
      <c r="AI69" s="656">
        <v>0</v>
      </c>
      <c r="AJ69" s="656">
        <v>0</v>
      </c>
      <c r="AK69" s="656">
        <v>0</v>
      </c>
      <c r="AL69" s="647">
        <v>0</v>
      </c>
      <c r="AM69" s="656"/>
      <c r="AN69" s="661">
        <f ca="1"/>
        <v>0</v>
      </c>
      <c r="AO69" s="656" t="e">
        <f ca="1"/>
        <v>#REF!</v>
      </c>
      <c r="AP69" s="656">
        <f ca="1"/>
        <v>0</v>
      </c>
      <c r="AQ69" s="656">
        <f ca="1"/>
        <v>0</v>
      </c>
      <c r="AR69" s="656">
        <f ca="1"/>
        <v>0</v>
      </c>
      <c r="AS69" s="656">
        <f ca="1"/>
        <v>0</v>
      </c>
      <c r="AT69" s="656">
        <f ca="1"/>
        <v>0</v>
      </c>
      <c r="AU69" s="646">
        <f ca="1"/>
        <v>0</v>
      </c>
      <c r="AV69" s="646">
        <f ca="1"/>
        <v>0</v>
      </c>
      <c r="AW69" s="646">
        <f ca="1"/>
        <v>0</v>
      </c>
      <c r="AX69" s="662">
        <f ca="1"/>
        <v>0</v>
      </c>
      <c r="AY69" s="646"/>
      <c r="AZ69" s="663">
        <f ca="1"/>
        <v>0</v>
      </c>
      <c r="BA69" s="646" t="e">
        <f ca="1"/>
        <v>#REF!</v>
      </c>
      <c r="BB69" s="646">
        <f ca="1"/>
        <v>0</v>
      </c>
      <c r="BC69" s="646">
        <f ca="1"/>
        <v>0</v>
      </c>
      <c r="BD69" s="646">
        <f ca="1"/>
        <v>0</v>
      </c>
      <c r="BE69" s="646">
        <f ca="1"/>
        <v>0</v>
      </c>
      <c r="BF69" s="646">
        <f ca="1"/>
        <v>0</v>
      </c>
      <c r="BG69" s="646">
        <f ca="1"/>
        <v>0</v>
      </c>
      <c r="BH69" s="646">
        <f ca="1"/>
        <v>0</v>
      </c>
      <c r="BI69" s="646">
        <f ca="1"/>
        <v>0</v>
      </c>
      <c r="BJ69" s="646">
        <f ca="1"/>
        <v>0</v>
      </c>
      <c r="BK69" s="647">
        <f ca="1"/>
        <v>0</v>
      </c>
      <c r="BL69" s="646"/>
      <c r="BM69" s="668">
        <f ca="1"/>
        <v>0</v>
      </c>
      <c r="BN69" s="646" t="e">
        <f ca="1"/>
        <v>#REF!</v>
      </c>
      <c r="BO69" s="646">
        <f ca="1"/>
        <v>0</v>
      </c>
      <c r="BP69" s="646">
        <f ca="1"/>
        <v>0</v>
      </c>
      <c r="BQ69" s="646">
        <f ca="1"/>
        <v>0</v>
      </c>
      <c r="BR69" s="646">
        <f ca="1"/>
        <v>0</v>
      </c>
      <c r="BS69" s="646">
        <f ca="1"/>
        <v>0</v>
      </c>
      <c r="BT69" s="646">
        <f ca="1"/>
        <v>0</v>
      </c>
      <c r="BU69" s="646">
        <f ca="1"/>
        <v>0</v>
      </c>
      <c r="BV69" s="646">
        <f ca="1"/>
        <v>0</v>
      </c>
      <c r="BW69" s="646">
        <f ca="1"/>
        <v>0</v>
      </c>
      <c r="BX69" s="646">
        <f ca="1"/>
        <v>0</v>
      </c>
      <c r="BY69" s="646">
        <f ca="1"/>
        <v>0</v>
      </c>
      <c r="BZ69" s="646" t="e">
        <f ca="1"/>
        <v>#REF!</v>
      </c>
      <c r="CA69" s="646" t="e">
        <f ca="1"/>
        <v>#REF!</v>
      </c>
      <c r="CB69" s="646"/>
      <c r="CC69" s="663">
        <f ca="1"/>
        <v>0</v>
      </c>
      <c r="CD69" s="646" t="e">
        <f ca="1"/>
        <v>#REF!</v>
      </c>
      <c r="CE69" s="646">
        <f ca="1"/>
        <v>0</v>
      </c>
      <c r="CF69" s="646">
        <f ca="1"/>
        <v>0</v>
      </c>
      <c r="CG69" s="646">
        <f ca="1"/>
        <v>0</v>
      </c>
      <c r="CH69" s="646">
        <f ca="1"/>
        <v>0</v>
      </c>
      <c r="CI69" s="646">
        <f ca="1"/>
        <v>0</v>
      </c>
      <c r="CJ69" s="646">
        <f ca="1"/>
        <v>0</v>
      </c>
      <c r="CK69" s="646">
        <f ca="1"/>
        <v>0</v>
      </c>
      <c r="CL69" s="646">
        <f ca="1"/>
        <v>0</v>
      </c>
      <c r="CM69" s="646">
        <f ca="1"/>
        <v>0</v>
      </c>
      <c r="CN69" s="646">
        <f ca="1"/>
        <v>0</v>
      </c>
      <c r="CO69" s="646">
        <f ca="1"/>
        <v>0</v>
      </c>
      <c r="CP69" s="646" t="e">
        <f ca="1"/>
        <v>#REF!</v>
      </c>
      <c r="CQ69" s="646" t="e">
        <f ca="1"/>
        <v>#REF!</v>
      </c>
      <c r="CR69" s="647">
        <f ca="1"/>
        <v>0</v>
      </c>
    </row>
    <row r="70" spans="1:96" ht="17.25" x14ac:dyDescent="0.3">
      <c r="A70" s="675">
        <v>0</v>
      </c>
      <c r="B70" s="648" t="e">
        <v>#REF!</v>
      </c>
      <c r="C70" s="648"/>
      <c r="D70" s="677">
        <v>0</v>
      </c>
      <c r="E70" s="649" t="e">
        <v>#REF!</v>
      </c>
      <c r="F70" s="647">
        <v>0</v>
      </c>
      <c r="G70" s="656"/>
      <c r="H70" s="655">
        <v>0</v>
      </c>
      <c r="I70" s="656" t="e">
        <v>#REF!</v>
      </c>
      <c r="J70" s="656">
        <v>0</v>
      </c>
      <c r="K70" s="656">
        <v>0</v>
      </c>
      <c r="L70" s="656">
        <v>0</v>
      </c>
      <c r="M70" s="656"/>
      <c r="N70" s="657">
        <v>0</v>
      </c>
      <c r="O70" s="656" t="e">
        <v>#REF!</v>
      </c>
      <c r="P70" s="656">
        <v>0</v>
      </c>
      <c r="Q70" s="656">
        <v>0</v>
      </c>
      <c r="R70" s="656">
        <v>0</v>
      </c>
      <c r="S70" s="647">
        <v>0</v>
      </c>
      <c r="T70" s="656"/>
      <c r="U70" s="655">
        <v>0</v>
      </c>
      <c r="V70" s="656" t="e">
        <v>#REF!</v>
      </c>
      <c r="W70" s="656">
        <v>0</v>
      </c>
      <c r="X70" s="656">
        <v>0</v>
      </c>
      <c r="Y70" s="656" t="e">
        <v>#REF!</v>
      </c>
      <c r="Z70" s="656">
        <v>0</v>
      </c>
      <c r="AA70" s="656">
        <v>0</v>
      </c>
      <c r="AB70" s="656" t="e">
        <v>#REF!</v>
      </c>
      <c r="AC70" s="656"/>
      <c r="AD70" s="657">
        <v>0</v>
      </c>
      <c r="AE70" s="656" t="e">
        <v>#REF!</v>
      </c>
      <c r="AF70" s="656">
        <v>0</v>
      </c>
      <c r="AG70" s="656">
        <v>0</v>
      </c>
      <c r="AH70" s="656">
        <v>0</v>
      </c>
      <c r="AI70" s="656">
        <v>0</v>
      </c>
      <c r="AJ70" s="656">
        <v>0</v>
      </c>
      <c r="AK70" s="656">
        <v>0</v>
      </c>
      <c r="AL70" s="647">
        <v>0</v>
      </c>
      <c r="AM70" s="656"/>
      <c r="AN70" s="661">
        <f ca="1"/>
        <v>0</v>
      </c>
      <c r="AO70" s="656" t="e">
        <f ca="1"/>
        <v>#REF!</v>
      </c>
      <c r="AP70" s="656">
        <f ca="1"/>
        <v>0</v>
      </c>
      <c r="AQ70" s="656">
        <f ca="1"/>
        <v>0</v>
      </c>
      <c r="AR70" s="656" t="e">
        <f ca="1"/>
        <v>#REF!</v>
      </c>
      <c r="AS70" s="656">
        <f ca="1"/>
        <v>0</v>
      </c>
      <c r="AT70" s="656">
        <f ca="1"/>
        <v>0</v>
      </c>
      <c r="AU70" s="646" t="e">
        <f ca="1"/>
        <v>#REF!</v>
      </c>
      <c r="AV70" s="646">
        <f ca="1"/>
        <v>0</v>
      </c>
      <c r="AW70" s="646">
        <f ca="1"/>
        <v>0</v>
      </c>
      <c r="AX70" s="662" t="e">
        <f ca="1"/>
        <v>#REF!</v>
      </c>
      <c r="AY70" s="646"/>
      <c r="AZ70" s="663">
        <f ca="1"/>
        <v>0</v>
      </c>
      <c r="BA70" s="646" t="e">
        <f ca="1"/>
        <v>#REF!</v>
      </c>
      <c r="BB70" s="646">
        <f ca="1"/>
        <v>0</v>
      </c>
      <c r="BC70" s="646">
        <f ca="1"/>
        <v>0</v>
      </c>
      <c r="BD70" s="646">
        <f ca="1"/>
        <v>0</v>
      </c>
      <c r="BE70" s="646">
        <f ca="1"/>
        <v>0</v>
      </c>
      <c r="BF70" s="646">
        <f ca="1"/>
        <v>0</v>
      </c>
      <c r="BG70" s="646">
        <f ca="1"/>
        <v>0</v>
      </c>
      <c r="BH70" s="646">
        <f ca="1"/>
        <v>0</v>
      </c>
      <c r="BI70" s="646">
        <f ca="1"/>
        <v>0</v>
      </c>
      <c r="BJ70" s="646">
        <f ca="1"/>
        <v>0</v>
      </c>
      <c r="BK70" s="647">
        <f ca="1"/>
        <v>0</v>
      </c>
      <c r="BL70" s="646"/>
      <c r="BM70" s="668">
        <f ca="1"/>
        <v>0</v>
      </c>
      <c r="BN70" s="646" t="e">
        <f ca="1"/>
        <v>#REF!</v>
      </c>
      <c r="BO70" s="646">
        <f ca="1"/>
        <v>0</v>
      </c>
      <c r="BP70" s="646">
        <f ca="1"/>
        <v>0</v>
      </c>
      <c r="BQ70" s="646">
        <f ca="1"/>
        <v>0</v>
      </c>
      <c r="BR70" s="646">
        <f ca="1"/>
        <v>0</v>
      </c>
      <c r="BS70" s="646">
        <f ca="1"/>
        <v>0</v>
      </c>
      <c r="BT70" s="646">
        <f ca="1"/>
        <v>0</v>
      </c>
      <c r="BU70" s="646">
        <f ca="1"/>
        <v>0</v>
      </c>
      <c r="BV70" s="646">
        <f ca="1"/>
        <v>0</v>
      </c>
      <c r="BW70" s="646">
        <f ca="1"/>
        <v>0</v>
      </c>
      <c r="BX70" s="646">
        <f ca="1"/>
        <v>0</v>
      </c>
      <c r="BY70" s="646">
        <f ca="1"/>
        <v>0</v>
      </c>
      <c r="BZ70" s="646" t="e">
        <f ca="1"/>
        <v>#REF!</v>
      </c>
      <c r="CA70" s="646" t="e">
        <f ca="1"/>
        <v>#REF!</v>
      </c>
      <c r="CB70" s="646"/>
      <c r="CC70" s="663">
        <f ca="1"/>
        <v>0</v>
      </c>
      <c r="CD70" s="646" t="e">
        <f ca="1"/>
        <v>#REF!</v>
      </c>
      <c r="CE70" s="646">
        <f ca="1"/>
        <v>0</v>
      </c>
      <c r="CF70" s="646">
        <f ca="1"/>
        <v>0</v>
      </c>
      <c r="CG70" s="646">
        <f ca="1"/>
        <v>0</v>
      </c>
      <c r="CH70" s="646">
        <f ca="1"/>
        <v>0</v>
      </c>
      <c r="CI70" s="646">
        <f ca="1"/>
        <v>0</v>
      </c>
      <c r="CJ70" s="646">
        <f ca="1"/>
        <v>0</v>
      </c>
      <c r="CK70" s="646">
        <f ca="1"/>
        <v>0</v>
      </c>
      <c r="CL70" s="646">
        <f ca="1"/>
        <v>0</v>
      </c>
      <c r="CM70" s="646">
        <f ca="1"/>
        <v>0</v>
      </c>
      <c r="CN70" s="646">
        <f ca="1"/>
        <v>0</v>
      </c>
      <c r="CO70" s="646">
        <f ca="1"/>
        <v>0</v>
      </c>
      <c r="CP70" s="646" t="e">
        <f ca="1"/>
        <v>#REF!</v>
      </c>
      <c r="CQ70" s="646" t="e">
        <f ca="1"/>
        <v>#REF!</v>
      </c>
      <c r="CR70" s="647">
        <f ca="1"/>
        <v>0</v>
      </c>
    </row>
    <row r="71" spans="1:96" ht="17.25" x14ac:dyDescent="0.3">
      <c r="A71" s="675">
        <v>0</v>
      </c>
      <c r="B71" s="648" t="e">
        <v>#REF!</v>
      </c>
      <c r="C71" s="648"/>
      <c r="D71" s="677">
        <v>0</v>
      </c>
      <c r="E71" s="649" t="e">
        <v>#REF!</v>
      </c>
      <c r="F71" s="647">
        <v>0</v>
      </c>
      <c r="G71" s="656"/>
      <c r="H71" s="655">
        <v>0</v>
      </c>
      <c r="I71" s="656" t="e">
        <v>#REF!</v>
      </c>
      <c r="J71" s="656">
        <v>0</v>
      </c>
      <c r="K71" s="656">
        <v>0</v>
      </c>
      <c r="L71" s="656" t="e">
        <v>#REF!</v>
      </c>
      <c r="M71" s="656"/>
      <c r="N71" s="657">
        <v>0</v>
      </c>
      <c r="O71" s="656" t="e">
        <v>#REF!</v>
      </c>
      <c r="P71" s="656">
        <v>0</v>
      </c>
      <c r="Q71" s="656">
        <v>0</v>
      </c>
      <c r="R71" s="656">
        <v>0</v>
      </c>
      <c r="S71" s="647">
        <v>0</v>
      </c>
      <c r="T71" s="656"/>
      <c r="U71" s="655">
        <v>0</v>
      </c>
      <c r="V71" s="656" t="e">
        <v>#REF!</v>
      </c>
      <c r="W71" s="656">
        <v>0</v>
      </c>
      <c r="X71" s="656">
        <v>0</v>
      </c>
      <c r="Y71" s="656" t="e">
        <v>#REF!</v>
      </c>
      <c r="Z71" s="656">
        <v>0</v>
      </c>
      <c r="AA71" s="656">
        <v>0</v>
      </c>
      <c r="AB71" s="656" t="e">
        <v>#REF!</v>
      </c>
      <c r="AC71" s="656"/>
      <c r="AD71" s="657">
        <v>0</v>
      </c>
      <c r="AE71" s="656" t="e">
        <v>#REF!</v>
      </c>
      <c r="AF71" s="656">
        <v>0</v>
      </c>
      <c r="AG71" s="656">
        <v>0</v>
      </c>
      <c r="AH71" s="656">
        <v>0</v>
      </c>
      <c r="AI71" s="656">
        <v>0</v>
      </c>
      <c r="AJ71" s="656">
        <v>0</v>
      </c>
      <c r="AK71" s="656">
        <v>0</v>
      </c>
      <c r="AL71" s="647">
        <v>0</v>
      </c>
      <c r="AM71" s="656"/>
      <c r="AN71" s="661">
        <f ca="1"/>
        <v>0</v>
      </c>
      <c r="AO71" s="656" t="e">
        <f ca="1"/>
        <v>#REF!</v>
      </c>
      <c r="AP71" s="656">
        <f ca="1"/>
        <v>0</v>
      </c>
      <c r="AQ71" s="656">
        <f ca="1"/>
        <v>0</v>
      </c>
      <c r="AR71" s="656" t="e">
        <f ca="1"/>
        <v>#REF!</v>
      </c>
      <c r="AS71" s="656">
        <f ca="1"/>
        <v>0</v>
      </c>
      <c r="AT71" s="656">
        <f ca="1"/>
        <v>0</v>
      </c>
      <c r="AU71" s="646" t="e">
        <f ca="1"/>
        <v>#REF!</v>
      </c>
      <c r="AV71" s="646">
        <f ca="1"/>
        <v>0</v>
      </c>
      <c r="AW71" s="646">
        <f ca="1"/>
        <v>0</v>
      </c>
      <c r="AX71" s="662" t="e">
        <f ca="1"/>
        <v>#REF!</v>
      </c>
      <c r="AY71" s="646"/>
      <c r="AZ71" s="663">
        <f ca="1"/>
        <v>0</v>
      </c>
      <c r="BA71" s="646" t="e">
        <f ca="1"/>
        <v>#REF!</v>
      </c>
      <c r="BB71" s="646">
        <f ca="1"/>
        <v>0</v>
      </c>
      <c r="BC71" s="646">
        <f ca="1"/>
        <v>0</v>
      </c>
      <c r="BD71" s="646">
        <f ca="1"/>
        <v>0</v>
      </c>
      <c r="BE71" s="646">
        <f ca="1"/>
        <v>0</v>
      </c>
      <c r="BF71" s="646">
        <f ca="1"/>
        <v>0</v>
      </c>
      <c r="BG71" s="646">
        <f ca="1"/>
        <v>0</v>
      </c>
      <c r="BH71" s="646">
        <f ca="1"/>
        <v>0</v>
      </c>
      <c r="BI71" s="646">
        <f ca="1"/>
        <v>0</v>
      </c>
      <c r="BJ71" s="646">
        <f ca="1"/>
        <v>0</v>
      </c>
      <c r="BK71" s="647">
        <f ca="1"/>
        <v>0</v>
      </c>
      <c r="BL71" s="646"/>
      <c r="BM71" s="668">
        <f ca="1"/>
        <v>0</v>
      </c>
      <c r="BN71" s="646" t="e">
        <f ca="1"/>
        <v>#REF!</v>
      </c>
      <c r="BO71" s="646">
        <f ca="1"/>
        <v>0</v>
      </c>
      <c r="BP71" s="646">
        <f ca="1"/>
        <v>0</v>
      </c>
      <c r="BQ71" s="646">
        <f ca="1"/>
        <v>0</v>
      </c>
      <c r="BR71" s="646">
        <f ca="1"/>
        <v>0</v>
      </c>
      <c r="BS71" s="646">
        <f ca="1"/>
        <v>0</v>
      </c>
      <c r="BT71" s="646">
        <f ca="1"/>
        <v>0</v>
      </c>
      <c r="BU71" s="646">
        <f ca="1"/>
        <v>0</v>
      </c>
      <c r="BV71" s="646">
        <f ca="1"/>
        <v>0</v>
      </c>
      <c r="BW71" s="646">
        <f ca="1"/>
        <v>0</v>
      </c>
      <c r="BX71" s="646">
        <f ca="1"/>
        <v>0</v>
      </c>
      <c r="BY71" s="646">
        <f ca="1"/>
        <v>0</v>
      </c>
      <c r="BZ71" s="646" t="e">
        <f ca="1"/>
        <v>#REF!</v>
      </c>
      <c r="CA71" s="646" t="e">
        <f ca="1"/>
        <v>#REF!</v>
      </c>
      <c r="CB71" s="646"/>
      <c r="CC71" s="663">
        <f ca="1"/>
        <v>0</v>
      </c>
      <c r="CD71" s="646" t="e">
        <f ca="1"/>
        <v>#REF!</v>
      </c>
      <c r="CE71" s="646">
        <f ca="1"/>
        <v>0</v>
      </c>
      <c r="CF71" s="646">
        <f ca="1"/>
        <v>0</v>
      </c>
      <c r="CG71" s="646">
        <f ca="1"/>
        <v>0</v>
      </c>
      <c r="CH71" s="646">
        <f ca="1"/>
        <v>0</v>
      </c>
      <c r="CI71" s="646">
        <f ca="1"/>
        <v>0</v>
      </c>
      <c r="CJ71" s="646">
        <f ca="1"/>
        <v>0</v>
      </c>
      <c r="CK71" s="646">
        <f ca="1"/>
        <v>0</v>
      </c>
      <c r="CL71" s="646">
        <f ca="1"/>
        <v>0</v>
      </c>
      <c r="CM71" s="646">
        <f ca="1"/>
        <v>0</v>
      </c>
      <c r="CN71" s="646">
        <f ca="1"/>
        <v>0</v>
      </c>
      <c r="CO71" s="646">
        <f ca="1"/>
        <v>0</v>
      </c>
      <c r="CP71" s="646" t="e">
        <f ca="1"/>
        <v>#REF!</v>
      </c>
      <c r="CQ71" s="646" t="e">
        <f ca="1"/>
        <v>#REF!</v>
      </c>
      <c r="CR71" s="647">
        <f ca="1"/>
        <v>0</v>
      </c>
    </row>
    <row r="72" spans="1:96" ht="18" thickBot="1" x14ac:dyDescent="0.35">
      <c r="A72" s="676">
        <v>0</v>
      </c>
      <c r="B72" s="651" t="e">
        <v>#REF!</v>
      </c>
      <c r="C72" s="651"/>
      <c r="D72" s="678">
        <v>0</v>
      </c>
      <c r="E72" s="653" t="e">
        <v>#REF!</v>
      </c>
      <c r="F72" s="654">
        <v>0</v>
      </c>
      <c r="G72" s="656"/>
      <c r="H72" s="658">
        <v>0</v>
      </c>
      <c r="I72" s="659" t="e">
        <v>#REF!</v>
      </c>
      <c r="J72" s="659">
        <v>0</v>
      </c>
      <c r="K72" s="659">
        <v>0</v>
      </c>
      <c r="L72" s="659" t="e">
        <v>#REF!</v>
      </c>
      <c r="M72" s="659"/>
      <c r="N72" s="660">
        <v>0</v>
      </c>
      <c r="O72" s="659" t="e">
        <v>#REF!</v>
      </c>
      <c r="P72" s="659">
        <v>0</v>
      </c>
      <c r="Q72" s="659">
        <v>0</v>
      </c>
      <c r="R72" s="659">
        <v>0</v>
      </c>
      <c r="S72" s="654">
        <v>0</v>
      </c>
      <c r="T72" s="656"/>
      <c r="U72" s="658">
        <v>0</v>
      </c>
      <c r="V72" s="659" t="e">
        <v>#REF!</v>
      </c>
      <c r="W72" s="659">
        <v>0</v>
      </c>
      <c r="X72" s="659">
        <v>0</v>
      </c>
      <c r="Y72" s="659">
        <v>0</v>
      </c>
      <c r="Z72" s="659">
        <v>0</v>
      </c>
      <c r="AA72" s="659">
        <v>0</v>
      </c>
      <c r="AB72" s="659" t="e">
        <v>#REF!</v>
      </c>
      <c r="AC72" s="659"/>
      <c r="AD72" s="660">
        <v>0</v>
      </c>
      <c r="AE72" s="659" t="e">
        <v>#REF!</v>
      </c>
      <c r="AF72" s="659">
        <v>0</v>
      </c>
      <c r="AG72" s="659">
        <v>0</v>
      </c>
      <c r="AH72" s="659">
        <v>0</v>
      </c>
      <c r="AI72" s="659">
        <v>0</v>
      </c>
      <c r="AJ72" s="659">
        <v>0</v>
      </c>
      <c r="AK72" s="659">
        <v>0</v>
      </c>
      <c r="AL72" s="654">
        <v>0</v>
      </c>
      <c r="AM72" s="656"/>
      <c r="AN72" s="664">
        <f ca="1"/>
        <v>0</v>
      </c>
      <c r="AO72" s="659" t="e">
        <f ca="1"/>
        <v>#REF!</v>
      </c>
      <c r="AP72" s="659">
        <f ca="1"/>
        <v>0</v>
      </c>
      <c r="AQ72" s="659">
        <f ca="1"/>
        <v>0</v>
      </c>
      <c r="AR72" s="659">
        <f ca="1"/>
        <v>0</v>
      </c>
      <c r="AS72" s="659">
        <f ca="1"/>
        <v>0</v>
      </c>
      <c r="AT72" s="659">
        <f ca="1"/>
        <v>0</v>
      </c>
      <c r="AU72" s="665" t="e">
        <f ca="1"/>
        <v>#REF!</v>
      </c>
      <c r="AV72" s="665">
        <f ca="1"/>
        <v>0</v>
      </c>
      <c r="AW72" s="665">
        <f ca="1"/>
        <v>0</v>
      </c>
      <c r="AX72" s="666" t="e">
        <f ca="1"/>
        <v>#REF!</v>
      </c>
      <c r="AY72" s="665"/>
      <c r="AZ72" s="667">
        <f ca="1"/>
        <v>0</v>
      </c>
      <c r="BA72" s="665" t="e">
        <f ca="1"/>
        <v>#REF!</v>
      </c>
      <c r="BB72" s="665">
        <f ca="1"/>
        <v>0</v>
      </c>
      <c r="BC72" s="665">
        <f ca="1"/>
        <v>0</v>
      </c>
      <c r="BD72" s="665">
        <f ca="1"/>
        <v>0</v>
      </c>
      <c r="BE72" s="665">
        <f ca="1"/>
        <v>0</v>
      </c>
      <c r="BF72" s="665">
        <f ca="1"/>
        <v>0</v>
      </c>
      <c r="BG72" s="665">
        <f ca="1"/>
        <v>0</v>
      </c>
      <c r="BH72" s="665">
        <f ca="1"/>
        <v>0</v>
      </c>
      <c r="BI72" s="665">
        <f ca="1"/>
        <v>0</v>
      </c>
      <c r="BJ72" s="665">
        <f ca="1"/>
        <v>0</v>
      </c>
      <c r="BK72" s="654">
        <f ca="1"/>
        <v>0</v>
      </c>
      <c r="BL72" s="646"/>
      <c r="BM72" s="669">
        <f ca="1"/>
        <v>0</v>
      </c>
      <c r="BN72" s="665" t="e">
        <f ca="1"/>
        <v>#REF!</v>
      </c>
      <c r="BO72" s="665">
        <f ca="1"/>
        <v>0</v>
      </c>
      <c r="BP72" s="665">
        <f ca="1"/>
        <v>0</v>
      </c>
      <c r="BQ72" s="665">
        <f ca="1"/>
        <v>0</v>
      </c>
      <c r="BR72" s="665">
        <f ca="1"/>
        <v>0</v>
      </c>
      <c r="BS72" s="665">
        <f ca="1"/>
        <v>0</v>
      </c>
      <c r="BT72" s="665">
        <f ca="1"/>
        <v>0</v>
      </c>
      <c r="BU72" s="665">
        <f ca="1"/>
        <v>0</v>
      </c>
      <c r="BV72" s="665">
        <f ca="1"/>
        <v>0</v>
      </c>
      <c r="BW72" s="665">
        <f ca="1"/>
        <v>0</v>
      </c>
      <c r="BX72" s="665">
        <f ca="1"/>
        <v>0</v>
      </c>
      <c r="BY72" s="665">
        <f ca="1"/>
        <v>0</v>
      </c>
      <c r="BZ72" s="665" t="e">
        <f ca="1"/>
        <v>#REF!</v>
      </c>
      <c r="CA72" s="665" t="e">
        <f ca="1"/>
        <v>#REF!</v>
      </c>
      <c r="CB72" s="665"/>
      <c r="CC72" s="667">
        <f ca="1"/>
        <v>0</v>
      </c>
      <c r="CD72" s="665" t="e">
        <f ca="1"/>
        <v>#REF!</v>
      </c>
      <c r="CE72" s="665">
        <f ca="1"/>
        <v>0</v>
      </c>
      <c r="CF72" s="665">
        <f ca="1"/>
        <v>0</v>
      </c>
      <c r="CG72" s="665">
        <f ca="1"/>
        <v>0</v>
      </c>
      <c r="CH72" s="665">
        <f ca="1"/>
        <v>0</v>
      </c>
      <c r="CI72" s="665">
        <f ca="1"/>
        <v>0</v>
      </c>
      <c r="CJ72" s="665">
        <f ca="1"/>
        <v>0</v>
      </c>
      <c r="CK72" s="665">
        <f ca="1"/>
        <v>0</v>
      </c>
      <c r="CL72" s="665">
        <f ca="1"/>
        <v>0</v>
      </c>
      <c r="CM72" s="665">
        <f ca="1"/>
        <v>0</v>
      </c>
      <c r="CN72" s="665">
        <f ca="1"/>
        <v>0</v>
      </c>
      <c r="CO72" s="665">
        <f ca="1"/>
        <v>0</v>
      </c>
      <c r="CP72" s="665" t="e">
        <f ca="1"/>
        <v>#REF!</v>
      </c>
      <c r="CQ72" s="665" t="e">
        <f ca="1"/>
        <v>#REF!</v>
      </c>
      <c r="CR72" s="654">
        <f ca="1"/>
        <v>0</v>
      </c>
    </row>
  </sheetData>
  <sheetProtection algorithmName="SHA-512" hashValue="aXJZsZQz+qTjPOWwgswWxukrcV0aF+p2t7t2mCfv+h0BbwCcPknxNZfeR5GMso9Pkj5H25Yp7Eh3I8ksfVygTA==" saltValue="E7QUm7hM+kRvkCqmqY8wZQ==" spinCount="100000" sheet="1" objects="1" scenarios="1"/>
  <protectedRanges>
    <protectedRange algorithmName="SHA-512" hashValue="yxZ0JFlIlLH9cEeaYF1K5B4ekcCO3Yy8UnDAyhZdPdiJDsiONM7bUT+rlFe0zxcvBD59RiXCFyMZd2YiZs5AiA==" saltValue="Hc7DdqD74GnzDSNpuy4Asw==" spinCount="100000" sqref="M20:N22" name="NewMonthInput"/>
  </protectedRanges>
  <mergeCells count="46">
    <mergeCell ref="A4:B4"/>
    <mergeCell ref="D4:F4"/>
    <mergeCell ref="A40:F40"/>
    <mergeCell ref="H40:S40"/>
    <mergeCell ref="U40:AL40"/>
    <mergeCell ref="A20:CR21"/>
    <mergeCell ref="U23:AL23"/>
    <mergeCell ref="U24:AB24"/>
    <mergeCell ref="AD24:AL24"/>
    <mergeCell ref="AN23:BK23"/>
    <mergeCell ref="N24:S24"/>
    <mergeCell ref="H23:S23"/>
    <mergeCell ref="AN41:AX41"/>
    <mergeCell ref="AZ41:BK41"/>
    <mergeCell ref="N4:S4"/>
    <mergeCell ref="BM41:CA41"/>
    <mergeCell ref="BM23:CR23"/>
    <mergeCell ref="AN24:AX24"/>
    <mergeCell ref="AZ24:BK24"/>
    <mergeCell ref="BM24:CA24"/>
    <mergeCell ref="AN40:BK40"/>
    <mergeCell ref="BM40:CR40"/>
    <mergeCell ref="A41:B41"/>
    <mergeCell ref="D41:F41"/>
    <mergeCell ref="N41:S41"/>
    <mergeCell ref="U41:AB41"/>
    <mergeCell ref="AD41:AL41"/>
    <mergeCell ref="AN59:AX59"/>
    <mergeCell ref="AZ59:BK59"/>
    <mergeCell ref="BM59:CA59"/>
    <mergeCell ref="A59:B59"/>
    <mergeCell ref="D59:F59"/>
    <mergeCell ref="N59:S59"/>
    <mergeCell ref="U59:AB59"/>
    <mergeCell ref="AD59:AL59"/>
    <mergeCell ref="A58:F58"/>
    <mergeCell ref="H58:S58"/>
    <mergeCell ref="U58:AL58"/>
    <mergeCell ref="AN58:BK58"/>
    <mergeCell ref="BM58:CR58"/>
    <mergeCell ref="H1:AL1"/>
    <mergeCell ref="H2:AL2"/>
    <mergeCell ref="H4:L4"/>
    <mergeCell ref="AD4:AL4"/>
    <mergeCell ref="U3:AL3"/>
    <mergeCell ref="H3:S3"/>
  </mergeCells>
  <conditionalFormatting sqref="H1">
    <cfRule type="containsText" dxfId="15" priority="5" operator="containsText" text="Quality Inn">
      <formula>NOT(ISERROR(SEARCH("Quality Inn",H1)))</formula>
    </cfRule>
    <cfRule type="containsText" dxfId="14" priority="6" operator="containsText" text="Sleep Inn">
      <formula>NOT(ISERROR(SEARCH("Sleep Inn",H1)))</formula>
    </cfRule>
    <cfRule type="containsText" dxfId="13" priority="7" operator="containsText" text="Holiday Inn Express">
      <formula>NOT(ISERROR(SEARCH("Holiday Inn Express",H1)))</formula>
    </cfRule>
    <cfRule type="cellIs" dxfId="12" priority="8" operator="equal">
      <formula>"""Quality Inn"""</formula>
    </cfRule>
  </conditionalFormatting>
  <pageMargins left="0.2" right="0.2" top="0.5" bottom="0.5" header="0.05" footer="0.05"/>
  <pageSetup orientation="landscape" r:id="rId1"/>
  <drawing r:id="rId2"/>
  <extLst>
    <ext xmlns:x14="http://schemas.microsoft.com/office/spreadsheetml/2009/9/main" uri="{CCE6A557-97BC-4b89-ADB6-D9C93CAAB3DF}">
      <x14:dataValidations xmlns:xm="http://schemas.microsoft.com/office/excel/2006/main" count="1">
        <x14:dataValidation type="list" allowBlank="1" showInputMessage="1" showErrorMessage="1" xr:uid="{2F9DBF11-EBA0-45F1-8AC8-A6D40A13FFBD}">
          <x14:formula1>
            <xm:f>Setup_and_Criteria!$AF$15:$AF$26</xm:f>
          </x14:formula1>
          <xm:sqref>A3</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BC9675-CB3C-4DB7-83C0-36D21B9D67D5}">
  <sheetPr codeName="Sheet14">
    <tabColor rgb="FFFF0000"/>
  </sheetPr>
  <dimension ref="A1:V44"/>
  <sheetViews>
    <sheetView workbookViewId="0">
      <selection activeCell="P6" sqref="P6"/>
    </sheetView>
  </sheetViews>
  <sheetFormatPr defaultRowHeight="15" x14ac:dyDescent="0.25"/>
  <sheetData>
    <row r="1" spans="1:22" ht="15" customHeight="1" x14ac:dyDescent="0.25">
      <c r="F1" s="931" t="s">
        <v>170</v>
      </c>
      <c r="G1" s="931"/>
      <c r="H1" s="931"/>
      <c r="I1" s="931"/>
      <c r="J1" s="931"/>
      <c r="K1" s="931"/>
      <c r="L1" s="931"/>
      <c r="M1" s="931"/>
      <c r="N1" s="931"/>
      <c r="O1" s="320"/>
      <c r="P1" s="320"/>
    </row>
    <row r="2" spans="1:22" ht="15" customHeight="1" x14ac:dyDescent="0.25">
      <c r="F2" s="931"/>
      <c r="G2" s="931"/>
      <c r="H2" s="931"/>
      <c r="I2" s="931"/>
      <c r="J2" s="931"/>
      <c r="K2" s="931"/>
      <c r="L2" s="931"/>
      <c r="M2" s="931"/>
      <c r="N2" s="931"/>
      <c r="O2" s="320"/>
      <c r="P2" s="320"/>
    </row>
    <row r="3" spans="1:22" ht="15" customHeight="1" x14ac:dyDescent="0.25">
      <c r="F3" s="931"/>
      <c r="G3" s="931"/>
      <c r="H3" s="931"/>
      <c r="I3" s="931"/>
      <c r="J3" s="931"/>
      <c r="K3" s="931"/>
      <c r="L3" s="931"/>
      <c r="M3" s="931"/>
      <c r="N3" s="931"/>
      <c r="O3" s="320"/>
      <c r="P3" s="320"/>
    </row>
    <row r="4" spans="1:22" ht="26.25" x14ac:dyDescent="0.3">
      <c r="A4" s="102"/>
      <c r="E4" s="954" t="str">
        <f>+Setup_and_Criteria!J6</f>
        <v>Q2</v>
      </c>
      <c r="F4" s="954"/>
      <c r="H4" s="975">
        <f>+Setup_and_Criteria!G5</f>
        <v>2026</v>
      </c>
      <c r="I4" s="975"/>
      <c r="L4" s="931" t="s">
        <v>111</v>
      </c>
      <c r="M4" s="931"/>
      <c r="N4" s="931"/>
      <c r="O4" s="320"/>
      <c r="P4" s="320"/>
    </row>
    <row r="5" spans="1:22" ht="26.25" x14ac:dyDescent="0.3">
      <c r="A5" s="102"/>
      <c r="E5" s="954"/>
      <c r="F5" s="954"/>
      <c r="H5" s="975"/>
      <c r="I5" s="975"/>
      <c r="L5" s="931"/>
      <c r="M5" s="931"/>
      <c r="N5" s="931"/>
      <c r="O5" s="320"/>
      <c r="P5" s="320"/>
    </row>
    <row r="9" spans="1:22" x14ac:dyDescent="0.25">
      <c r="R9" t="s">
        <v>171</v>
      </c>
    </row>
    <row r="16" spans="1:22" x14ac:dyDescent="0.25">
      <c r="V16" t="s">
        <v>172</v>
      </c>
    </row>
    <row r="40" spans="1:14" x14ac:dyDescent="0.25">
      <c r="F40" s="949" t="s">
        <v>170</v>
      </c>
      <c r="G40" s="949"/>
      <c r="H40" s="949"/>
      <c r="I40" s="949"/>
      <c r="J40" s="949"/>
      <c r="K40" s="949"/>
      <c r="L40" s="949"/>
      <c r="M40" s="949"/>
      <c r="N40" s="949"/>
    </row>
    <row r="41" spans="1:14" x14ac:dyDescent="0.25">
      <c r="F41" s="949"/>
      <c r="G41" s="949"/>
      <c r="H41" s="949"/>
      <c r="I41" s="949"/>
      <c r="J41" s="949"/>
      <c r="K41" s="949"/>
      <c r="L41" s="949"/>
      <c r="M41" s="949"/>
      <c r="N41" s="949"/>
    </row>
    <row r="42" spans="1:14" x14ac:dyDescent="0.25">
      <c r="F42" s="949"/>
      <c r="G42" s="949"/>
      <c r="H42" s="949"/>
      <c r="I42" s="949"/>
      <c r="J42" s="949"/>
      <c r="K42" s="949"/>
      <c r="L42" s="949"/>
      <c r="M42" s="949"/>
      <c r="N42" s="949"/>
    </row>
    <row r="43" spans="1:14" ht="18.75" customHeight="1" x14ac:dyDescent="0.3">
      <c r="A43" s="102"/>
      <c r="E43" s="954" t="str">
        <f>+Setup_and_Criteria!J6</f>
        <v>Q2</v>
      </c>
      <c r="F43" s="954"/>
      <c r="H43" s="595"/>
      <c r="I43" s="595"/>
      <c r="L43" s="949" t="s">
        <v>16</v>
      </c>
      <c r="M43" s="949"/>
      <c r="N43" s="949"/>
    </row>
    <row r="44" spans="1:14" ht="18.75" customHeight="1" x14ac:dyDescent="0.3">
      <c r="A44" s="102"/>
      <c r="E44" s="954"/>
      <c r="F44" s="954"/>
      <c r="H44" s="595"/>
      <c r="I44" s="595"/>
      <c r="L44" s="949"/>
      <c r="M44" s="949"/>
      <c r="N44" s="949"/>
    </row>
  </sheetData>
  <mergeCells count="7">
    <mergeCell ref="F1:N3"/>
    <mergeCell ref="L4:N5"/>
    <mergeCell ref="F40:N42"/>
    <mergeCell ref="E43:F44"/>
    <mergeCell ref="L43:N44"/>
    <mergeCell ref="E4:F5"/>
    <mergeCell ref="H4:I5"/>
  </mergeCells>
  <pageMargins left="0.2" right="0.2" top="0.25" bottom="0.25" header="0.3" footer="0.3"/>
  <pageSetup orientation="landscape"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773B2-36BD-4DFD-BA10-51BE3F14B2B5}">
  <sheetPr codeName="Sheet15">
    <tabColor rgb="FFFF0000"/>
  </sheetPr>
  <dimension ref="A1:E16"/>
  <sheetViews>
    <sheetView zoomScale="145" zoomScaleNormal="145" workbookViewId="0">
      <selection activeCell="J12" sqref="J12"/>
    </sheetView>
  </sheetViews>
  <sheetFormatPr defaultRowHeight="15" x14ac:dyDescent="0.25"/>
  <sheetData>
    <row r="1" spans="1:5" x14ac:dyDescent="0.25">
      <c r="A1" t="s">
        <v>173</v>
      </c>
    </row>
    <row r="16" spans="1:5" x14ac:dyDescent="0.25">
      <c r="E16" t="s">
        <v>174</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CEBCC5-ED2A-492A-977A-C214E09CF7EF}">
  <sheetPr codeName="Sheet16">
    <tabColor rgb="FFFF0000"/>
  </sheetPr>
  <dimension ref="A2:BI37"/>
  <sheetViews>
    <sheetView topLeftCell="A2" workbookViewId="0">
      <selection activeCell="G5" sqref="G5"/>
    </sheetView>
  </sheetViews>
  <sheetFormatPr defaultRowHeight="15" x14ac:dyDescent="0.25"/>
  <cols>
    <col min="1" max="1" width="16.28515625" bestFit="1" customWidth="1"/>
    <col min="2" max="2" width="3.140625" customWidth="1"/>
    <col min="8" max="8" width="2.5703125" customWidth="1"/>
    <col min="14" max="14" width="2.140625" customWidth="1"/>
    <col min="20" max="20" width="2.140625" customWidth="1"/>
  </cols>
  <sheetData>
    <row r="2" spans="1:61" x14ac:dyDescent="0.25">
      <c r="C2" s="1"/>
      <c r="D2" s="1"/>
      <c r="E2" s="1"/>
      <c r="F2" s="1"/>
      <c r="G2" s="1"/>
      <c r="H2" s="1"/>
      <c r="I2" s="956" t="s">
        <v>175</v>
      </c>
      <c r="J2" s="956"/>
      <c r="K2" s="956"/>
      <c r="L2" s="956"/>
      <c r="M2" s="956"/>
      <c r="N2" s="956"/>
      <c r="O2" s="956"/>
      <c r="P2" s="956"/>
      <c r="Q2" s="956"/>
      <c r="R2" s="956"/>
      <c r="S2" s="956"/>
      <c r="T2" s="956"/>
      <c r="U2" s="956"/>
      <c r="V2" s="956"/>
      <c r="W2" s="956"/>
      <c r="X2" s="956"/>
      <c r="Y2" s="956"/>
      <c r="Z2" s="956"/>
      <c r="AA2" s="956"/>
      <c r="AB2" s="956"/>
      <c r="AC2" s="956"/>
      <c r="AD2" s="956"/>
      <c r="AE2" s="956"/>
      <c r="AF2" s="956"/>
      <c r="AG2" s="956"/>
      <c r="AH2" s="956"/>
      <c r="AI2" s="956"/>
      <c r="AJ2" s="956"/>
      <c r="AK2" s="956"/>
      <c r="AL2" s="956"/>
      <c r="AM2" s="956"/>
      <c r="AN2" s="956"/>
      <c r="AO2" s="956"/>
      <c r="AP2" s="956"/>
      <c r="AQ2" s="956"/>
      <c r="AR2" s="956"/>
      <c r="AS2" s="956"/>
      <c r="AT2" s="956"/>
      <c r="AU2" s="956"/>
      <c r="AV2" s="956"/>
      <c r="AW2" s="956"/>
      <c r="AX2" s="1"/>
      <c r="AY2" s="1"/>
      <c r="AZ2" s="1"/>
      <c r="BA2" s="1"/>
      <c r="BB2" s="1"/>
      <c r="BC2" s="1"/>
      <c r="BD2" s="1"/>
      <c r="BE2" s="1"/>
      <c r="BF2" s="1"/>
      <c r="BG2" s="1"/>
      <c r="BH2" s="1"/>
      <c r="BI2" s="1"/>
    </row>
    <row r="3" spans="1:61" x14ac:dyDescent="0.25">
      <c r="C3" s="1"/>
      <c r="D3" s="1"/>
      <c r="E3" s="1"/>
      <c r="F3" s="1"/>
      <c r="G3" s="1"/>
      <c r="H3" s="1"/>
      <c r="I3" s="956"/>
      <c r="J3" s="956"/>
      <c r="K3" s="956"/>
      <c r="L3" s="956"/>
      <c r="M3" s="956"/>
      <c r="N3" s="956"/>
      <c r="O3" s="956"/>
      <c r="P3" s="956"/>
      <c r="Q3" s="956"/>
      <c r="R3" s="956"/>
      <c r="S3" s="956"/>
      <c r="T3" s="956"/>
      <c r="U3" s="956"/>
      <c r="V3" s="956"/>
      <c r="W3" s="956"/>
      <c r="X3" s="956"/>
      <c r="Y3" s="956"/>
      <c r="Z3" s="956"/>
      <c r="AA3" s="956"/>
      <c r="AB3" s="956"/>
      <c r="AC3" s="956"/>
      <c r="AD3" s="956"/>
      <c r="AE3" s="956"/>
      <c r="AF3" s="956"/>
      <c r="AG3" s="956"/>
      <c r="AH3" s="956"/>
      <c r="AI3" s="956"/>
      <c r="AJ3" s="956"/>
      <c r="AK3" s="956"/>
      <c r="AL3" s="956"/>
      <c r="AM3" s="956"/>
      <c r="AN3" s="956"/>
      <c r="AO3" s="956"/>
      <c r="AP3" s="956"/>
      <c r="AQ3" s="956"/>
      <c r="AR3" s="956"/>
      <c r="AS3" s="956"/>
      <c r="AT3" s="956"/>
      <c r="AU3" s="956"/>
      <c r="AV3" s="956"/>
      <c r="AW3" s="956"/>
      <c r="AX3" s="1"/>
      <c r="AY3" s="1"/>
      <c r="AZ3" s="1"/>
      <c r="BA3" s="976" t="e">
        <f>+MonthlyReports!G2</f>
        <v>#REF!</v>
      </c>
      <c r="BB3" s="976"/>
      <c r="BC3" s="976"/>
      <c r="BD3" s="976"/>
      <c r="BE3" s="976"/>
      <c r="BF3" s="976"/>
      <c r="BG3" s="976"/>
      <c r="BH3" s="976"/>
      <c r="BI3" s="976"/>
    </row>
    <row r="4" spans="1:61" ht="31.5" x14ac:dyDescent="0.5">
      <c r="C4" s="1"/>
      <c r="D4" s="1"/>
      <c r="E4" s="1"/>
      <c r="F4" s="1"/>
      <c r="G4" s="1"/>
      <c r="H4" s="201"/>
      <c r="I4" s="956"/>
      <c r="J4" s="956"/>
      <c r="K4" s="956"/>
      <c r="L4" s="956"/>
      <c r="M4" s="956"/>
      <c r="N4" s="956"/>
      <c r="O4" s="956"/>
      <c r="P4" s="956"/>
      <c r="Q4" s="956"/>
      <c r="R4" s="956"/>
      <c r="S4" s="956"/>
      <c r="T4" s="956"/>
      <c r="U4" s="956"/>
      <c r="V4" s="956"/>
      <c r="W4" s="956"/>
      <c r="X4" s="956"/>
      <c r="Y4" s="956"/>
      <c r="Z4" s="956"/>
      <c r="AA4" s="956"/>
      <c r="AB4" s="956"/>
      <c r="AC4" s="956"/>
      <c r="AD4" s="956"/>
      <c r="AE4" s="956"/>
      <c r="AF4" s="956"/>
      <c r="AG4" s="956"/>
      <c r="AH4" s="956"/>
      <c r="AI4" s="956"/>
      <c r="AJ4" s="956"/>
      <c r="AK4" s="956"/>
      <c r="AL4" s="956"/>
      <c r="AM4" s="956"/>
      <c r="AN4" s="956"/>
      <c r="AO4" s="956"/>
      <c r="AP4" s="956"/>
      <c r="AQ4" s="956"/>
      <c r="AR4" s="956"/>
      <c r="AS4" s="956"/>
      <c r="AT4" s="956"/>
      <c r="AU4" s="956"/>
      <c r="AV4" s="956"/>
      <c r="AW4" s="956"/>
      <c r="AX4" s="201"/>
      <c r="AY4" s="201"/>
      <c r="AZ4" s="201"/>
      <c r="BA4" s="976"/>
      <c r="BB4" s="976"/>
      <c r="BC4" s="976"/>
      <c r="BD4" s="976"/>
      <c r="BE4" s="976"/>
      <c r="BF4" s="976"/>
      <c r="BG4" s="976"/>
      <c r="BH4" s="976"/>
      <c r="BI4" s="976"/>
    </row>
    <row r="5" spans="1:61" ht="31.5" x14ac:dyDescent="0.5">
      <c r="C5" s="1"/>
      <c r="D5" s="1"/>
      <c r="E5" s="1"/>
      <c r="F5" s="1"/>
      <c r="G5" s="201"/>
      <c r="H5" s="201"/>
      <c r="I5" s="201"/>
      <c r="J5" s="201"/>
      <c r="K5" s="201"/>
      <c r="L5" s="201"/>
      <c r="M5" s="201"/>
      <c r="N5" s="201"/>
      <c r="O5" s="201"/>
      <c r="P5" s="201"/>
      <c r="Q5" s="201"/>
      <c r="R5" s="201"/>
      <c r="S5" s="201"/>
      <c r="T5" s="201"/>
      <c r="U5" s="201"/>
      <c r="V5" s="201"/>
      <c r="W5" s="201"/>
      <c r="X5" s="201"/>
      <c r="Y5" s="201"/>
      <c r="Z5" s="201"/>
      <c r="AA5" s="201"/>
      <c r="AB5" s="201"/>
      <c r="AC5" s="201"/>
      <c r="AD5" s="201"/>
      <c r="AE5" s="201"/>
      <c r="AF5" s="201"/>
      <c r="AG5" s="201"/>
      <c r="AH5" s="201"/>
      <c r="AI5" s="201"/>
      <c r="AJ5" s="201"/>
      <c r="AK5" s="201"/>
      <c r="AL5" s="201"/>
      <c r="AM5" s="201"/>
      <c r="AN5" s="201"/>
      <c r="AO5" s="201"/>
      <c r="AP5" s="201"/>
      <c r="AQ5" s="201"/>
      <c r="AR5" s="201"/>
      <c r="AS5" s="201"/>
      <c r="AT5" s="201"/>
      <c r="AU5" s="201"/>
      <c r="AV5" s="201"/>
      <c r="AW5" s="201"/>
      <c r="AX5" s="201"/>
      <c r="AY5" s="201"/>
      <c r="AZ5" s="201"/>
      <c r="BA5" s="201"/>
      <c r="BB5" s="201"/>
      <c r="BC5" s="201"/>
      <c r="BD5" s="201"/>
      <c r="BE5" s="201"/>
      <c r="BF5" s="201"/>
      <c r="BG5" s="201"/>
      <c r="BH5" s="201"/>
      <c r="BI5" s="201"/>
    </row>
    <row r="6" spans="1:61" x14ac:dyDescent="0.25">
      <c r="C6" s="980" t="s">
        <v>176</v>
      </c>
      <c r="D6" s="981"/>
      <c r="E6" s="981"/>
      <c r="F6" s="981"/>
      <c r="G6" s="981"/>
      <c r="H6" s="981"/>
      <c r="I6" s="981"/>
      <c r="J6" s="981"/>
      <c r="K6" s="981"/>
      <c r="L6" s="981"/>
      <c r="M6" s="981"/>
      <c r="N6" s="981"/>
      <c r="O6" s="981"/>
      <c r="P6" s="981"/>
      <c r="Q6" s="981"/>
      <c r="R6" s="981"/>
      <c r="S6" s="981"/>
      <c r="T6" s="981"/>
      <c r="U6" s="981"/>
      <c r="V6" s="981"/>
      <c r="W6" s="981"/>
      <c r="X6" s="981"/>
      <c r="Y6" s="981"/>
      <c r="Z6" s="981"/>
      <c r="AA6" s="981"/>
      <c r="AB6" s="981"/>
      <c r="AC6" s="981"/>
      <c r="AD6" s="981"/>
      <c r="AE6" s="981"/>
      <c r="AF6" s="981"/>
      <c r="AG6" s="981"/>
      <c r="AH6" s="981"/>
      <c r="AI6" s="981"/>
      <c r="AJ6" s="981"/>
      <c r="AK6" s="981"/>
      <c r="AL6" s="981"/>
      <c r="AM6" s="981"/>
      <c r="AN6" s="981"/>
      <c r="AO6" s="981"/>
      <c r="AP6" s="981"/>
      <c r="AQ6" s="981"/>
      <c r="AR6" s="981"/>
      <c r="AS6" s="981"/>
      <c r="AT6" s="981"/>
      <c r="AU6" s="981"/>
      <c r="AV6" s="981"/>
      <c r="AW6" s="981"/>
      <c r="AX6" s="981"/>
      <c r="AY6" s="981"/>
      <c r="AZ6" s="981"/>
      <c r="BA6" s="981"/>
      <c r="BB6" s="981"/>
      <c r="BC6" s="981"/>
      <c r="BD6" s="981"/>
      <c r="BE6" s="981"/>
      <c r="BF6" s="981"/>
      <c r="BG6" s="981"/>
      <c r="BH6" s="981"/>
      <c r="BI6" s="981"/>
    </row>
    <row r="7" spans="1:61" ht="15.75" thickBot="1" x14ac:dyDescent="0.3">
      <c r="C7" s="982"/>
      <c r="D7" s="982"/>
      <c r="E7" s="982"/>
      <c r="F7" s="982"/>
      <c r="G7" s="982"/>
      <c r="H7" s="982"/>
      <c r="I7" s="982"/>
      <c r="J7" s="982"/>
      <c r="K7" s="982"/>
      <c r="L7" s="982"/>
      <c r="M7" s="982"/>
      <c r="N7" s="982"/>
      <c r="O7" s="982"/>
      <c r="P7" s="982"/>
      <c r="Q7" s="982"/>
      <c r="R7" s="982"/>
      <c r="S7" s="982"/>
      <c r="T7" s="982"/>
      <c r="U7" s="982"/>
      <c r="V7" s="982"/>
      <c r="W7" s="982"/>
      <c r="X7" s="982"/>
      <c r="Y7" s="982"/>
      <c r="Z7" s="982"/>
      <c r="AA7" s="982"/>
      <c r="AB7" s="982"/>
      <c r="AC7" s="982"/>
      <c r="AD7" s="982"/>
      <c r="AE7" s="982"/>
      <c r="AF7" s="982"/>
      <c r="AG7" s="982"/>
      <c r="AH7" s="982"/>
      <c r="AI7" s="982"/>
      <c r="AJ7" s="982"/>
      <c r="AK7" s="982"/>
      <c r="AL7" s="982"/>
      <c r="AM7" s="982"/>
      <c r="AN7" s="982"/>
      <c r="AO7" s="982"/>
      <c r="AP7" s="982"/>
      <c r="AQ7" s="982"/>
      <c r="AR7" s="982"/>
      <c r="AS7" s="982"/>
      <c r="AT7" s="982"/>
      <c r="AU7" s="982"/>
      <c r="AV7" s="982"/>
      <c r="AW7" s="982"/>
      <c r="AX7" s="982"/>
      <c r="AY7" s="982"/>
      <c r="AZ7" s="982"/>
      <c r="BA7" s="982"/>
      <c r="BB7" s="982"/>
      <c r="BC7" s="982"/>
      <c r="BD7" s="982"/>
      <c r="BE7" s="982"/>
      <c r="BF7" s="982"/>
      <c r="BG7" s="982"/>
      <c r="BH7" s="982"/>
      <c r="BI7" s="982"/>
    </row>
    <row r="8" spans="1:61" ht="16.5" thickBot="1" x14ac:dyDescent="0.3">
      <c r="A8" s="64"/>
      <c r="C8" s="977" t="s">
        <v>177</v>
      </c>
      <c r="D8" s="978"/>
      <c r="E8" s="978"/>
      <c r="F8" s="978"/>
      <c r="G8" s="979"/>
      <c r="H8" s="261"/>
      <c r="I8" s="977" t="s">
        <v>178</v>
      </c>
      <c r="J8" s="978"/>
      <c r="K8" s="978"/>
      <c r="L8" s="978"/>
      <c r="M8" s="979"/>
      <c r="N8" s="632"/>
      <c r="O8" s="977" t="s">
        <v>179</v>
      </c>
      <c r="P8" s="978"/>
      <c r="Q8" s="978"/>
      <c r="R8" s="978"/>
      <c r="S8" s="979"/>
      <c r="T8" s="632"/>
      <c r="U8" s="977" t="s">
        <v>180</v>
      </c>
      <c r="V8" s="978"/>
      <c r="W8" s="978"/>
      <c r="X8" s="978"/>
      <c r="Y8" s="979"/>
      <c r="Z8" s="632"/>
      <c r="AA8" s="977" t="s">
        <v>181</v>
      </c>
      <c r="AB8" s="978"/>
      <c r="AC8" s="978"/>
      <c r="AD8" s="978"/>
      <c r="AE8" s="979"/>
      <c r="AF8" s="632"/>
      <c r="AG8" s="977" t="s">
        <v>182</v>
      </c>
      <c r="AH8" s="978"/>
      <c r="AI8" s="978"/>
      <c r="AJ8" s="978"/>
      <c r="AK8" s="979"/>
      <c r="AL8" s="632"/>
      <c r="AM8" s="977" t="s">
        <v>183</v>
      </c>
      <c r="AN8" s="978"/>
      <c r="AO8" s="978"/>
      <c r="AP8" s="978"/>
      <c r="AQ8" s="979"/>
      <c r="AR8" s="632"/>
      <c r="AS8" s="977" t="s">
        <v>184</v>
      </c>
      <c r="AT8" s="978"/>
      <c r="AU8" s="978"/>
      <c r="AV8" s="978"/>
      <c r="AW8" s="979"/>
      <c r="AX8" s="632"/>
      <c r="AY8" s="977" t="s">
        <v>185</v>
      </c>
      <c r="AZ8" s="978"/>
      <c r="BA8" s="978"/>
      <c r="BB8" s="978"/>
      <c r="BC8" s="979"/>
      <c r="BD8" s="632"/>
      <c r="BE8" s="977" t="s">
        <v>186</v>
      </c>
      <c r="BF8" s="978"/>
      <c r="BG8" s="978"/>
      <c r="BH8" s="978"/>
      <c r="BI8" s="979"/>
    </row>
    <row r="9" spans="1:61" x14ac:dyDescent="0.25">
      <c r="C9" s="160" t="s">
        <v>83</v>
      </c>
      <c r="D9" s="1" t="s">
        <v>84</v>
      </c>
      <c r="E9" s="1" t="s">
        <v>85</v>
      </c>
      <c r="F9" s="1" t="s">
        <v>86</v>
      </c>
      <c r="G9" s="631" t="s">
        <v>87</v>
      </c>
      <c r="H9" s="1"/>
      <c r="I9" s="160" t="s">
        <v>83</v>
      </c>
      <c r="J9" s="1" t="s">
        <v>84</v>
      </c>
      <c r="K9" s="1" t="s">
        <v>85</v>
      </c>
      <c r="L9" s="1" t="s">
        <v>86</v>
      </c>
      <c r="M9" s="631" t="s">
        <v>87</v>
      </c>
      <c r="N9" s="1"/>
      <c r="O9" s="160" t="s">
        <v>83</v>
      </c>
      <c r="P9" s="1" t="s">
        <v>84</v>
      </c>
      <c r="Q9" s="1" t="s">
        <v>85</v>
      </c>
      <c r="R9" s="1" t="s">
        <v>86</v>
      </c>
      <c r="S9" s="631" t="s">
        <v>87</v>
      </c>
      <c r="T9" s="1"/>
      <c r="U9" s="160" t="s">
        <v>83</v>
      </c>
      <c r="V9" s="1" t="s">
        <v>84</v>
      </c>
      <c r="W9" s="1" t="s">
        <v>85</v>
      </c>
      <c r="X9" s="1" t="s">
        <v>86</v>
      </c>
      <c r="Y9" s="631" t="s">
        <v>87</v>
      </c>
      <c r="Z9" s="1"/>
      <c r="AA9" s="160" t="s">
        <v>83</v>
      </c>
      <c r="AB9" s="1" t="s">
        <v>84</v>
      </c>
      <c r="AC9" s="1" t="s">
        <v>85</v>
      </c>
      <c r="AD9" s="1" t="s">
        <v>86</v>
      </c>
      <c r="AE9" s="631" t="s">
        <v>87</v>
      </c>
      <c r="AF9" s="1"/>
      <c r="AG9" s="160" t="s">
        <v>83</v>
      </c>
      <c r="AH9" s="1" t="s">
        <v>84</v>
      </c>
      <c r="AI9" s="1" t="s">
        <v>85</v>
      </c>
      <c r="AJ9" s="1" t="s">
        <v>86</v>
      </c>
      <c r="AK9" s="631" t="s">
        <v>87</v>
      </c>
      <c r="AL9" s="1"/>
      <c r="AM9" s="160" t="s">
        <v>83</v>
      </c>
      <c r="AN9" s="1" t="s">
        <v>84</v>
      </c>
      <c r="AO9" s="1" t="s">
        <v>85</v>
      </c>
      <c r="AP9" s="1" t="s">
        <v>86</v>
      </c>
      <c r="AQ9" s="631" t="s">
        <v>87</v>
      </c>
      <c r="AR9" s="1"/>
      <c r="AS9" s="160" t="s">
        <v>83</v>
      </c>
      <c r="AT9" s="1" t="s">
        <v>84</v>
      </c>
      <c r="AU9" s="1" t="s">
        <v>85</v>
      </c>
      <c r="AV9" s="1" t="s">
        <v>86</v>
      </c>
      <c r="AW9" s="631" t="s">
        <v>87</v>
      </c>
      <c r="AX9" s="1"/>
      <c r="AY9" s="160" t="s">
        <v>83</v>
      </c>
      <c r="AZ9" s="1" t="s">
        <v>84</v>
      </c>
      <c r="BA9" s="1" t="s">
        <v>85</v>
      </c>
      <c r="BB9" s="1" t="s">
        <v>86</v>
      </c>
      <c r="BC9" s="631" t="s">
        <v>87</v>
      </c>
      <c r="BD9" s="1"/>
      <c r="BE9" s="160" t="s">
        <v>83</v>
      </c>
      <c r="BF9" s="1" t="s">
        <v>84</v>
      </c>
      <c r="BG9" s="1" t="s">
        <v>85</v>
      </c>
      <c r="BH9" s="1" t="s">
        <v>86</v>
      </c>
      <c r="BI9" s="631" t="s">
        <v>87</v>
      </c>
    </row>
    <row r="10" spans="1:61" ht="15.75" x14ac:dyDescent="0.25">
      <c r="A10" s="105">
        <f>+WeeklyPerformanceReport!A7</f>
        <v>0</v>
      </c>
      <c r="B10" s="110"/>
      <c r="C10" s="161">
        <f>+'TeamMember 1'!$B$22</f>
        <v>0</v>
      </c>
      <c r="D10" s="106">
        <f>+'TeamMember 1'!$B$44</f>
        <v>0</v>
      </c>
      <c r="E10" s="106">
        <f>+'TeamMember 1'!$B$66</f>
        <v>0</v>
      </c>
      <c r="F10" s="106">
        <f>+'TeamMember 1'!$B$88</f>
        <v>0</v>
      </c>
      <c r="G10" s="162">
        <f>+'TeamMember 1'!$B$102</f>
        <v>0</v>
      </c>
      <c r="H10" s="106"/>
      <c r="I10" s="161">
        <f>+'TeamMember 1'!$C$22</f>
        <v>0</v>
      </c>
      <c r="J10" s="106">
        <f>+'TeamMember 1'!$C$44</f>
        <v>0</v>
      </c>
      <c r="K10" s="106">
        <f>+'TeamMember 1'!$C$66</f>
        <v>0</v>
      </c>
      <c r="L10" s="106">
        <f>+'TeamMember 1'!$C$88</f>
        <v>0</v>
      </c>
      <c r="M10" s="162">
        <f>+'TeamMember 1'!$C$102</f>
        <v>0</v>
      </c>
      <c r="N10" s="106"/>
      <c r="O10" s="161">
        <f>+'TeamMember 1'!$D$22</f>
        <v>0</v>
      </c>
      <c r="P10" s="106">
        <f>+'TeamMember 1'!$D$44</f>
        <v>0</v>
      </c>
      <c r="Q10" s="106">
        <f>+'TeamMember 1'!$D$66</f>
        <v>0</v>
      </c>
      <c r="R10" s="106">
        <f>+'TeamMember 1'!$D$88</f>
        <v>0</v>
      </c>
      <c r="S10" s="162">
        <f>+'TeamMember 1'!$D$102</f>
        <v>0</v>
      </c>
      <c r="T10" s="106"/>
      <c r="U10" s="180">
        <f>+'TeamMember 1'!$E$22</f>
        <v>0</v>
      </c>
      <c r="V10" s="181">
        <f>+'TeamMember 1'!$E$44</f>
        <v>0</v>
      </c>
      <c r="W10" s="181">
        <f>+'TeamMember 1'!$E$66</f>
        <v>0</v>
      </c>
      <c r="X10" s="181">
        <f>+'TeamMember 1'!$E$88</f>
        <v>0</v>
      </c>
      <c r="Y10" s="182">
        <f>+'TeamMember 1'!$E$102</f>
        <v>0</v>
      </c>
      <c r="Z10" s="106"/>
      <c r="AA10" s="180">
        <f>+'TeamMember 1'!$F$22</f>
        <v>0</v>
      </c>
      <c r="AB10" s="181">
        <f>+'TeamMember 1'!$F$44</f>
        <v>0</v>
      </c>
      <c r="AC10" s="181">
        <f>+'TeamMember 1'!$F$66</f>
        <v>0</v>
      </c>
      <c r="AD10" s="181">
        <f>+'TeamMember 1'!$F$88</f>
        <v>0</v>
      </c>
      <c r="AE10" s="182">
        <f>+'TeamMember 1'!$F$102</f>
        <v>0</v>
      </c>
      <c r="AF10" s="106"/>
      <c r="AG10" s="180">
        <f>+'TeamMember 1'!$G$22</f>
        <v>0</v>
      </c>
      <c r="AH10" s="181">
        <f>+'TeamMember 1'!$G$44</f>
        <v>0</v>
      </c>
      <c r="AI10" s="181">
        <f>+'TeamMember 1'!$G$66</f>
        <v>0</v>
      </c>
      <c r="AJ10" s="181">
        <f>+'TeamMember 1'!$G$88</f>
        <v>0</v>
      </c>
      <c r="AK10" s="182">
        <f>+'TeamMember 1'!$G$102</f>
        <v>0</v>
      </c>
      <c r="AL10" s="106"/>
      <c r="AM10" s="180">
        <f>+'TeamMember 1'!$H$22</f>
        <v>0</v>
      </c>
      <c r="AN10" s="181">
        <f>+'TeamMember 1'!$H$44</f>
        <v>0</v>
      </c>
      <c r="AO10" s="181">
        <f>+'TeamMember 1'!$H$66</f>
        <v>0</v>
      </c>
      <c r="AP10" s="181">
        <f>+'TeamMember 1'!$H$88</f>
        <v>0</v>
      </c>
      <c r="AQ10" s="182">
        <f>+'TeamMember 1'!$H$102</f>
        <v>0</v>
      </c>
      <c r="AR10" s="106"/>
      <c r="AS10" s="180">
        <f>+'TeamMember 1'!$I$22</f>
        <v>0</v>
      </c>
      <c r="AT10" s="181">
        <f>+'TeamMember 1'!$I$44</f>
        <v>0</v>
      </c>
      <c r="AU10" s="181">
        <f>+'TeamMember 1'!$I$66</f>
        <v>0</v>
      </c>
      <c r="AV10" s="181">
        <f>+'TeamMember 1'!$I$88</f>
        <v>0</v>
      </c>
      <c r="AW10" s="182">
        <f>+'TeamMember 1'!$I$102</f>
        <v>0</v>
      </c>
      <c r="AX10" s="106"/>
      <c r="AY10" s="180">
        <f>+'TeamMember 1'!$J$22</f>
        <v>0</v>
      </c>
      <c r="AZ10" s="181">
        <f>+'TeamMember 1'!$J$44</f>
        <v>0</v>
      </c>
      <c r="BA10" s="181">
        <f>+'TeamMember 1'!$J$66</f>
        <v>0</v>
      </c>
      <c r="BB10" s="181">
        <f>+'TeamMember 1'!$J$88</f>
        <v>0</v>
      </c>
      <c r="BC10" s="182">
        <f>+'TeamMember 1'!$J$102</f>
        <v>0</v>
      </c>
      <c r="BD10" s="106"/>
      <c r="BE10" s="180">
        <f>+'TeamMember 1'!$K$22</f>
        <v>0</v>
      </c>
      <c r="BF10" s="181">
        <f>+'TeamMember 1'!$K$44</f>
        <v>0</v>
      </c>
      <c r="BG10" s="181">
        <f>+'TeamMember 1'!$K$66</f>
        <v>0</v>
      </c>
      <c r="BH10" s="181">
        <f>+'TeamMember 1'!$K$88</f>
        <v>0</v>
      </c>
      <c r="BI10" s="182">
        <f>+'TeamMember 1'!$K$102</f>
        <v>0</v>
      </c>
    </row>
    <row r="11" spans="1:61" ht="15.75" x14ac:dyDescent="0.25">
      <c r="A11" s="614"/>
      <c r="B11" s="97"/>
      <c r="C11" s="163"/>
      <c r="D11" s="87"/>
      <c r="E11" s="87"/>
      <c r="F11" s="87"/>
      <c r="G11" s="164"/>
      <c r="H11" s="87"/>
      <c r="I11" s="163"/>
      <c r="J11" s="87"/>
      <c r="K11" s="87"/>
      <c r="L11" s="87"/>
      <c r="M11" s="164"/>
      <c r="N11" s="87"/>
      <c r="O11" s="163"/>
      <c r="P11" s="87"/>
      <c r="Q11" s="87"/>
      <c r="R11" s="87"/>
      <c r="S11" s="164"/>
      <c r="T11" s="87"/>
      <c r="U11" s="163"/>
      <c r="V11" s="87"/>
      <c r="W11" s="87"/>
      <c r="X11" s="87"/>
      <c r="Y11" s="164"/>
      <c r="Z11" s="87"/>
      <c r="AA11" s="163"/>
      <c r="AB11" s="87"/>
      <c r="AC11" s="87"/>
      <c r="AD11" s="87"/>
      <c r="AE11" s="164"/>
      <c r="AF11" s="87"/>
      <c r="AG11" s="163"/>
      <c r="AH11" s="87"/>
      <c r="AI11" s="87"/>
      <c r="AJ11" s="87"/>
      <c r="AK11" s="164"/>
      <c r="AL11" s="87"/>
      <c r="AM11" s="163"/>
      <c r="AN11" s="87"/>
      <c r="AO11" s="87"/>
      <c r="AP11" s="87"/>
      <c r="AQ11" s="164"/>
      <c r="AR11" s="87"/>
      <c r="AS11" s="163"/>
      <c r="AT11" s="87"/>
      <c r="AU11" s="87"/>
      <c r="AV11" s="87"/>
      <c r="AW11" s="164"/>
      <c r="AX11" s="87"/>
      <c r="AY11" s="163"/>
      <c r="AZ11" s="87"/>
      <c r="BA11" s="87"/>
      <c r="BB11" s="87"/>
      <c r="BC11" s="164"/>
      <c r="BD11" s="87"/>
      <c r="BE11" s="163"/>
      <c r="BF11" s="87"/>
      <c r="BG11" s="87"/>
      <c r="BH11" s="87"/>
      <c r="BI11" s="164"/>
    </row>
    <row r="12" spans="1:61" ht="15.75" x14ac:dyDescent="0.25">
      <c r="A12" s="112">
        <f>+WeeklyPerformanceReport!A8</f>
        <v>0</v>
      </c>
      <c r="B12" s="117"/>
      <c r="C12" s="165">
        <f>+'TeamMember 2'!$B$22</f>
        <v>0</v>
      </c>
      <c r="D12" s="113">
        <f>+'TeamMember 2'!$B$44</f>
        <v>0</v>
      </c>
      <c r="E12" s="113">
        <f>+'TeamMember 2'!$B$66</f>
        <v>0</v>
      </c>
      <c r="F12" s="113">
        <f>+'TeamMember 2'!$B$88</f>
        <v>0</v>
      </c>
      <c r="G12" s="166">
        <f>+'TeamMember 2'!$B$110</f>
        <v>0</v>
      </c>
      <c r="H12" s="113"/>
      <c r="I12" s="165">
        <f>+'TeamMember 2'!$C$22</f>
        <v>0</v>
      </c>
      <c r="J12" s="113">
        <f>+'TeamMember 2'!$C$44</f>
        <v>0</v>
      </c>
      <c r="K12" s="113">
        <f>+'TeamMember 2'!$C$66</f>
        <v>0</v>
      </c>
      <c r="L12" s="113">
        <f>+'TeamMember 2'!$C$88</f>
        <v>0</v>
      </c>
      <c r="M12" s="166">
        <f>+'TeamMember 2'!$C$110</f>
        <v>0</v>
      </c>
      <c r="N12" s="113"/>
      <c r="O12" s="165">
        <f>+'TeamMember 2'!$D$22</f>
        <v>0</v>
      </c>
      <c r="P12" s="113">
        <f>+'TeamMember 2'!$D$44</f>
        <v>0</v>
      </c>
      <c r="Q12" s="113">
        <f>+'TeamMember 2'!$D$66</f>
        <v>0</v>
      </c>
      <c r="R12" s="113">
        <f>+'TeamMember 2'!$D$88</f>
        <v>0</v>
      </c>
      <c r="S12" s="166">
        <f>+'TeamMember 2'!$D$110</f>
        <v>0</v>
      </c>
      <c r="T12" s="113"/>
      <c r="U12" s="183">
        <f>+'TeamMember 2'!$E$22</f>
        <v>0</v>
      </c>
      <c r="V12" s="184">
        <f>+'TeamMember 2'!$E$44</f>
        <v>0</v>
      </c>
      <c r="W12" s="184">
        <f>+'TeamMember 2'!$E$66</f>
        <v>0</v>
      </c>
      <c r="X12" s="184">
        <f>+'TeamMember 2'!$E$88</f>
        <v>0</v>
      </c>
      <c r="Y12" s="185">
        <f>+'TeamMember 2'!$E$110</f>
        <v>0</v>
      </c>
      <c r="Z12" s="113"/>
      <c r="AA12" s="183">
        <f>+'TeamMember 2'!$F$22</f>
        <v>0</v>
      </c>
      <c r="AB12" s="184">
        <f>+'TeamMember 2'!$F$44</f>
        <v>0</v>
      </c>
      <c r="AC12" s="184">
        <f>+'TeamMember 2'!$F$66</f>
        <v>0</v>
      </c>
      <c r="AD12" s="184">
        <f>+'TeamMember 2'!$F$88</f>
        <v>0</v>
      </c>
      <c r="AE12" s="185">
        <f>+'TeamMember 2'!$F$110</f>
        <v>0</v>
      </c>
      <c r="AF12" s="113"/>
      <c r="AG12" s="183">
        <f>+'TeamMember 2'!$G$22</f>
        <v>0</v>
      </c>
      <c r="AH12" s="184">
        <f>+'TeamMember 2'!$G$44</f>
        <v>0</v>
      </c>
      <c r="AI12" s="184">
        <f>+'TeamMember 2'!$G$66</f>
        <v>0</v>
      </c>
      <c r="AJ12" s="184">
        <f>+'TeamMember 2'!$G$88</f>
        <v>0</v>
      </c>
      <c r="AK12" s="185">
        <f>+'TeamMember 2'!$G$110</f>
        <v>0</v>
      </c>
      <c r="AL12" s="113"/>
      <c r="AM12" s="183">
        <f>+'TeamMember 2'!$H$22</f>
        <v>0</v>
      </c>
      <c r="AN12" s="184">
        <f>+'TeamMember 2'!$H$44</f>
        <v>0</v>
      </c>
      <c r="AO12" s="184">
        <f>+'TeamMember 2'!$H$66</f>
        <v>0</v>
      </c>
      <c r="AP12" s="184">
        <f>+'TeamMember 2'!$H$88</f>
        <v>0</v>
      </c>
      <c r="AQ12" s="185">
        <f>+'TeamMember 2'!$H$110</f>
        <v>0</v>
      </c>
      <c r="AR12" s="113"/>
      <c r="AS12" s="183">
        <f>+'TeamMember 2'!$I$22</f>
        <v>0</v>
      </c>
      <c r="AT12" s="184">
        <f>+'TeamMember 2'!$I$44</f>
        <v>0</v>
      </c>
      <c r="AU12" s="184">
        <f>+'TeamMember 2'!$I$66</f>
        <v>0</v>
      </c>
      <c r="AV12" s="184">
        <f>+'TeamMember 2'!$I$88</f>
        <v>0</v>
      </c>
      <c r="AW12" s="185">
        <f>+'TeamMember 2'!$I$110</f>
        <v>0</v>
      </c>
      <c r="AX12" s="113"/>
      <c r="AY12" s="183">
        <f>+'TeamMember 2'!$J$22</f>
        <v>0</v>
      </c>
      <c r="AZ12" s="184">
        <f>+'TeamMember 2'!$J$44</f>
        <v>0</v>
      </c>
      <c r="BA12" s="184">
        <f>+'TeamMember 2'!$J$66</f>
        <v>0</v>
      </c>
      <c r="BB12" s="184">
        <f>+'TeamMember 2'!$J$88</f>
        <v>0</v>
      </c>
      <c r="BC12" s="185">
        <f>+'TeamMember 2'!$J$110</f>
        <v>0</v>
      </c>
      <c r="BD12" s="113"/>
      <c r="BE12" s="183">
        <f>+'TeamMember 2'!$K$22</f>
        <v>0</v>
      </c>
      <c r="BF12" s="184">
        <f>+'TeamMember 2'!$K$44</f>
        <v>0</v>
      </c>
      <c r="BG12" s="184">
        <f>+'TeamMember 2'!$K$66</f>
        <v>0</v>
      </c>
      <c r="BH12" s="184">
        <f>+'TeamMember 2'!$K$88</f>
        <v>0</v>
      </c>
      <c r="BI12" s="185">
        <f>+'TeamMember 2'!$K$110</f>
        <v>0</v>
      </c>
    </row>
    <row r="13" spans="1:61" ht="15.75" x14ac:dyDescent="0.25">
      <c r="A13" s="614"/>
      <c r="B13" s="97"/>
      <c r="C13" s="163"/>
      <c r="D13" s="87"/>
      <c r="E13" s="87"/>
      <c r="F13" s="87"/>
      <c r="G13" s="164"/>
      <c r="H13" s="87"/>
      <c r="I13" s="163"/>
      <c r="J13" s="87"/>
      <c r="K13" s="87"/>
      <c r="L13" s="87"/>
      <c r="M13" s="164"/>
      <c r="N13" s="87"/>
      <c r="O13" s="163"/>
      <c r="P13" s="87"/>
      <c r="Q13" s="87"/>
      <c r="R13" s="87"/>
      <c r="S13" s="164"/>
      <c r="T13" s="87"/>
      <c r="U13" s="163"/>
      <c r="V13" s="87"/>
      <c r="W13" s="87"/>
      <c r="X13" s="87"/>
      <c r="Y13" s="164"/>
      <c r="Z13" s="87"/>
      <c r="AA13" s="163"/>
      <c r="AB13" s="87"/>
      <c r="AC13" s="87"/>
      <c r="AD13" s="87"/>
      <c r="AE13" s="164"/>
      <c r="AF13" s="87"/>
      <c r="AG13" s="163"/>
      <c r="AH13" s="87"/>
      <c r="AI13" s="87"/>
      <c r="AJ13" s="87"/>
      <c r="AK13" s="164"/>
      <c r="AL13" s="87"/>
      <c r="AM13" s="163"/>
      <c r="AN13" s="87"/>
      <c r="AO13" s="87"/>
      <c r="AP13" s="87"/>
      <c r="AQ13" s="164"/>
      <c r="AR13" s="87"/>
      <c r="AS13" s="163"/>
      <c r="AT13" s="87"/>
      <c r="AU13" s="87"/>
      <c r="AV13" s="87"/>
      <c r="AW13" s="164"/>
      <c r="AX13" s="87"/>
      <c r="AY13" s="163"/>
      <c r="AZ13" s="87"/>
      <c r="BA13" s="87"/>
      <c r="BB13" s="87"/>
      <c r="BC13" s="164"/>
      <c r="BD13" s="87"/>
      <c r="BE13" s="163"/>
      <c r="BF13" s="87"/>
      <c r="BG13" s="87"/>
      <c r="BH13" s="87"/>
      <c r="BI13" s="164"/>
    </row>
    <row r="14" spans="1:61" ht="15.75" x14ac:dyDescent="0.25">
      <c r="A14" s="204">
        <f>+WeeklyPerformanceReport!A9</f>
        <v>0</v>
      </c>
      <c r="B14" s="210"/>
      <c r="C14" s="211" t="e">
        <f>+#REF!</f>
        <v>#REF!</v>
      </c>
      <c r="D14" s="205" t="e">
        <f>+#REF!</f>
        <v>#REF!</v>
      </c>
      <c r="E14" s="205" t="e">
        <f>+#REF!</f>
        <v>#REF!</v>
      </c>
      <c r="F14" s="205" t="e">
        <f>+#REF!</f>
        <v>#REF!</v>
      </c>
      <c r="G14" s="212" t="e">
        <f>+#REF!</f>
        <v>#REF!</v>
      </c>
      <c r="H14" s="205"/>
      <c r="I14" s="211" t="e">
        <f>+#REF!</f>
        <v>#REF!</v>
      </c>
      <c r="J14" s="205" t="e">
        <f>+#REF!</f>
        <v>#REF!</v>
      </c>
      <c r="K14" s="205" t="e">
        <f>+#REF!</f>
        <v>#REF!</v>
      </c>
      <c r="L14" s="205" t="e">
        <f>+#REF!</f>
        <v>#REF!</v>
      </c>
      <c r="M14" s="212" t="e">
        <f>+#REF!</f>
        <v>#REF!</v>
      </c>
      <c r="N14" s="205"/>
      <c r="O14" s="211" t="e">
        <f>+#REF!</f>
        <v>#REF!</v>
      </c>
      <c r="P14" s="205" t="e">
        <f>+#REF!</f>
        <v>#REF!</v>
      </c>
      <c r="Q14" s="205" t="e">
        <f>+#REF!</f>
        <v>#REF!</v>
      </c>
      <c r="R14" s="205" t="e">
        <f>+#REF!</f>
        <v>#REF!</v>
      </c>
      <c r="S14" s="212" t="e">
        <f>+#REF!</f>
        <v>#REF!</v>
      </c>
      <c r="T14" s="205"/>
      <c r="U14" s="213" t="e">
        <f>+#REF!</f>
        <v>#REF!</v>
      </c>
      <c r="V14" s="214" t="e">
        <f>+#REF!</f>
        <v>#REF!</v>
      </c>
      <c r="W14" s="214" t="e">
        <f>+#REF!</f>
        <v>#REF!</v>
      </c>
      <c r="X14" s="214" t="e">
        <f>+#REF!</f>
        <v>#REF!</v>
      </c>
      <c r="Y14" s="215" t="e">
        <f>+#REF!</f>
        <v>#REF!</v>
      </c>
      <c r="Z14" s="205"/>
      <c r="AA14" s="213" t="e">
        <f>+#REF!</f>
        <v>#REF!</v>
      </c>
      <c r="AB14" s="214" t="e">
        <f>+#REF!</f>
        <v>#REF!</v>
      </c>
      <c r="AC14" s="214" t="e">
        <f>+#REF!</f>
        <v>#REF!</v>
      </c>
      <c r="AD14" s="214" t="e">
        <f>+#REF!</f>
        <v>#REF!</v>
      </c>
      <c r="AE14" s="215" t="e">
        <f>+#REF!</f>
        <v>#REF!</v>
      </c>
      <c r="AF14" s="205"/>
      <c r="AG14" s="213" t="e">
        <f>+#REF!</f>
        <v>#REF!</v>
      </c>
      <c r="AH14" s="214" t="e">
        <f>+#REF!</f>
        <v>#REF!</v>
      </c>
      <c r="AI14" s="214" t="e">
        <f>+#REF!</f>
        <v>#REF!</v>
      </c>
      <c r="AJ14" s="214" t="e">
        <f>+#REF!</f>
        <v>#REF!</v>
      </c>
      <c r="AK14" s="215" t="e">
        <f>+#REF!</f>
        <v>#REF!</v>
      </c>
      <c r="AL14" s="205"/>
      <c r="AM14" s="213" t="e">
        <f>+#REF!</f>
        <v>#REF!</v>
      </c>
      <c r="AN14" s="214" t="e">
        <f>+#REF!</f>
        <v>#REF!</v>
      </c>
      <c r="AO14" s="214" t="e">
        <f>+#REF!</f>
        <v>#REF!</v>
      </c>
      <c r="AP14" s="214" t="e">
        <f>+#REF!</f>
        <v>#REF!</v>
      </c>
      <c r="AQ14" s="215" t="e">
        <f>+#REF!</f>
        <v>#REF!</v>
      </c>
      <c r="AR14" s="205"/>
      <c r="AS14" s="213" t="e">
        <f>+#REF!</f>
        <v>#REF!</v>
      </c>
      <c r="AT14" s="214" t="e">
        <f>+#REF!</f>
        <v>#REF!</v>
      </c>
      <c r="AU14" s="214" t="e">
        <f>+#REF!</f>
        <v>#REF!</v>
      </c>
      <c r="AV14" s="214" t="e">
        <f>+#REF!</f>
        <v>#REF!</v>
      </c>
      <c r="AW14" s="215" t="e">
        <f>+#REF!</f>
        <v>#REF!</v>
      </c>
      <c r="AX14" s="205"/>
      <c r="AY14" s="213" t="e">
        <f>+#REF!</f>
        <v>#REF!</v>
      </c>
      <c r="AZ14" s="214" t="e">
        <f>+#REF!</f>
        <v>#REF!</v>
      </c>
      <c r="BA14" s="214" t="e">
        <f>+#REF!</f>
        <v>#REF!</v>
      </c>
      <c r="BB14" s="214" t="e">
        <f>+#REF!</f>
        <v>#REF!</v>
      </c>
      <c r="BC14" s="215" t="e">
        <f>+#REF!</f>
        <v>#REF!</v>
      </c>
      <c r="BD14" s="205"/>
      <c r="BE14" s="213" t="e">
        <f>+#REF!</f>
        <v>#REF!</v>
      </c>
      <c r="BF14" s="214" t="e">
        <f>+#REF!</f>
        <v>#REF!</v>
      </c>
      <c r="BG14" s="214" t="e">
        <f>+#REF!</f>
        <v>#REF!</v>
      </c>
      <c r="BH14" s="214" t="e">
        <f>+#REF!</f>
        <v>#REF!</v>
      </c>
      <c r="BI14" s="215" t="e">
        <f>+#REF!</f>
        <v>#REF!</v>
      </c>
    </row>
    <row r="15" spans="1:61" ht="15.75" x14ac:dyDescent="0.25">
      <c r="A15" s="614"/>
      <c r="B15" s="97"/>
      <c r="C15" s="163"/>
      <c r="D15" s="87"/>
      <c r="E15" s="87"/>
      <c r="F15" s="87"/>
      <c r="G15" s="164"/>
      <c r="H15" s="87"/>
      <c r="I15" s="163"/>
      <c r="J15" s="87"/>
      <c r="K15" s="87"/>
      <c r="L15" s="87"/>
      <c r="M15" s="164"/>
      <c r="N15" s="87"/>
      <c r="O15" s="163"/>
      <c r="P15" s="87"/>
      <c r="Q15" s="87"/>
      <c r="R15" s="87"/>
      <c r="S15" s="164"/>
      <c r="T15" s="87"/>
      <c r="U15" s="163"/>
      <c r="V15" s="87"/>
      <c r="W15" s="87"/>
      <c r="X15" s="87"/>
      <c r="Y15" s="164"/>
      <c r="Z15" s="87"/>
      <c r="AA15" s="163"/>
      <c r="AB15" s="87"/>
      <c r="AC15" s="87"/>
      <c r="AD15" s="87"/>
      <c r="AE15" s="164"/>
      <c r="AF15" s="87"/>
      <c r="AG15" s="163"/>
      <c r="AH15" s="87"/>
      <c r="AI15" s="87"/>
      <c r="AJ15" s="87"/>
      <c r="AK15" s="164"/>
      <c r="AL15" s="87"/>
      <c r="AM15" s="163"/>
      <c r="AN15" s="87"/>
      <c r="AO15" s="87"/>
      <c r="AP15" s="87"/>
      <c r="AQ15" s="164"/>
      <c r="AR15" s="87"/>
      <c r="AS15" s="163"/>
      <c r="AT15" s="87"/>
      <c r="AU15" s="87"/>
      <c r="AV15" s="87"/>
      <c r="AW15" s="164"/>
      <c r="AX15" s="87"/>
      <c r="AY15" s="163"/>
      <c r="AZ15" s="87"/>
      <c r="BA15" s="87"/>
      <c r="BB15" s="87"/>
      <c r="BC15" s="164"/>
      <c r="BD15" s="87"/>
      <c r="BE15" s="163"/>
      <c r="BF15" s="87"/>
      <c r="BG15" s="87"/>
      <c r="BH15" s="87"/>
      <c r="BI15" s="164"/>
    </row>
    <row r="16" spans="1:61" ht="15.75" x14ac:dyDescent="0.25">
      <c r="A16" s="119">
        <f>+WeeklyPerformanceReport!A10</f>
        <v>0</v>
      </c>
      <c r="B16" s="124"/>
      <c r="C16" s="167" t="e">
        <f>+#REF!</f>
        <v>#REF!</v>
      </c>
      <c r="D16" s="120" t="e">
        <f>+#REF!</f>
        <v>#REF!</v>
      </c>
      <c r="E16" s="120" t="e">
        <f>+#REF!</f>
        <v>#REF!</v>
      </c>
      <c r="F16" s="120" t="e">
        <f>+#REF!</f>
        <v>#REF!</v>
      </c>
      <c r="G16" s="168" t="e">
        <f>+#REF!</f>
        <v>#REF!</v>
      </c>
      <c r="H16" s="120"/>
      <c r="I16" s="167" t="e">
        <f>+#REF!</f>
        <v>#REF!</v>
      </c>
      <c r="J16" s="120" t="e">
        <f>+#REF!</f>
        <v>#REF!</v>
      </c>
      <c r="K16" s="120" t="e">
        <f>+#REF!</f>
        <v>#REF!</v>
      </c>
      <c r="L16" s="120" t="e">
        <f>+#REF!</f>
        <v>#REF!</v>
      </c>
      <c r="M16" s="168" t="e">
        <f>+#REF!</f>
        <v>#REF!</v>
      </c>
      <c r="N16" s="120"/>
      <c r="O16" s="167" t="e">
        <f>+#REF!</f>
        <v>#REF!</v>
      </c>
      <c r="P16" s="120" t="e">
        <f>+#REF!</f>
        <v>#REF!</v>
      </c>
      <c r="Q16" s="120" t="e">
        <f>+#REF!</f>
        <v>#REF!</v>
      </c>
      <c r="R16" s="120" t="e">
        <f>+#REF!</f>
        <v>#REF!</v>
      </c>
      <c r="S16" s="168" t="e">
        <f>+#REF!</f>
        <v>#REF!</v>
      </c>
      <c r="T16" s="120"/>
      <c r="U16" s="186" t="e">
        <f>+#REF!</f>
        <v>#REF!</v>
      </c>
      <c r="V16" s="187" t="e">
        <f>+#REF!</f>
        <v>#REF!</v>
      </c>
      <c r="W16" s="187" t="e">
        <f>+#REF!</f>
        <v>#REF!</v>
      </c>
      <c r="X16" s="187" t="e">
        <f>+#REF!</f>
        <v>#REF!</v>
      </c>
      <c r="Y16" s="188" t="e">
        <f>+#REF!</f>
        <v>#REF!</v>
      </c>
      <c r="Z16" s="120"/>
      <c r="AA16" s="186" t="e">
        <f>+#REF!</f>
        <v>#REF!</v>
      </c>
      <c r="AB16" s="187" t="e">
        <f>+#REF!</f>
        <v>#REF!</v>
      </c>
      <c r="AC16" s="187" t="e">
        <f>+#REF!</f>
        <v>#REF!</v>
      </c>
      <c r="AD16" s="187" t="e">
        <f>+#REF!</f>
        <v>#REF!</v>
      </c>
      <c r="AE16" s="188" t="e">
        <f>+#REF!</f>
        <v>#REF!</v>
      </c>
      <c r="AF16" s="120"/>
      <c r="AG16" s="186" t="e">
        <f>+#REF!</f>
        <v>#REF!</v>
      </c>
      <c r="AH16" s="187" t="e">
        <f>+#REF!</f>
        <v>#REF!</v>
      </c>
      <c r="AI16" s="187" t="e">
        <f>+#REF!</f>
        <v>#REF!</v>
      </c>
      <c r="AJ16" s="187" t="e">
        <f>+#REF!</f>
        <v>#REF!</v>
      </c>
      <c r="AK16" s="188" t="e">
        <f>+#REF!</f>
        <v>#REF!</v>
      </c>
      <c r="AL16" s="120"/>
      <c r="AM16" s="186" t="e">
        <f>+#REF!</f>
        <v>#REF!</v>
      </c>
      <c r="AN16" s="187" t="e">
        <f>+#REF!</f>
        <v>#REF!</v>
      </c>
      <c r="AO16" s="187" t="e">
        <f>+#REF!</f>
        <v>#REF!</v>
      </c>
      <c r="AP16" s="187" t="e">
        <f>+#REF!</f>
        <v>#REF!</v>
      </c>
      <c r="AQ16" s="188" t="e">
        <f>+#REF!</f>
        <v>#REF!</v>
      </c>
      <c r="AR16" s="120"/>
      <c r="AS16" s="186" t="e">
        <f>+#REF!</f>
        <v>#REF!</v>
      </c>
      <c r="AT16" s="187" t="e">
        <f>+#REF!</f>
        <v>#REF!</v>
      </c>
      <c r="AU16" s="187" t="e">
        <f>+#REF!</f>
        <v>#REF!</v>
      </c>
      <c r="AV16" s="187" t="e">
        <f>+#REF!</f>
        <v>#REF!</v>
      </c>
      <c r="AW16" s="188" t="e">
        <f>+#REF!</f>
        <v>#REF!</v>
      </c>
      <c r="AX16" s="120"/>
      <c r="AY16" s="186" t="e">
        <f>+#REF!</f>
        <v>#REF!</v>
      </c>
      <c r="AZ16" s="187" t="e">
        <f>+#REF!</f>
        <v>#REF!</v>
      </c>
      <c r="BA16" s="187" t="e">
        <f>+#REF!</f>
        <v>#REF!</v>
      </c>
      <c r="BB16" s="187" t="e">
        <f>+#REF!</f>
        <v>#REF!</v>
      </c>
      <c r="BC16" s="188" t="e">
        <f>+#REF!</f>
        <v>#REF!</v>
      </c>
      <c r="BD16" s="120"/>
      <c r="BE16" s="186" t="e">
        <f>+#REF!</f>
        <v>#REF!</v>
      </c>
      <c r="BF16" s="187" t="e">
        <f>+#REF!</f>
        <v>#REF!</v>
      </c>
      <c r="BG16" s="187" t="e">
        <f>+#REF!</f>
        <v>#REF!</v>
      </c>
      <c r="BH16" s="187" t="e">
        <f>+#REF!</f>
        <v>#REF!</v>
      </c>
      <c r="BI16" s="188" t="e">
        <f>+#REF!</f>
        <v>#REF!</v>
      </c>
    </row>
    <row r="17" spans="1:61" ht="15.75" x14ac:dyDescent="0.25">
      <c r="A17" s="614"/>
      <c r="B17" s="97"/>
      <c r="C17" s="163"/>
      <c r="D17" s="87"/>
      <c r="E17" s="87"/>
      <c r="F17" s="87"/>
      <c r="G17" s="164"/>
      <c r="H17" s="87"/>
      <c r="I17" s="163"/>
      <c r="J17" s="87"/>
      <c r="K17" s="87"/>
      <c r="L17" s="87"/>
      <c r="M17" s="164"/>
      <c r="N17" s="87"/>
      <c r="O17" s="163"/>
      <c r="P17" s="87"/>
      <c r="Q17" s="87"/>
      <c r="R17" s="87"/>
      <c r="S17" s="164"/>
      <c r="T17" s="87"/>
      <c r="U17" s="163"/>
      <c r="V17" s="87"/>
      <c r="W17" s="87"/>
      <c r="X17" s="87"/>
      <c r="Y17" s="164"/>
      <c r="Z17" s="87"/>
      <c r="AA17" s="163"/>
      <c r="AB17" s="87"/>
      <c r="AC17" s="87"/>
      <c r="AD17" s="87"/>
      <c r="AE17" s="164"/>
      <c r="AF17" s="87"/>
      <c r="AG17" s="163"/>
      <c r="AH17" s="87"/>
      <c r="AI17" s="87"/>
      <c r="AJ17" s="87"/>
      <c r="AK17" s="164"/>
      <c r="AL17" s="87"/>
      <c r="AM17" s="163"/>
      <c r="AN17" s="87"/>
      <c r="AO17" s="87"/>
      <c r="AP17" s="87"/>
      <c r="AQ17" s="164"/>
      <c r="AR17" s="87"/>
      <c r="AS17" s="163"/>
      <c r="AT17" s="87"/>
      <c r="AU17" s="87"/>
      <c r="AV17" s="87"/>
      <c r="AW17" s="164"/>
      <c r="AX17" s="87"/>
      <c r="AY17" s="163"/>
      <c r="AZ17" s="87"/>
      <c r="BA17" s="87"/>
      <c r="BB17" s="87"/>
      <c r="BC17" s="164"/>
      <c r="BD17" s="87"/>
      <c r="BE17" s="163"/>
      <c r="BF17" s="87"/>
      <c r="BG17" s="87"/>
      <c r="BH17" s="87"/>
      <c r="BI17" s="164"/>
    </row>
    <row r="18" spans="1:61" ht="15.75" x14ac:dyDescent="0.25">
      <c r="A18" s="133">
        <f>+WeeklyPerformanceReport!A11</f>
        <v>0</v>
      </c>
      <c r="B18" s="138"/>
      <c r="C18" s="171" t="e">
        <f>+#REF!</f>
        <v>#REF!</v>
      </c>
      <c r="D18" s="134" t="e">
        <f>+#REF!</f>
        <v>#REF!</v>
      </c>
      <c r="E18" s="134" t="e">
        <f>+#REF!</f>
        <v>#REF!</v>
      </c>
      <c r="F18" s="134" t="e">
        <f>+#REF!</f>
        <v>#REF!</v>
      </c>
      <c r="G18" s="172" t="e">
        <f>+#REF!</f>
        <v>#REF!</v>
      </c>
      <c r="H18" s="134"/>
      <c r="I18" s="171" t="e">
        <f>+#REF!</f>
        <v>#REF!</v>
      </c>
      <c r="J18" s="134" t="e">
        <f>+#REF!</f>
        <v>#REF!</v>
      </c>
      <c r="K18" s="134" t="e">
        <f>+#REF!</f>
        <v>#REF!</v>
      </c>
      <c r="L18" s="134" t="e">
        <f>+#REF!</f>
        <v>#REF!</v>
      </c>
      <c r="M18" s="172" t="e">
        <f>+#REF!</f>
        <v>#REF!</v>
      </c>
      <c r="N18" s="134"/>
      <c r="O18" s="171" t="e">
        <f>+#REF!</f>
        <v>#REF!</v>
      </c>
      <c r="P18" s="134" t="e">
        <f>+#REF!</f>
        <v>#REF!</v>
      </c>
      <c r="Q18" s="134" t="e">
        <f>+#REF!</f>
        <v>#REF!</v>
      </c>
      <c r="R18" s="134" t="e">
        <f>+#REF!</f>
        <v>#REF!</v>
      </c>
      <c r="S18" s="172" t="e">
        <f>+#REF!</f>
        <v>#REF!</v>
      </c>
      <c r="T18" s="134"/>
      <c r="U18" s="192" t="e">
        <f>+#REF!</f>
        <v>#REF!</v>
      </c>
      <c r="V18" s="193" t="e">
        <f>+#REF!</f>
        <v>#REF!</v>
      </c>
      <c r="W18" s="193" t="e">
        <f>+#REF!</f>
        <v>#REF!</v>
      </c>
      <c r="X18" s="193" t="e">
        <f>+#REF!</f>
        <v>#REF!</v>
      </c>
      <c r="Y18" s="194" t="e">
        <f>+#REF!</f>
        <v>#REF!</v>
      </c>
      <c r="Z18" s="134"/>
      <c r="AA18" s="192" t="e">
        <f>+#REF!</f>
        <v>#REF!</v>
      </c>
      <c r="AB18" s="193" t="e">
        <f>+#REF!</f>
        <v>#REF!</v>
      </c>
      <c r="AC18" s="193" t="e">
        <f>+#REF!</f>
        <v>#REF!</v>
      </c>
      <c r="AD18" s="193" t="e">
        <f>+#REF!</f>
        <v>#REF!</v>
      </c>
      <c r="AE18" s="194" t="e">
        <f>+#REF!</f>
        <v>#REF!</v>
      </c>
      <c r="AF18" s="134"/>
      <c r="AG18" s="192" t="e">
        <f>+#REF!</f>
        <v>#REF!</v>
      </c>
      <c r="AH18" s="193" t="e">
        <f>+#REF!</f>
        <v>#REF!</v>
      </c>
      <c r="AI18" s="193" t="e">
        <f>+#REF!</f>
        <v>#REF!</v>
      </c>
      <c r="AJ18" s="193" t="e">
        <f>+#REF!</f>
        <v>#REF!</v>
      </c>
      <c r="AK18" s="194" t="e">
        <f>+#REF!</f>
        <v>#REF!</v>
      </c>
      <c r="AL18" s="134"/>
      <c r="AM18" s="192" t="e">
        <f>+#REF!</f>
        <v>#REF!</v>
      </c>
      <c r="AN18" s="193" t="e">
        <f>+#REF!</f>
        <v>#REF!</v>
      </c>
      <c r="AO18" s="193" t="e">
        <f>+#REF!</f>
        <v>#REF!</v>
      </c>
      <c r="AP18" s="193" t="e">
        <f>+#REF!</f>
        <v>#REF!</v>
      </c>
      <c r="AQ18" s="194" t="e">
        <f>+#REF!</f>
        <v>#REF!</v>
      </c>
      <c r="AR18" s="134"/>
      <c r="AS18" s="192" t="e">
        <f>+#REF!</f>
        <v>#REF!</v>
      </c>
      <c r="AT18" s="193" t="e">
        <f>+#REF!</f>
        <v>#REF!</v>
      </c>
      <c r="AU18" s="193" t="e">
        <f>+#REF!</f>
        <v>#REF!</v>
      </c>
      <c r="AV18" s="193" t="e">
        <f>+#REF!</f>
        <v>#REF!</v>
      </c>
      <c r="AW18" s="194" t="e">
        <f>+#REF!</f>
        <v>#REF!</v>
      </c>
      <c r="AX18" s="134"/>
      <c r="AY18" s="192" t="e">
        <f>+#REF!</f>
        <v>#REF!</v>
      </c>
      <c r="AZ18" s="193" t="e">
        <f>+#REF!</f>
        <v>#REF!</v>
      </c>
      <c r="BA18" s="193" t="e">
        <f>+#REF!</f>
        <v>#REF!</v>
      </c>
      <c r="BB18" s="193" t="e">
        <f>+#REF!</f>
        <v>#REF!</v>
      </c>
      <c r="BC18" s="194" t="e">
        <f>+#REF!</f>
        <v>#REF!</v>
      </c>
      <c r="BD18" s="134"/>
      <c r="BE18" s="192" t="e">
        <f>+#REF!</f>
        <v>#REF!</v>
      </c>
      <c r="BF18" s="193" t="e">
        <f>+#REF!</f>
        <v>#REF!</v>
      </c>
      <c r="BG18" s="193" t="e">
        <f>+#REF!</f>
        <v>#REF!</v>
      </c>
      <c r="BH18" s="193" t="e">
        <f>+#REF!</f>
        <v>#REF!</v>
      </c>
      <c r="BI18" s="194" t="e">
        <f>+#REF!</f>
        <v>#REF!</v>
      </c>
    </row>
    <row r="19" spans="1:61" ht="15.75" x14ac:dyDescent="0.25">
      <c r="A19" s="614"/>
      <c r="B19" s="97"/>
      <c r="C19" s="163"/>
      <c r="D19" s="87"/>
      <c r="E19" s="87"/>
      <c r="F19" s="87"/>
      <c r="G19" s="164"/>
      <c r="H19" s="87"/>
      <c r="I19" s="163"/>
      <c r="J19" s="87"/>
      <c r="K19" s="87"/>
      <c r="L19" s="87"/>
      <c r="M19" s="164"/>
      <c r="N19" s="87"/>
      <c r="O19" s="163"/>
      <c r="P19" s="87"/>
      <c r="Q19" s="87"/>
      <c r="R19" s="87"/>
      <c r="S19" s="164"/>
      <c r="T19" s="87"/>
      <c r="U19" s="163"/>
      <c r="V19" s="87"/>
      <c r="W19" s="87"/>
      <c r="X19" s="87"/>
      <c r="Y19" s="164"/>
      <c r="Z19" s="87"/>
      <c r="AA19" s="163"/>
      <c r="AB19" s="87"/>
      <c r="AC19" s="87"/>
      <c r="AD19" s="87"/>
      <c r="AE19" s="164"/>
      <c r="AF19" s="87"/>
      <c r="AG19" s="163"/>
      <c r="AH19" s="87"/>
      <c r="AI19" s="87"/>
      <c r="AJ19" s="87"/>
      <c r="AK19" s="164"/>
      <c r="AL19" s="87"/>
      <c r="AM19" s="163"/>
      <c r="AN19" s="87"/>
      <c r="AO19" s="87"/>
      <c r="AP19" s="87"/>
      <c r="AQ19" s="164"/>
      <c r="AR19" s="87"/>
      <c r="AS19" s="163"/>
      <c r="AT19" s="87"/>
      <c r="AU19" s="87"/>
      <c r="AV19" s="87"/>
      <c r="AW19" s="164"/>
      <c r="AX19" s="87"/>
      <c r="AY19" s="163"/>
      <c r="AZ19" s="87"/>
      <c r="BA19" s="87"/>
      <c r="BB19" s="87"/>
      <c r="BC19" s="164"/>
      <c r="BD19" s="87"/>
      <c r="BE19" s="163"/>
      <c r="BF19" s="87"/>
      <c r="BG19" s="87"/>
      <c r="BH19" s="87"/>
      <c r="BI19" s="164"/>
    </row>
    <row r="20" spans="1:61" ht="15.75" x14ac:dyDescent="0.25">
      <c r="A20" s="148">
        <f>+WeeklyPerformanceReport!A12</f>
        <v>0</v>
      </c>
      <c r="B20" s="153"/>
      <c r="C20" s="169" t="e">
        <f>+#REF!</f>
        <v>#REF!</v>
      </c>
      <c r="D20" s="149" t="e">
        <f>+#REF!</f>
        <v>#REF!</v>
      </c>
      <c r="E20" s="149" t="e">
        <f>+#REF!</f>
        <v>#REF!</v>
      </c>
      <c r="F20" s="149" t="e">
        <f>+#REF!</f>
        <v>#REF!</v>
      </c>
      <c r="G20" s="170" t="e">
        <f>+#REF!</f>
        <v>#REF!</v>
      </c>
      <c r="H20" s="149"/>
      <c r="I20" s="169" t="e">
        <f>+#REF!</f>
        <v>#REF!</v>
      </c>
      <c r="J20" s="149" t="e">
        <f>+#REF!</f>
        <v>#REF!</v>
      </c>
      <c r="K20" s="149" t="e">
        <f>+#REF!</f>
        <v>#REF!</v>
      </c>
      <c r="L20" s="149" t="e">
        <f>+#REF!</f>
        <v>#REF!</v>
      </c>
      <c r="M20" s="170" t="e">
        <f>+#REF!</f>
        <v>#REF!</v>
      </c>
      <c r="N20" s="149"/>
      <c r="O20" s="169" t="e">
        <f>+#REF!</f>
        <v>#REF!</v>
      </c>
      <c r="P20" s="149" t="e">
        <f>+#REF!</f>
        <v>#REF!</v>
      </c>
      <c r="Q20" s="149" t="e">
        <f>+#REF!</f>
        <v>#REF!</v>
      </c>
      <c r="R20" s="149" t="e">
        <f>+#REF!</f>
        <v>#REF!</v>
      </c>
      <c r="S20" s="170" t="e">
        <f>+#REF!</f>
        <v>#REF!</v>
      </c>
      <c r="T20" s="149"/>
      <c r="U20" s="189" t="e">
        <f>+#REF!</f>
        <v>#REF!</v>
      </c>
      <c r="V20" s="190" t="e">
        <f>+#REF!</f>
        <v>#REF!</v>
      </c>
      <c r="W20" s="190" t="e">
        <f>+#REF!</f>
        <v>#REF!</v>
      </c>
      <c r="X20" s="190" t="e">
        <f>+#REF!</f>
        <v>#REF!</v>
      </c>
      <c r="Y20" s="191" t="e">
        <f>+#REF!</f>
        <v>#REF!</v>
      </c>
      <c r="Z20" s="149"/>
      <c r="AA20" s="189" t="e">
        <f>+#REF!</f>
        <v>#REF!</v>
      </c>
      <c r="AB20" s="190" t="e">
        <f>+#REF!</f>
        <v>#REF!</v>
      </c>
      <c r="AC20" s="190" t="e">
        <f>+#REF!</f>
        <v>#REF!</v>
      </c>
      <c r="AD20" s="190" t="e">
        <f>+#REF!</f>
        <v>#REF!</v>
      </c>
      <c r="AE20" s="191" t="e">
        <f>+#REF!</f>
        <v>#REF!</v>
      </c>
      <c r="AF20" s="149"/>
      <c r="AG20" s="189" t="e">
        <f>+#REF!</f>
        <v>#REF!</v>
      </c>
      <c r="AH20" s="190" t="e">
        <f>+#REF!</f>
        <v>#REF!</v>
      </c>
      <c r="AI20" s="190" t="e">
        <f>+#REF!</f>
        <v>#REF!</v>
      </c>
      <c r="AJ20" s="190" t="e">
        <f>+#REF!</f>
        <v>#REF!</v>
      </c>
      <c r="AK20" s="191" t="e">
        <f>+#REF!</f>
        <v>#REF!</v>
      </c>
      <c r="AL20" s="149"/>
      <c r="AM20" s="189" t="e">
        <f>+#REF!</f>
        <v>#REF!</v>
      </c>
      <c r="AN20" s="190" t="e">
        <f>+#REF!</f>
        <v>#REF!</v>
      </c>
      <c r="AO20" s="190" t="e">
        <f>+#REF!</f>
        <v>#REF!</v>
      </c>
      <c r="AP20" s="190" t="e">
        <f>+#REF!</f>
        <v>#REF!</v>
      </c>
      <c r="AQ20" s="191" t="e">
        <f>+#REF!</f>
        <v>#REF!</v>
      </c>
      <c r="AR20" s="149"/>
      <c r="AS20" s="189" t="e">
        <f>+#REF!</f>
        <v>#REF!</v>
      </c>
      <c r="AT20" s="190" t="e">
        <f>+#REF!</f>
        <v>#REF!</v>
      </c>
      <c r="AU20" s="190" t="e">
        <f>+#REF!</f>
        <v>#REF!</v>
      </c>
      <c r="AV20" s="190" t="e">
        <f>+#REF!</f>
        <v>#REF!</v>
      </c>
      <c r="AW20" s="191" t="e">
        <f>+#REF!</f>
        <v>#REF!</v>
      </c>
      <c r="AX20" s="149"/>
      <c r="AY20" s="189" t="e">
        <f>+#REF!</f>
        <v>#REF!</v>
      </c>
      <c r="AZ20" s="190" t="e">
        <f>+#REF!</f>
        <v>#REF!</v>
      </c>
      <c r="BA20" s="190" t="e">
        <f>+#REF!</f>
        <v>#REF!</v>
      </c>
      <c r="BB20" s="190" t="e">
        <f>+#REF!</f>
        <v>#REF!</v>
      </c>
      <c r="BC20" s="191" t="e">
        <f>+#REF!</f>
        <v>#REF!</v>
      </c>
      <c r="BD20" s="149"/>
      <c r="BE20" s="189" t="e">
        <f>+#REF!</f>
        <v>#REF!</v>
      </c>
      <c r="BF20" s="190" t="e">
        <f>+#REF!</f>
        <v>#REF!</v>
      </c>
      <c r="BG20" s="190" t="e">
        <f>+#REF!</f>
        <v>#REF!</v>
      </c>
      <c r="BH20" s="190" t="e">
        <f>+#REF!</f>
        <v>#REF!</v>
      </c>
      <c r="BI20" s="191" t="e">
        <f>+#REF!</f>
        <v>#REF!</v>
      </c>
    </row>
    <row r="21" spans="1:61" ht="15.75" x14ac:dyDescent="0.25">
      <c r="A21" s="614"/>
      <c r="B21" s="97"/>
      <c r="C21" s="163"/>
      <c r="D21" s="87"/>
      <c r="E21" s="87"/>
      <c r="F21" s="87"/>
      <c r="G21" s="164"/>
      <c r="H21" s="87"/>
      <c r="I21" s="163"/>
      <c r="J21" s="87"/>
      <c r="K21" s="87"/>
      <c r="L21" s="87"/>
      <c r="M21" s="164"/>
      <c r="N21" s="87"/>
      <c r="O21" s="163"/>
      <c r="P21" s="87"/>
      <c r="Q21" s="87"/>
      <c r="R21" s="87"/>
      <c r="S21" s="164"/>
      <c r="T21" s="87"/>
      <c r="U21" s="163"/>
      <c r="V21" s="87"/>
      <c r="W21" s="87"/>
      <c r="X21" s="87"/>
      <c r="Y21" s="164"/>
      <c r="Z21" s="87"/>
      <c r="AA21" s="163"/>
      <c r="AB21" s="87"/>
      <c r="AC21" s="87"/>
      <c r="AD21" s="87"/>
      <c r="AE21" s="164"/>
      <c r="AF21" s="87"/>
      <c r="AG21" s="163"/>
      <c r="AH21" s="87"/>
      <c r="AI21" s="87"/>
      <c r="AJ21" s="87"/>
      <c r="AK21" s="164"/>
      <c r="AL21" s="87"/>
      <c r="AM21" s="163"/>
      <c r="AN21" s="87"/>
      <c r="AO21" s="87"/>
      <c r="AP21" s="87"/>
      <c r="AQ21" s="164"/>
      <c r="AR21" s="87"/>
      <c r="AS21" s="163"/>
      <c r="AT21" s="87"/>
      <c r="AU21" s="87"/>
      <c r="AV21" s="87"/>
      <c r="AW21" s="164"/>
      <c r="AX21" s="87"/>
      <c r="AY21" s="163"/>
      <c r="AZ21" s="87"/>
      <c r="BA21" s="87"/>
      <c r="BB21" s="87"/>
      <c r="BC21" s="164"/>
      <c r="BD21" s="87"/>
      <c r="BE21" s="163"/>
      <c r="BF21" s="87"/>
      <c r="BG21" s="87"/>
      <c r="BH21" s="87"/>
      <c r="BI21" s="164"/>
    </row>
    <row r="22" spans="1:61" ht="15.75" x14ac:dyDescent="0.25">
      <c r="A22" s="220">
        <f>+WeeklyPerformanceReport!A13</f>
        <v>0</v>
      </c>
      <c r="B22" s="226"/>
      <c r="C22" s="227" t="e">
        <f>+#REF!</f>
        <v>#REF!</v>
      </c>
      <c r="D22" s="221" t="e">
        <f>+#REF!</f>
        <v>#REF!</v>
      </c>
      <c r="E22" s="221" t="e">
        <f>+#REF!</f>
        <v>#REF!</v>
      </c>
      <c r="F22" s="221" t="e">
        <f>+#REF!</f>
        <v>#REF!</v>
      </c>
      <c r="G22" s="228" t="e">
        <f>+#REF!</f>
        <v>#REF!</v>
      </c>
      <c r="H22" s="221"/>
      <c r="I22" s="227" t="e">
        <f>+#REF!</f>
        <v>#REF!</v>
      </c>
      <c r="J22" s="221" t="e">
        <f>+#REF!</f>
        <v>#REF!</v>
      </c>
      <c r="K22" s="221" t="e">
        <f>+#REF!</f>
        <v>#REF!</v>
      </c>
      <c r="L22" s="221" t="e">
        <f>+#REF!</f>
        <v>#REF!</v>
      </c>
      <c r="M22" s="228" t="e">
        <f>+#REF!</f>
        <v>#REF!</v>
      </c>
      <c r="N22" s="221"/>
      <c r="O22" s="227" t="e">
        <f>+#REF!</f>
        <v>#REF!</v>
      </c>
      <c r="P22" s="221" t="e">
        <f>+#REF!</f>
        <v>#REF!</v>
      </c>
      <c r="Q22" s="221" t="e">
        <f>+#REF!</f>
        <v>#REF!</v>
      </c>
      <c r="R22" s="221" t="e">
        <f>+#REF!</f>
        <v>#REF!</v>
      </c>
      <c r="S22" s="228" t="e">
        <f>+#REF!</f>
        <v>#REF!</v>
      </c>
      <c r="T22" s="221"/>
      <c r="U22" s="229" t="e">
        <f>+#REF!</f>
        <v>#REF!</v>
      </c>
      <c r="V22" s="230" t="e">
        <f>+#REF!</f>
        <v>#REF!</v>
      </c>
      <c r="W22" s="230" t="e">
        <f>+#REF!</f>
        <v>#REF!</v>
      </c>
      <c r="X22" s="230" t="e">
        <f>+#REF!</f>
        <v>#REF!</v>
      </c>
      <c r="Y22" s="231" t="e">
        <f>+#REF!</f>
        <v>#REF!</v>
      </c>
      <c r="Z22" s="221"/>
      <c r="AA22" s="229" t="e">
        <f>+#REF!</f>
        <v>#REF!</v>
      </c>
      <c r="AB22" s="230" t="e">
        <f>+#REF!</f>
        <v>#REF!</v>
      </c>
      <c r="AC22" s="230" t="e">
        <f>+#REF!</f>
        <v>#REF!</v>
      </c>
      <c r="AD22" s="230" t="e">
        <f>+#REF!</f>
        <v>#REF!</v>
      </c>
      <c r="AE22" s="231" t="e">
        <f>+#REF!</f>
        <v>#REF!</v>
      </c>
      <c r="AF22" s="221"/>
      <c r="AG22" s="229" t="e">
        <f>+#REF!</f>
        <v>#REF!</v>
      </c>
      <c r="AH22" s="230" t="e">
        <f>+#REF!</f>
        <v>#REF!</v>
      </c>
      <c r="AI22" s="230" t="e">
        <f>+#REF!</f>
        <v>#REF!</v>
      </c>
      <c r="AJ22" s="230" t="e">
        <f>+#REF!</f>
        <v>#REF!</v>
      </c>
      <c r="AK22" s="231" t="e">
        <f>+#REF!</f>
        <v>#REF!</v>
      </c>
      <c r="AL22" s="221"/>
      <c r="AM22" s="229" t="e">
        <f>+#REF!</f>
        <v>#REF!</v>
      </c>
      <c r="AN22" s="230" t="e">
        <f>+#REF!</f>
        <v>#REF!</v>
      </c>
      <c r="AO22" s="230" t="e">
        <f>+#REF!</f>
        <v>#REF!</v>
      </c>
      <c r="AP22" s="230" t="e">
        <f>+#REF!</f>
        <v>#REF!</v>
      </c>
      <c r="AQ22" s="231" t="e">
        <f>+#REF!</f>
        <v>#REF!</v>
      </c>
      <c r="AR22" s="221"/>
      <c r="AS22" s="229" t="e">
        <f>+#REF!</f>
        <v>#REF!</v>
      </c>
      <c r="AT22" s="230" t="e">
        <f>+#REF!</f>
        <v>#REF!</v>
      </c>
      <c r="AU22" s="230" t="e">
        <f>+#REF!</f>
        <v>#REF!</v>
      </c>
      <c r="AV22" s="230" t="e">
        <f>+#REF!</f>
        <v>#REF!</v>
      </c>
      <c r="AW22" s="231" t="e">
        <f>+#REF!</f>
        <v>#REF!</v>
      </c>
      <c r="AX22" s="221"/>
      <c r="AY22" s="229" t="e">
        <f>+#REF!</f>
        <v>#REF!</v>
      </c>
      <c r="AZ22" s="230" t="e">
        <f>+#REF!</f>
        <v>#REF!</v>
      </c>
      <c r="BA22" s="230" t="e">
        <f>+#REF!</f>
        <v>#REF!</v>
      </c>
      <c r="BB22" s="230" t="e">
        <f>+#REF!</f>
        <v>#REF!</v>
      </c>
      <c r="BC22" s="231" t="e">
        <f>+#REF!</f>
        <v>#REF!</v>
      </c>
      <c r="BD22" s="221"/>
      <c r="BE22" s="229" t="e">
        <f>+#REF!</f>
        <v>#REF!</v>
      </c>
      <c r="BF22" s="230" t="e">
        <f>+#REF!</f>
        <v>#REF!</v>
      </c>
      <c r="BG22" s="230" t="e">
        <f>+#REF!</f>
        <v>#REF!</v>
      </c>
      <c r="BH22" s="230" t="e">
        <f>+#REF!</f>
        <v>#REF!</v>
      </c>
      <c r="BI22" s="231" t="e">
        <f>+#REF!</f>
        <v>#REF!</v>
      </c>
    </row>
    <row r="23" spans="1:61" ht="15.75" x14ac:dyDescent="0.25">
      <c r="A23" s="614"/>
      <c r="B23" s="97"/>
      <c r="C23" s="163"/>
      <c r="D23" s="87"/>
      <c r="E23" s="87"/>
      <c r="F23" s="87"/>
      <c r="G23" s="164"/>
      <c r="H23" s="87"/>
      <c r="I23" s="163"/>
      <c r="J23" s="87"/>
      <c r="K23" s="87"/>
      <c r="L23" s="87"/>
      <c r="M23" s="164"/>
      <c r="N23" s="87"/>
      <c r="O23" s="163"/>
      <c r="P23" s="87"/>
      <c r="Q23" s="87"/>
      <c r="R23" s="87"/>
      <c r="S23" s="164"/>
      <c r="T23" s="87"/>
      <c r="U23" s="163"/>
      <c r="V23" s="87"/>
      <c r="W23" s="87"/>
      <c r="X23" s="87"/>
      <c r="Y23" s="164"/>
      <c r="Z23" s="87"/>
      <c r="AA23" s="163"/>
      <c r="AB23" s="87"/>
      <c r="AC23" s="87"/>
      <c r="AD23" s="87"/>
      <c r="AE23" s="164"/>
      <c r="AF23" s="87"/>
      <c r="AG23" s="163"/>
      <c r="AH23" s="87"/>
      <c r="AI23" s="87"/>
      <c r="AJ23" s="87"/>
      <c r="AK23" s="164"/>
      <c r="AL23" s="87"/>
      <c r="AM23" s="163"/>
      <c r="AN23" s="87"/>
      <c r="AO23" s="87"/>
      <c r="AP23" s="87"/>
      <c r="AQ23" s="164"/>
      <c r="AR23" s="87"/>
      <c r="AS23" s="163"/>
      <c r="AT23" s="87"/>
      <c r="AU23" s="87"/>
      <c r="AV23" s="87"/>
      <c r="AW23" s="164"/>
      <c r="AX23" s="87"/>
      <c r="AY23" s="163"/>
      <c r="AZ23" s="87"/>
      <c r="BA23" s="87"/>
      <c r="BB23" s="87"/>
      <c r="BC23" s="164"/>
      <c r="BD23" s="87"/>
      <c r="BE23" s="163"/>
      <c r="BF23" s="87"/>
      <c r="BG23" s="87"/>
      <c r="BH23" s="87"/>
      <c r="BI23" s="164"/>
    </row>
    <row r="24" spans="1:61" ht="15.75" x14ac:dyDescent="0.25">
      <c r="A24" s="105">
        <f>+WeeklyPerformanceReport!A14</f>
        <v>0</v>
      </c>
      <c r="B24" s="110"/>
      <c r="C24" s="161" t="e">
        <f>+#REF!</f>
        <v>#REF!</v>
      </c>
      <c r="D24" s="106" t="e">
        <f>+#REF!</f>
        <v>#REF!</v>
      </c>
      <c r="E24" s="106" t="e">
        <f>+#REF!</f>
        <v>#REF!</v>
      </c>
      <c r="F24" s="106" t="e">
        <f>+#REF!</f>
        <v>#REF!</v>
      </c>
      <c r="G24" s="162" t="e">
        <f>+#REF!</f>
        <v>#REF!</v>
      </c>
      <c r="H24" s="106"/>
      <c r="I24" s="161" t="e">
        <f>+#REF!</f>
        <v>#REF!</v>
      </c>
      <c r="J24" s="106" t="e">
        <f>+#REF!</f>
        <v>#REF!</v>
      </c>
      <c r="K24" s="106" t="e">
        <f>+#REF!</f>
        <v>#REF!</v>
      </c>
      <c r="L24" s="106" t="e">
        <f>+#REF!</f>
        <v>#REF!</v>
      </c>
      <c r="M24" s="162" t="e">
        <f>+#REF!</f>
        <v>#REF!</v>
      </c>
      <c r="N24" s="106"/>
      <c r="O24" s="161" t="e">
        <f>+#REF!</f>
        <v>#REF!</v>
      </c>
      <c r="P24" s="106" t="e">
        <f>+#REF!</f>
        <v>#REF!</v>
      </c>
      <c r="Q24" s="106" t="e">
        <f>+#REF!</f>
        <v>#REF!</v>
      </c>
      <c r="R24" s="106" t="e">
        <f>+#REF!</f>
        <v>#REF!</v>
      </c>
      <c r="S24" s="162" t="e">
        <f>+#REF!</f>
        <v>#REF!</v>
      </c>
      <c r="T24" s="106"/>
      <c r="U24" s="180" t="e">
        <f>+#REF!</f>
        <v>#REF!</v>
      </c>
      <c r="V24" s="181" t="e">
        <f>+#REF!</f>
        <v>#REF!</v>
      </c>
      <c r="W24" s="181" t="e">
        <f>+#REF!</f>
        <v>#REF!</v>
      </c>
      <c r="X24" s="181" t="e">
        <f>+#REF!</f>
        <v>#REF!</v>
      </c>
      <c r="Y24" s="182" t="e">
        <f>+#REF!</f>
        <v>#REF!</v>
      </c>
      <c r="Z24" s="106"/>
      <c r="AA24" s="180" t="e">
        <f>+#REF!</f>
        <v>#REF!</v>
      </c>
      <c r="AB24" s="181" t="e">
        <f>+#REF!</f>
        <v>#REF!</v>
      </c>
      <c r="AC24" s="181" t="e">
        <f>+#REF!</f>
        <v>#REF!</v>
      </c>
      <c r="AD24" s="181" t="e">
        <f>+#REF!</f>
        <v>#REF!</v>
      </c>
      <c r="AE24" s="182" t="e">
        <f>+#REF!</f>
        <v>#REF!</v>
      </c>
      <c r="AF24" s="106"/>
      <c r="AG24" s="180" t="e">
        <f>+#REF!</f>
        <v>#REF!</v>
      </c>
      <c r="AH24" s="181" t="e">
        <f>+#REF!</f>
        <v>#REF!</v>
      </c>
      <c r="AI24" s="181" t="e">
        <f>+#REF!</f>
        <v>#REF!</v>
      </c>
      <c r="AJ24" s="181" t="e">
        <f>+#REF!</f>
        <v>#REF!</v>
      </c>
      <c r="AK24" s="182" t="e">
        <f>+#REF!</f>
        <v>#REF!</v>
      </c>
      <c r="AL24" s="106"/>
      <c r="AM24" s="180" t="e">
        <f>+#REF!</f>
        <v>#REF!</v>
      </c>
      <c r="AN24" s="181" t="e">
        <f>+#REF!</f>
        <v>#REF!</v>
      </c>
      <c r="AO24" s="181" t="e">
        <f>+#REF!</f>
        <v>#REF!</v>
      </c>
      <c r="AP24" s="181" t="e">
        <f>+#REF!</f>
        <v>#REF!</v>
      </c>
      <c r="AQ24" s="182" t="e">
        <f>+#REF!</f>
        <v>#REF!</v>
      </c>
      <c r="AR24" s="106"/>
      <c r="AS24" s="180" t="e">
        <f>+#REF!</f>
        <v>#REF!</v>
      </c>
      <c r="AT24" s="181" t="e">
        <f>+#REF!</f>
        <v>#REF!</v>
      </c>
      <c r="AU24" s="181" t="e">
        <f>+#REF!</f>
        <v>#REF!</v>
      </c>
      <c r="AV24" s="181" t="e">
        <f>+#REF!</f>
        <v>#REF!</v>
      </c>
      <c r="AW24" s="182" t="e">
        <f>+#REF!</f>
        <v>#REF!</v>
      </c>
      <c r="AX24" s="106"/>
      <c r="AY24" s="180" t="e">
        <f>+#REF!</f>
        <v>#REF!</v>
      </c>
      <c r="AZ24" s="181" t="e">
        <f>+#REF!</f>
        <v>#REF!</v>
      </c>
      <c r="BA24" s="181" t="e">
        <f>+#REF!</f>
        <v>#REF!</v>
      </c>
      <c r="BB24" s="181" t="e">
        <f>+#REF!</f>
        <v>#REF!</v>
      </c>
      <c r="BC24" s="182" t="e">
        <f>+#REF!</f>
        <v>#REF!</v>
      </c>
      <c r="BD24" s="106"/>
      <c r="BE24" s="180" t="e">
        <f>+#REF!</f>
        <v>#REF!</v>
      </c>
      <c r="BF24" s="181" t="e">
        <f>+#REF!</f>
        <v>#REF!</v>
      </c>
      <c r="BG24" s="181" t="e">
        <f>+#REF!</f>
        <v>#REF!</v>
      </c>
      <c r="BH24" s="181" t="e">
        <f>+#REF!</f>
        <v>#REF!</v>
      </c>
      <c r="BI24" s="182" t="e">
        <f>+#REF!</f>
        <v>#REF!</v>
      </c>
    </row>
    <row r="25" spans="1:61" ht="15.75" x14ac:dyDescent="0.25">
      <c r="A25" s="614"/>
      <c r="B25" s="97"/>
      <c r="C25" s="163"/>
      <c r="D25" s="87"/>
      <c r="E25" s="87"/>
      <c r="F25" s="87"/>
      <c r="G25" s="164"/>
      <c r="H25" s="87"/>
      <c r="I25" s="163"/>
      <c r="J25" s="87"/>
      <c r="K25" s="87"/>
      <c r="L25" s="87"/>
      <c r="M25" s="164"/>
      <c r="N25" s="87"/>
      <c r="O25" s="163"/>
      <c r="P25" s="87"/>
      <c r="Q25" s="87"/>
      <c r="R25" s="87"/>
      <c r="S25" s="164"/>
      <c r="T25" s="87"/>
      <c r="U25" s="163"/>
      <c r="V25" s="87"/>
      <c r="W25" s="87"/>
      <c r="X25" s="87"/>
      <c r="Y25" s="164"/>
      <c r="Z25" s="87"/>
      <c r="AA25" s="163"/>
      <c r="AB25" s="87"/>
      <c r="AC25" s="87"/>
      <c r="AD25" s="87"/>
      <c r="AE25" s="164"/>
      <c r="AF25" s="87"/>
      <c r="AG25" s="163"/>
      <c r="AH25" s="87"/>
      <c r="AI25" s="87"/>
      <c r="AJ25" s="87"/>
      <c r="AK25" s="164"/>
      <c r="AL25" s="87"/>
      <c r="AM25" s="163"/>
      <c r="AN25" s="87"/>
      <c r="AO25" s="87"/>
      <c r="AP25" s="87"/>
      <c r="AQ25" s="164"/>
      <c r="AR25" s="87"/>
      <c r="AS25" s="163"/>
      <c r="AT25" s="87"/>
      <c r="AU25" s="87"/>
      <c r="AV25" s="87"/>
      <c r="AW25" s="164"/>
      <c r="AX25" s="87"/>
      <c r="AY25" s="163"/>
      <c r="AZ25" s="87"/>
      <c r="BA25" s="87"/>
      <c r="BB25" s="87"/>
      <c r="BC25" s="164"/>
      <c r="BD25" s="87"/>
      <c r="BE25" s="163"/>
      <c r="BF25" s="87"/>
      <c r="BG25" s="87"/>
      <c r="BH25" s="87"/>
      <c r="BI25" s="164"/>
    </row>
    <row r="26" spans="1:61" ht="15.75" x14ac:dyDescent="0.25">
      <c r="A26" s="233">
        <f>+WeeklyPerformanceReport!A15</f>
        <v>0</v>
      </c>
      <c r="B26" s="240"/>
      <c r="C26" s="241" t="e">
        <f>+#REF!</f>
        <v>#REF!</v>
      </c>
      <c r="D26" s="235" t="e">
        <f>+#REF!</f>
        <v>#REF!</v>
      </c>
      <c r="E26" s="235" t="e">
        <f>+#REF!</f>
        <v>#REF!</v>
      </c>
      <c r="F26" s="235" t="e">
        <f>+#REF!</f>
        <v>#REF!</v>
      </c>
      <c r="G26" s="242" t="e">
        <f>+#REF!</f>
        <v>#REF!</v>
      </c>
      <c r="H26" s="235"/>
      <c r="I26" s="241" t="e">
        <f>+#REF!</f>
        <v>#REF!</v>
      </c>
      <c r="J26" s="235" t="e">
        <f>+#REF!</f>
        <v>#REF!</v>
      </c>
      <c r="K26" s="235" t="e">
        <f>+#REF!</f>
        <v>#REF!</v>
      </c>
      <c r="L26" s="235" t="e">
        <f>+#REF!</f>
        <v>#REF!</v>
      </c>
      <c r="M26" s="242" t="e">
        <f>+#REF!</f>
        <v>#REF!</v>
      </c>
      <c r="N26" s="235"/>
      <c r="O26" s="241" t="e">
        <f>+#REF!</f>
        <v>#REF!</v>
      </c>
      <c r="P26" s="235" t="e">
        <f>+#REF!</f>
        <v>#REF!</v>
      </c>
      <c r="Q26" s="235" t="e">
        <f>+#REF!</f>
        <v>#REF!</v>
      </c>
      <c r="R26" s="235" t="e">
        <f>+#REF!</f>
        <v>#REF!</v>
      </c>
      <c r="S26" s="242" t="e">
        <f>+#REF!</f>
        <v>#REF!</v>
      </c>
      <c r="T26" s="235"/>
      <c r="U26" s="243" t="e">
        <f>+#REF!</f>
        <v>#REF!</v>
      </c>
      <c r="V26" s="244" t="e">
        <f>+#REF!</f>
        <v>#REF!</v>
      </c>
      <c r="W26" s="244" t="e">
        <f>+#REF!</f>
        <v>#REF!</v>
      </c>
      <c r="X26" s="244" t="e">
        <f>+#REF!</f>
        <v>#REF!</v>
      </c>
      <c r="Y26" s="245" t="e">
        <f>+#REF!</f>
        <v>#REF!</v>
      </c>
      <c r="Z26" s="235"/>
      <c r="AA26" s="243" t="e">
        <f>+#REF!</f>
        <v>#REF!</v>
      </c>
      <c r="AB26" s="244" t="e">
        <f>+#REF!</f>
        <v>#REF!</v>
      </c>
      <c r="AC26" s="244" t="e">
        <f>+#REF!</f>
        <v>#REF!</v>
      </c>
      <c r="AD26" s="244" t="e">
        <f>+#REF!</f>
        <v>#REF!</v>
      </c>
      <c r="AE26" s="245" t="e">
        <f>+#REF!</f>
        <v>#REF!</v>
      </c>
      <c r="AF26" s="235"/>
      <c r="AG26" s="243" t="e">
        <f>+#REF!</f>
        <v>#REF!</v>
      </c>
      <c r="AH26" s="244" t="e">
        <f>+#REF!</f>
        <v>#REF!</v>
      </c>
      <c r="AI26" s="244" t="e">
        <f>+#REF!</f>
        <v>#REF!</v>
      </c>
      <c r="AJ26" s="244" t="e">
        <f>+#REF!</f>
        <v>#REF!</v>
      </c>
      <c r="AK26" s="245" t="e">
        <f>+#REF!</f>
        <v>#REF!</v>
      </c>
      <c r="AL26" s="235"/>
      <c r="AM26" s="243" t="e">
        <f>+#REF!</f>
        <v>#REF!</v>
      </c>
      <c r="AN26" s="244" t="e">
        <f>+#REF!</f>
        <v>#REF!</v>
      </c>
      <c r="AO26" s="244" t="e">
        <f>+#REF!</f>
        <v>#REF!</v>
      </c>
      <c r="AP26" s="244" t="e">
        <f>+#REF!</f>
        <v>#REF!</v>
      </c>
      <c r="AQ26" s="245" t="e">
        <f>+#REF!</f>
        <v>#REF!</v>
      </c>
      <c r="AR26" s="235"/>
      <c r="AS26" s="243" t="e">
        <f>+#REF!</f>
        <v>#REF!</v>
      </c>
      <c r="AT26" s="244" t="e">
        <f>+#REF!</f>
        <v>#REF!</v>
      </c>
      <c r="AU26" s="244" t="e">
        <f>+#REF!</f>
        <v>#REF!</v>
      </c>
      <c r="AV26" s="244" t="e">
        <f>+#REF!</f>
        <v>#REF!</v>
      </c>
      <c r="AW26" s="245" t="e">
        <f>+#REF!</f>
        <v>#REF!</v>
      </c>
      <c r="AX26" s="235"/>
      <c r="AY26" s="243" t="e">
        <f>+#REF!</f>
        <v>#REF!</v>
      </c>
      <c r="AZ26" s="244" t="e">
        <f>+#REF!</f>
        <v>#REF!</v>
      </c>
      <c r="BA26" s="244" t="e">
        <f>+#REF!</f>
        <v>#REF!</v>
      </c>
      <c r="BB26" s="244" t="e">
        <f>+#REF!</f>
        <v>#REF!</v>
      </c>
      <c r="BC26" s="245" t="e">
        <f>+#REF!</f>
        <v>#REF!</v>
      </c>
      <c r="BD26" s="235"/>
      <c r="BE26" s="243" t="e">
        <f>+#REF!</f>
        <v>#REF!</v>
      </c>
      <c r="BF26" s="244" t="e">
        <f>+#REF!</f>
        <v>#REF!</v>
      </c>
      <c r="BG26" s="244" t="e">
        <f>+#REF!</f>
        <v>#REF!</v>
      </c>
      <c r="BH26" s="244" t="e">
        <f>+#REF!</f>
        <v>#REF!</v>
      </c>
      <c r="BI26" s="245" t="e">
        <f>+#REF!</f>
        <v>#REF!</v>
      </c>
    </row>
    <row r="27" spans="1:61" ht="15.75" x14ac:dyDescent="0.25">
      <c r="A27" s="614"/>
      <c r="B27" s="97"/>
      <c r="C27" s="163"/>
      <c r="D27" s="87"/>
      <c r="E27" s="87"/>
      <c r="F27" s="87"/>
      <c r="G27" s="164"/>
      <c r="H27" s="87"/>
      <c r="I27" s="163"/>
      <c r="J27" s="87"/>
      <c r="K27" s="87"/>
      <c r="L27" s="87"/>
      <c r="M27" s="164"/>
      <c r="N27" s="87"/>
      <c r="O27" s="163"/>
      <c r="P27" s="87"/>
      <c r="Q27" s="87"/>
      <c r="R27" s="87"/>
      <c r="S27" s="164"/>
      <c r="T27" s="87"/>
      <c r="U27" s="163"/>
      <c r="V27" s="87"/>
      <c r="W27" s="87"/>
      <c r="X27" s="87"/>
      <c r="Y27" s="164"/>
      <c r="Z27" s="87"/>
      <c r="AA27" s="163"/>
      <c r="AB27" s="87"/>
      <c r="AC27" s="87"/>
      <c r="AD27" s="87"/>
      <c r="AE27" s="164"/>
      <c r="AF27" s="87"/>
      <c r="AG27" s="163"/>
      <c r="AH27" s="87"/>
      <c r="AI27" s="87"/>
      <c r="AJ27" s="87"/>
      <c r="AK27" s="164"/>
      <c r="AL27" s="87"/>
      <c r="AM27" s="163"/>
      <c r="AN27" s="87"/>
      <c r="AO27" s="87"/>
      <c r="AP27" s="87"/>
      <c r="AQ27" s="164"/>
      <c r="AR27" s="87"/>
      <c r="AS27" s="163"/>
      <c r="AT27" s="87"/>
      <c r="AU27" s="87"/>
      <c r="AV27" s="87"/>
      <c r="AW27" s="164"/>
      <c r="AX27" s="87"/>
      <c r="AY27" s="163"/>
      <c r="AZ27" s="87"/>
      <c r="BA27" s="87"/>
      <c r="BB27" s="87"/>
      <c r="BC27" s="164"/>
      <c r="BD27" s="87"/>
      <c r="BE27" s="163"/>
      <c r="BF27" s="87"/>
      <c r="BG27" s="87"/>
      <c r="BH27" s="87"/>
      <c r="BI27" s="164"/>
    </row>
    <row r="28" spans="1:61" ht="15.75" x14ac:dyDescent="0.25">
      <c r="A28" s="126">
        <f>+WeeklyPerformanceReport!A16</f>
        <v>0</v>
      </c>
      <c r="B28" s="131"/>
      <c r="C28" s="173" t="e">
        <f>+#REF!</f>
        <v>#REF!</v>
      </c>
      <c r="D28" s="127" t="e">
        <f>+#REF!</f>
        <v>#REF!</v>
      </c>
      <c r="E28" s="127" t="e">
        <f>+#REF!</f>
        <v>#REF!</v>
      </c>
      <c r="F28" s="127" t="e">
        <f>+#REF!</f>
        <v>#REF!</v>
      </c>
      <c r="G28" s="174" t="e">
        <f>+#REF!</f>
        <v>#REF!</v>
      </c>
      <c r="H28" s="127"/>
      <c r="I28" s="173" t="e">
        <f>+#REF!</f>
        <v>#REF!</v>
      </c>
      <c r="J28" s="127" t="e">
        <f>+#REF!</f>
        <v>#REF!</v>
      </c>
      <c r="K28" s="127" t="e">
        <f>+#REF!</f>
        <v>#REF!</v>
      </c>
      <c r="L28" s="127" t="e">
        <f>+#REF!</f>
        <v>#REF!</v>
      </c>
      <c r="M28" s="174" t="e">
        <f>+#REF!</f>
        <v>#REF!</v>
      </c>
      <c r="N28" s="127"/>
      <c r="O28" s="173" t="e">
        <f>+#REF!</f>
        <v>#REF!</v>
      </c>
      <c r="P28" s="127" t="e">
        <f>+#REF!</f>
        <v>#REF!</v>
      </c>
      <c r="Q28" s="127" t="e">
        <f>+#REF!</f>
        <v>#REF!</v>
      </c>
      <c r="R28" s="127" t="e">
        <f>+#REF!</f>
        <v>#REF!</v>
      </c>
      <c r="S28" s="174" t="e">
        <f>+#REF!</f>
        <v>#REF!</v>
      </c>
      <c r="T28" s="127"/>
      <c r="U28" s="195" t="e">
        <f>+#REF!</f>
        <v>#REF!</v>
      </c>
      <c r="V28" s="196" t="e">
        <f>+#REF!</f>
        <v>#REF!</v>
      </c>
      <c r="W28" s="196" t="e">
        <f>+#REF!</f>
        <v>#REF!</v>
      </c>
      <c r="X28" s="196" t="e">
        <f>+#REF!</f>
        <v>#REF!</v>
      </c>
      <c r="Y28" s="197" t="e">
        <f>+#REF!</f>
        <v>#REF!</v>
      </c>
      <c r="Z28" s="127"/>
      <c r="AA28" s="195" t="e">
        <f>+#REF!</f>
        <v>#REF!</v>
      </c>
      <c r="AB28" s="196" t="e">
        <f>+#REF!</f>
        <v>#REF!</v>
      </c>
      <c r="AC28" s="196" t="e">
        <f>+#REF!</f>
        <v>#REF!</v>
      </c>
      <c r="AD28" s="196" t="e">
        <f>+#REF!</f>
        <v>#REF!</v>
      </c>
      <c r="AE28" s="197" t="e">
        <f>+#REF!</f>
        <v>#REF!</v>
      </c>
      <c r="AF28" s="127"/>
      <c r="AG28" s="195" t="e">
        <f>+#REF!</f>
        <v>#REF!</v>
      </c>
      <c r="AH28" s="196" t="e">
        <f>+#REF!</f>
        <v>#REF!</v>
      </c>
      <c r="AI28" s="196" t="e">
        <f>+#REF!</f>
        <v>#REF!</v>
      </c>
      <c r="AJ28" s="196" t="e">
        <f>+#REF!</f>
        <v>#REF!</v>
      </c>
      <c r="AK28" s="197" t="e">
        <f>+#REF!</f>
        <v>#REF!</v>
      </c>
      <c r="AL28" s="127"/>
      <c r="AM28" s="195" t="e">
        <f>+#REF!</f>
        <v>#REF!</v>
      </c>
      <c r="AN28" s="196" t="e">
        <f>+#REF!</f>
        <v>#REF!</v>
      </c>
      <c r="AO28" s="196" t="e">
        <f>+#REF!</f>
        <v>#REF!</v>
      </c>
      <c r="AP28" s="196" t="e">
        <f>+#REF!</f>
        <v>#REF!</v>
      </c>
      <c r="AQ28" s="197" t="e">
        <f>+#REF!</f>
        <v>#REF!</v>
      </c>
      <c r="AR28" s="127"/>
      <c r="AS28" s="195" t="e">
        <f>+#REF!</f>
        <v>#REF!</v>
      </c>
      <c r="AT28" s="196" t="e">
        <f>+#REF!</f>
        <v>#REF!</v>
      </c>
      <c r="AU28" s="196" t="e">
        <f>+#REF!</f>
        <v>#REF!</v>
      </c>
      <c r="AV28" s="196" t="e">
        <f>+#REF!</f>
        <v>#REF!</v>
      </c>
      <c r="AW28" s="197" t="e">
        <f>+#REF!</f>
        <v>#REF!</v>
      </c>
      <c r="AX28" s="127"/>
      <c r="AY28" s="195" t="e">
        <f>+#REF!</f>
        <v>#REF!</v>
      </c>
      <c r="AZ28" s="196" t="e">
        <f>+#REF!</f>
        <v>#REF!</v>
      </c>
      <c r="BA28" s="196" t="e">
        <f>+#REF!</f>
        <v>#REF!</v>
      </c>
      <c r="BB28" s="196" t="e">
        <f>+#REF!</f>
        <v>#REF!</v>
      </c>
      <c r="BC28" s="197" t="e">
        <f>+#REF!</f>
        <v>#REF!</v>
      </c>
      <c r="BD28" s="127"/>
      <c r="BE28" s="195" t="e">
        <f>+#REF!</f>
        <v>#REF!</v>
      </c>
      <c r="BF28" s="196" t="e">
        <f>+#REF!</f>
        <v>#REF!</v>
      </c>
      <c r="BG28" s="196" t="e">
        <f>+#REF!</f>
        <v>#REF!</v>
      </c>
      <c r="BH28" s="196" t="e">
        <f>+#REF!</f>
        <v>#REF!</v>
      </c>
      <c r="BI28" s="197" t="e">
        <f>+#REF!</f>
        <v>#REF!</v>
      </c>
    </row>
    <row r="29" spans="1:61" ht="15.75" x14ac:dyDescent="0.25">
      <c r="A29" s="614"/>
      <c r="B29" s="97"/>
      <c r="C29" s="163"/>
      <c r="D29" s="87"/>
      <c r="E29" s="87"/>
      <c r="F29" s="87"/>
      <c r="G29" s="164"/>
      <c r="H29" s="87"/>
      <c r="I29" s="163"/>
      <c r="J29" s="87"/>
      <c r="K29" s="87"/>
      <c r="L29" s="87"/>
      <c r="M29" s="164"/>
      <c r="N29" s="87"/>
      <c r="O29" s="163"/>
      <c r="P29" s="87"/>
      <c r="Q29" s="87"/>
      <c r="R29" s="87"/>
      <c r="S29" s="164"/>
      <c r="T29" s="87"/>
      <c r="U29" s="163"/>
      <c r="V29" s="87"/>
      <c r="W29" s="87"/>
      <c r="X29" s="87"/>
      <c r="Y29" s="164"/>
      <c r="Z29" s="87"/>
      <c r="AA29" s="163"/>
      <c r="AB29" s="87"/>
      <c r="AC29" s="87"/>
      <c r="AD29" s="87"/>
      <c r="AE29" s="164"/>
      <c r="AF29" s="87"/>
      <c r="AG29" s="163"/>
      <c r="AH29" s="87"/>
      <c r="AI29" s="87"/>
      <c r="AJ29" s="87"/>
      <c r="AK29" s="164"/>
      <c r="AL29" s="87"/>
      <c r="AM29" s="163"/>
      <c r="AN29" s="87"/>
      <c r="AO29" s="87"/>
      <c r="AP29" s="87"/>
      <c r="AQ29" s="164"/>
      <c r="AR29" s="87"/>
      <c r="AS29" s="163"/>
      <c r="AT29" s="87"/>
      <c r="AU29" s="87"/>
      <c r="AV29" s="87"/>
      <c r="AW29" s="164"/>
      <c r="AX29" s="87"/>
      <c r="AY29" s="163"/>
      <c r="AZ29" s="87"/>
      <c r="BA29" s="87"/>
      <c r="BB29" s="87"/>
      <c r="BC29" s="164"/>
      <c r="BD29" s="87"/>
      <c r="BE29" s="163"/>
      <c r="BF29" s="87"/>
      <c r="BG29" s="87"/>
      <c r="BH29" s="87"/>
      <c r="BI29" s="164"/>
    </row>
    <row r="30" spans="1:61" ht="15.75" x14ac:dyDescent="0.25">
      <c r="A30" s="141">
        <f>+WeeklyPerformanceReport!A17</f>
        <v>0</v>
      </c>
      <c r="B30" s="146"/>
      <c r="C30" s="175" t="e">
        <f>+#REF!</f>
        <v>#REF!</v>
      </c>
      <c r="D30" s="142" t="e">
        <f>+#REF!</f>
        <v>#REF!</v>
      </c>
      <c r="E30" s="142" t="e">
        <f>+#REF!</f>
        <v>#REF!</v>
      </c>
      <c r="F30" s="142" t="e">
        <f>+#REF!</f>
        <v>#REF!</v>
      </c>
      <c r="G30" s="176" t="e">
        <f>+#REF!</f>
        <v>#REF!</v>
      </c>
      <c r="H30" s="142"/>
      <c r="I30" s="175" t="e">
        <f>+#REF!</f>
        <v>#REF!</v>
      </c>
      <c r="J30" s="142" t="e">
        <f>+#REF!</f>
        <v>#REF!</v>
      </c>
      <c r="K30" s="142" t="e">
        <f>+#REF!</f>
        <v>#REF!</v>
      </c>
      <c r="L30" s="142" t="e">
        <f>+#REF!</f>
        <v>#REF!</v>
      </c>
      <c r="M30" s="176" t="e">
        <f>+#REF!</f>
        <v>#REF!</v>
      </c>
      <c r="N30" s="142"/>
      <c r="O30" s="175" t="e">
        <f>+#REF!</f>
        <v>#REF!</v>
      </c>
      <c r="P30" s="142" t="e">
        <f>+#REF!</f>
        <v>#REF!</v>
      </c>
      <c r="Q30" s="142" t="e">
        <f>+#REF!</f>
        <v>#REF!</v>
      </c>
      <c r="R30" s="142" t="e">
        <f>+#REF!</f>
        <v>#REF!</v>
      </c>
      <c r="S30" s="176" t="e">
        <f>+#REF!</f>
        <v>#REF!</v>
      </c>
      <c r="T30" s="142"/>
      <c r="U30" s="198" t="e">
        <f>+#REF!</f>
        <v>#REF!</v>
      </c>
      <c r="V30" s="199" t="e">
        <f>+#REF!</f>
        <v>#REF!</v>
      </c>
      <c r="W30" s="199" t="e">
        <f>+#REF!</f>
        <v>#REF!</v>
      </c>
      <c r="X30" s="199" t="e">
        <f>+#REF!</f>
        <v>#REF!</v>
      </c>
      <c r="Y30" s="200" t="e">
        <f>+#REF!</f>
        <v>#REF!</v>
      </c>
      <c r="Z30" s="142"/>
      <c r="AA30" s="198" t="e">
        <f>+#REF!</f>
        <v>#REF!</v>
      </c>
      <c r="AB30" s="199" t="e">
        <f>+#REF!</f>
        <v>#REF!</v>
      </c>
      <c r="AC30" s="199" t="e">
        <f>+#REF!</f>
        <v>#REF!</v>
      </c>
      <c r="AD30" s="199" t="e">
        <f>+#REF!</f>
        <v>#REF!</v>
      </c>
      <c r="AE30" s="200" t="e">
        <f>+#REF!</f>
        <v>#REF!</v>
      </c>
      <c r="AF30" s="142"/>
      <c r="AG30" s="198" t="e">
        <f>+#REF!</f>
        <v>#REF!</v>
      </c>
      <c r="AH30" s="199" t="e">
        <f>+#REF!</f>
        <v>#REF!</v>
      </c>
      <c r="AI30" s="199" t="e">
        <f>+#REF!</f>
        <v>#REF!</v>
      </c>
      <c r="AJ30" s="199" t="e">
        <f>+#REF!</f>
        <v>#REF!</v>
      </c>
      <c r="AK30" s="200" t="e">
        <f>+#REF!</f>
        <v>#REF!</v>
      </c>
      <c r="AL30" s="142"/>
      <c r="AM30" s="198" t="e">
        <f>+#REF!</f>
        <v>#REF!</v>
      </c>
      <c r="AN30" s="199" t="e">
        <f>+#REF!</f>
        <v>#REF!</v>
      </c>
      <c r="AO30" s="199" t="e">
        <f>+#REF!</f>
        <v>#REF!</v>
      </c>
      <c r="AP30" s="199" t="e">
        <f>+#REF!</f>
        <v>#REF!</v>
      </c>
      <c r="AQ30" s="200" t="e">
        <f>+#REF!</f>
        <v>#REF!</v>
      </c>
      <c r="AR30" s="142"/>
      <c r="AS30" s="198" t="e">
        <f>+#REF!</f>
        <v>#REF!</v>
      </c>
      <c r="AT30" s="199" t="e">
        <f>+#REF!</f>
        <v>#REF!</v>
      </c>
      <c r="AU30" s="199" t="e">
        <f>+#REF!</f>
        <v>#REF!</v>
      </c>
      <c r="AV30" s="199" t="e">
        <f>+#REF!</f>
        <v>#REF!</v>
      </c>
      <c r="AW30" s="200" t="e">
        <f>+#REF!</f>
        <v>#REF!</v>
      </c>
      <c r="AX30" s="142"/>
      <c r="AY30" s="198" t="e">
        <f>+#REF!</f>
        <v>#REF!</v>
      </c>
      <c r="AZ30" s="199" t="e">
        <f>+#REF!</f>
        <v>#REF!</v>
      </c>
      <c r="BA30" s="199" t="e">
        <f>+#REF!</f>
        <v>#REF!</v>
      </c>
      <c r="BB30" s="199" t="e">
        <f>+#REF!</f>
        <v>#REF!</v>
      </c>
      <c r="BC30" s="200" t="e">
        <f>+#REF!</f>
        <v>#REF!</v>
      </c>
      <c r="BD30" s="142"/>
      <c r="BE30" s="198" t="e">
        <f>+#REF!</f>
        <v>#REF!</v>
      </c>
      <c r="BF30" s="199" t="e">
        <f>+#REF!</f>
        <v>#REF!</v>
      </c>
      <c r="BG30" s="199" t="e">
        <f>+#REF!</f>
        <v>#REF!</v>
      </c>
      <c r="BH30" s="199" t="e">
        <f>+#REF!</f>
        <v>#REF!</v>
      </c>
      <c r="BI30" s="200" t="e">
        <f>+#REF!</f>
        <v>#REF!</v>
      </c>
    </row>
    <row r="31" spans="1:61" ht="15.75" x14ac:dyDescent="0.25">
      <c r="A31" s="614"/>
      <c r="B31" s="97"/>
      <c r="C31" s="163"/>
      <c r="D31" s="87"/>
      <c r="E31" s="87"/>
      <c r="F31" s="87"/>
      <c r="G31" s="164"/>
      <c r="H31" s="87"/>
      <c r="I31" s="163"/>
      <c r="J31" s="87"/>
      <c r="K31" s="87"/>
      <c r="L31" s="87"/>
      <c r="M31" s="164"/>
      <c r="N31" s="87"/>
      <c r="O31" s="163"/>
      <c r="P31" s="87"/>
      <c r="Q31" s="87"/>
      <c r="R31" s="87"/>
      <c r="S31" s="164"/>
      <c r="T31" s="87"/>
      <c r="U31" s="163"/>
      <c r="V31" s="87"/>
      <c r="W31" s="87"/>
      <c r="X31" s="87"/>
      <c r="Y31" s="164"/>
      <c r="Z31" s="87"/>
      <c r="AA31" s="163"/>
      <c r="AB31" s="87"/>
      <c r="AC31" s="87"/>
      <c r="AD31" s="87"/>
      <c r="AE31" s="164"/>
      <c r="AF31" s="87"/>
      <c r="AG31" s="163"/>
      <c r="AH31" s="87"/>
      <c r="AI31" s="87"/>
      <c r="AJ31" s="87"/>
      <c r="AK31" s="164"/>
      <c r="AL31" s="87"/>
      <c r="AM31" s="163"/>
      <c r="AN31" s="87"/>
      <c r="AO31" s="87"/>
      <c r="AP31" s="87"/>
      <c r="AQ31" s="164"/>
      <c r="AR31" s="87"/>
      <c r="AS31" s="163"/>
      <c r="AT31" s="87"/>
      <c r="AU31" s="87"/>
      <c r="AV31" s="87"/>
      <c r="AW31" s="164"/>
      <c r="AX31" s="87"/>
      <c r="AY31" s="163"/>
      <c r="AZ31" s="87"/>
      <c r="BA31" s="87"/>
      <c r="BB31" s="87"/>
      <c r="BC31" s="164"/>
      <c r="BD31" s="87"/>
      <c r="BE31" s="163"/>
      <c r="BF31" s="87"/>
      <c r="BG31" s="87"/>
      <c r="BH31" s="87"/>
      <c r="BI31" s="164"/>
    </row>
    <row r="32" spans="1:61" ht="15.75" x14ac:dyDescent="0.25">
      <c r="A32" s="249">
        <f>+WeeklyPerformanceReport!A18</f>
        <v>0</v>
      </c>
      <c r="B32" s="255" t="s">
        <v>42</v>
      </c>
      <c r="C32" s="256" t="e">
        <f>+#REF!</f>
        <v>#REF!</v>
      </c>
      <c r="D32" s="250" t="e">
        <f>+#REF!</f>
        <v>#REF!</v>
      </c>
      <c r="E32" s="250" t="e">
        <f>+#REF!</f>
        <v>#REF!</v>
      </c>
      <c r="F32" s="250" t="e">
        <f>+#REF!</f>
        <v>#REF!</v>
      </c>
      <c r="G32" s="257" t="e">
        <f>+#REF!</f>
        <v>#REF!</v>
      </c>
      <c r="H32" s="250"/>
      <c r="I32" s="256" t="e">
        <f>+#REF!</f>
        <v>#REF!</v>
      </c>
      <c r="J32" s="250" t="e">
        <f>+#REF!</f>
        <v>#REF!</v>
      </c>
      <c r="K32" s="250" t="e">
        <f>+#REF!</f>
        <v>#REF!</v>
      </c>
      <c r="L32" s="250" t="e">
        <f>+#REF!</f>
        <v>#REF!</v>
      </c>
      <c r="M32" s="257" t="e">
        <f>+#REF!</f>
        <v>#REF!</v>
      </c>
      <c r="N32" s="250"/>
      <c r="O32" s="256" t="e">
        <f>+#REF!</f>
        <v>#REF!</v>
      </c>
      <c r="P32" s="250" t="e">
        <f>+#REF!</f>
        <v>#REF!</v>
      </c>
      <c r="Q32" s="250" t="e">
        <f>+#REF!</f>
        <v>#REF!</v>
      </c>
      <c r="R32" s="250" t="e">
        <f>+#REF!</f>
        <v>#REF!</v>
      </c>
      <c r="S32" s="257" t="e">
        <f>+#REF!</f>
        <v>#REF!</v>
      </c>
      <c r="T32" s="250"/>
      <c r="U32" s="258" t="e">
        <f>+#REF!</f>
        <v>#REF!</v>
      </c>
      <c r="V32" s="259" t="e">
        <f>+#REF!</f>
        <v>#REF!</v>
      </c>
      <c r="W32" s="259" t="e">
        <f>+#REF!</f>
        <v>#REF!</v>
      </c>
      <c r="X32" s="259" t="e">
        <f>+#REF!</f>
        <v>#REF!</v>
      </c>
      <c r="Y32" s="260" t="e">
        <f>+#REF!</f>
        <v>#REF!</v>
      </c>
      <c r="Z32" s="250"/>
      <c r="AA32" s="258" t="e">
        <f>+#REF!</f>
        <v>#REF!</v>
      </c>
      <c r="AB32" s="259" t="e">
        <f>+#REF!</f>
        <v>#REF!</v>
      </c>
      <c r="AC32" s="259" t="e">
        <f>+#REF!</f>
        <v>#REF!</v>
      </c>
      <c r="AD32" s="259" t="e">
        <f>+#REF!</f>
        <v>#REF!</v>
      </c>
      <c r="AE32" s="260" t="e">
        <f>+#REF!</f>
        <v>#REF!</v>
      </c>
      <c r="AF32" s="250"/>
      <c r="AG32" s="258" t="e">
        <f>+#REF!</f>
        <v>#REF!</v>
      </c>
      <c r="AH32" s="259" t="e">
        <f>+#REF!</f>
        <v>#REF!</v>
      </c>
      <c r="AI32" s="259" t="e">
        <f>+#REF!</f>
        <v>#REF!</v>
      </c>
      <c r="AJ32" s="259" t="e">
        <f>+#REF!</f>
        <v>#REF!</v>
      </c>
      <c r="AK32" s="260" t="e">
        <f>+#REF!</f>
        <v>#REF!</v>
      </c>
      <c r="AL32" s="250"/>
      <c r="AM32" s="258" t="e">
        <f>+#REF!</f>
        <v>#REF!</v>
      </c>
      <c r="AN32" s="259" t="e">
        <f>+#REF!</f>
        <v>#REF!</v>
      </c>
      <c r="AO32" s="259" t="e">
        <f>+#REF!</f>
        <v>#REF!</v>
      </c>
      <c r="AP32" s="259" t="e">
        <f>+#REF!</f>
        <v>#REF!</v>
      </c>
      <c r="AQ32" s="260" t="e">
        <f>+#REF!</f>
        <v>#REF!</v>
      </c>
      <c r="AR32" s="250"/>
      <c r="AS32" s="258" t="e">
        <f>+#REF!</f>
        <v>#REF!</v>
      </c>
      <c r="AT32" s="259" t="e">
        <f>+#REF!</f>
        <v>#REF!</v>
      </c>
      <c r="AU32" s="259" t="e">
        <f>+#REF!</f>
        <v>#REF!</v>
      </c>
      <c r="AV32" s="259" t="e">
        <f>+#REF!</f>
        <v>#REF!</v>
      </c>
      <c r="AW32" s="260" t="e">
        <f>+#REF!</f>
        <v>#REF!</v>
      </c>
      <c r="AX32" s="250"/>
      <c r="AY32" s="258" t="e">
        <f>+#REF!</f>
        <v>#REF!</v>
      </c>
      <c r="AZ32" s="259" t="e">
        <f>+#REF!</f>
        <v>#REF!</v>
      </c>
      <c r="BA32" s="259" t="e">
        <f>+#REF!</f>
        <v>#REF!</v>
      </c>
      <c r="BB32" s="259" t="e">
        <f>+#REF!</f>
        <v>#REF!</v>
      </c>
      <c r="BC32" s="260" t="e">
        <f>+#REF!</f>
        <v>#REF!</v>
      </c>
      <c r="BD32" s="250"/>
      <c r="BE32" s="258" t="e">
        <f>+#REF!</f>
        <v>#REF!</v>
      </c>
      <c r="BF32" s="259" t="e">
        <f>+#REF!</f>
        <v>#REF!</v>
      </c>
      <c r="BG32" s="259" t="e">
        <f>+#REF!</f>
        <v>#REF!</v>
      </c>
      <c r="BH32" s="259" t="e">
        <f>+#REF!</f>
        <v>#REF!</v>
      </c>
      <c r="BI32" s="260" t="e">
        <f>+#REF!</f>
        <v>#REF!</v>
      </c>
    </row>
    <row r="33" spans="1:61" ht="15.75" x14ac:dyDescent="0.25">
      <c r="A33" s="614"/>
      <c r="B33" s="97"/>
      <c r="C33" s="163"/>
      <c r="D33" s="87"/>
      <c r="E33" s="87"/>
      <c r="F33" s="87"/>
      <c r="G33" s="164"/>
      <c r="H33" s="87"/>
      <c r="I33" s="163"/>
      <c r="J33" s="87"/>
      <c r="K33" s="87"/>
      <c r="L33" s="87"/>
      <c r="M33" s="164"/>
      <c r="N33" s="87"/>
      <c r="O33" s="163"/>
      <c r="P33" s="87"/>
      <c r="Q33" s="87"/>
      <c r="R33" s="87"/>
      <c r="S33" s="164"/>
      <c r="T33" s="87"/>
      <c r="U33" s="163"/>
      <c r="V33" s="87"/>
      <c r="W33" s="87"/>
      <c r="X33" s="87"/>
      <c r="Y33" s="164"/>
      <c r="Z33" s="87"/>
      <c r="AA33" s="163"/>
      <c r="AB33" s="87"/>
      <c r="AC33" s="87"/>
      <c r="AD33" s="87"/>
      <c r="AE33" s="164"/>
      <c r="AF33" s="87"/>
      <c r="AG33" s="163"/>
      <c r="AH33" s="87"/>
      <c r="AI33" s="87"/>
      <c r="AJ33" s="87"/>
      <c r="AK33" s="164"/>
      <c r="AL33" s="87"/>
      <c r="AM33" s="163"/>
      <c r="AN33" s="87"/>
      <c r="AO33" s="87"/>
      <c r="AP33" s="87"/>
      <c r="AQ33" s="164"/>
      <c r="AR33" s="87"/>
      <c r="AS33" s="163"/>
      <c r="AT33" s="87"/>
      <c r="AU33" s="87"/>
      <c r="AV33" s="87"/>
      <c r="AW33" s="164"/>
      <c r="AX33" s="87"/>
      <c r="AY33" s="163"/>
      <c r="AZ33" s="87"/>
      <c r="BA33" s="87"/>
      <c r="BB33" s="87"/>
      <c r="BC33" s="164"/>
      <c r="BD33" s="87"/>
      <c r="BE33" s="163"/>
      <c r="BF33" s="87"/>
      <c r="BG33" s="87"/>
      <c r="BH33" s="87"/>
      <c r="BI33" s="164"/>
    </row>
    <row r="34" spans="1:61" ht="16.5" thickBot="1" x14ac:dyDescent="0.3">
      <c r="A34" s="97"/>
      <c r="B34" s="97"/>
      <c r="C34" s="177"/>
      <c r="D34" s="103"/>
      <c r="E34" s="103"/>
      <c r="F34" s="103"/>
      <c r="G34" s="178"/>
      <c r="H34" s="87"/>
      <c r="I34" s="177"/>
      <c r="J34" s="103"/>
      <c r="K34" s="103"/>
      <c r="L34" s="103"/>
      <c r="M34" s="178"/>
      <c r="N34" s="87"/>
      <c r="O34" s="177"/>
      <c r="P34" s="103"/>
      <c r="Q34" s="103"/>
      <c r="R34" s="103"/>
      <c r="S34" s="178"/>
      <c r="T34" s="87"/>
      <c r="U34" s="177"/>
      <c r="V34" s="103"/>
      <c r="W34" s="103"/>
      <c r="X34" s="103"/>
      <c r="Y34" s="178"/>
      <c r="Z34" s="87"/>
      <c r="AA34" s="177"/>
      <c r="AB34" s="103"/>
      <c r="AC34" s="103"/>
      <c r="AD34" s="103"/>
      <c r="AE34" s="178"/>
      <c r="AF34" s="87"/>
      <c r="AG34" s="177"/>
      <c r="AH34" s="103"/>
      <c r="AI34" s="103"/>
      <c r="AJ34" s="103"/>
      <c r="AK34" s="178"/>
      <c r="AL34" s="87"/>
      <c r="AM34" s="177"/>
      <c r="AN34" s="103"/>
      <c r="AO34" s="103"/>
      <c r="AP34" s="103"/>
      <c r="AQ34" s="178"/>
      <c r="AR34" s="87"/>
      <c r="AS34" s="177"/>
      <c r="AT34" s="103"/>
      <c r="AU34" s="103"/>
      <c r="AV34" s="103"/>
      <c r="AW34" s="178"/>
      <c r="AX34" s="87"/>
      <c r="AY34" s="177"/>
      <c r="AZ34" s="103"/>
      <c r="BA34" s="103"/>
      <c r="BB34" s="103"/>
      <c r="BC34" s="178"/>
      <c r="BD34" s="87"/>
      <c r="BE34" s="177"/>
      <c r="BF34" s="103"/>
      <c r="BG34" s="103"/>
      <c r="BH34" s="103"/>
      <c r="BI34" s="178"/>
    </row>
    <row r="35" spans="1:61" ht="20.25" thickTop="1" thickBot="1" x14ac:dyDescent="0.3">
      <c r="A35" s="637" t="s">
        <v>187</v>
      </c>
      <c r="B35" s="158"/>
      <c r="C35" s="45" t="e">
        <f>SUM(C10:C34)</f>
        <v>#REF!</v>
      </c>
      <c r="D35" s="73" t="e">
        <f>SUM(D10:D34)</f>
        <v>#REF!</v>
      </c>
      <c r="E35" s="73" t="e">
        <f>SUM(E10:E34)</f>
        <v>#REF!</v>
      </c>
      <c r="F35" s="73" t="e">
        <f>SUM(F10:F34)</f>
        <v>#REF!</v>
      </c>
      <c r="G35" s="179" t="e">
        <f>SUM(G10:G34)</f>
        <v>#REF!</v>
      </c>
      <c r="H35" s="5"/>
      <c r="I35" s="45" t="e">
        <f>SUM(I10:I34)</f>
        <v>#REF!</v>
      </c>
      <c r="J35" s="73" t="e">
        <f>SUM(J10:J34)</f>
        <v>#REF!</v>
      </c>
      <c r="K35" s="73" t="e">
        <f>SUM(K10:K34)</f>
        <v>#REF!</v>
      </c>
      <c r="L35" s="73" t="e">
        <f>SUM(L10:L34)</f>
        <v>#REF!</v>
      </c>
      <c r="M35" s="179" t="e">
        <f>SUM(M10:M34)</f>
        <v>#REF!</v>
      </c>
      <c r="N35" s="5"/>
      <c r="O35" s="45" t="e">
        <f>SUM(O10:O34)</f>
        <v>#REF!</v>
      </c>
      <c r="P35" s="73" t="e">
        <f>SUM(P10:P34)</f>
        <v>#REF!</v>
      </c>
      <c r="Q35" s="73" t="e">
        <f>SUM(Q10:Q34)</f>
        <v>#REF!</v>
      </c>
      <c r="R35" s="73" t="e">
        <f>SUM(R10:R34)</f>
        <v>#REF!</v>
      </c>
      <c r="S35" s="179" t="e">
        <f>SUM(S10:S34)</f>
        <v>#REF!</v>
      </c>
      <c r="T35" s="5"/>
      <c r="U35" s="45" t="e">
        <f>SUM(U10:U34)</f>
        <v>#REF!</v>
      </c>
      <c r="V35" s="73" t="e">
        <f>SUM(V10:V34)</f>
        <v>#REF!</v>
      </c>
      <c r="W35" s="73" t="e">
        <f>SUM(W10:W34)</f>
        <v>#REF!</v>
      </c>
      <c r="X35" s="73" t="e">
        <f>SUM(X10:X34)</f>
        <v>#REF!</v>
      </c>
      <c r="Y35" s="179" t="e">
        <f>SUM(Y10:Y34)</f>
        <v>#REF!</v>
      </c>
      <c r="Z35" s="5"/>
      <c r="AA35" s="45" t="e">
        <f>SUM(AA10:AA34)</f>
        <v>#REF!</v>
      </c>
      <c r="AB35" s="73" t="e">
        <f>SUM(AB10:AB34)</f>
        <v>#REF!</v>
      </c>
      <c r="AC35" s="73" t="e">
        <f>SUM(AC10:AC34)</f>
        <v>#REF!</v>
      </c>
      <c r="AD35" s="73" t="e">
        <f>SUM(AD10:AD34)</f>
        <v>#REF!</v>
      </c>
      <c r="AE35" s="179" t="e">
        <f>SUM(AE10:AE34)</f>
        <v>#REF!</v>
      </c>
      <c r="AF35" s="5"/>
      <c r="AG35" s="45" t="e">
        <f>SUM(AG10:AG34)</f>
        <v>#REF!</v>
      </c>
      <c r="AH35" s="73" t="e">
        <f>SUM(AH10:AH34)</f>
        <v>#REF!</v>
      </c>
      <c r="AI35" s="73" t="e">
        <f>SUM(AI10:AI34)</f>
        <v>#REF!</v>
      </c>
      <c r="AJ35" s="73" t="e">
        <f>SUM(AJ10:AJ34)</f>
        <v>#REF!</v>
      </c>
      <c r="AK35" s="179" t="e">
        <f>SUM(AK10:AK34)</f>
        <v>#REF!</v>
      </c>
      <c r="AL35" s="5"/>
      <c r="AM35" s="45" t="e">
        <f>SUM(AM10:AM34)</f>
        <v>#REF!</v>
      </c>
      <c r="AN35" s="73" t="e">
        <f>SUM(AN10:AN34)</f>
        <v>#REF!</v>
      </c>
      <c r="AO35" s="73" t="e">
        <f>SUM(AO10:AO34)</f>
        <v>#REF!</v>
      </c>
      <c r="AP35" s="73" t="e">
        <f>SUM(AP10:AP34)</f>
        <v>#REF!</v>
      </c>
      <c r="AQ35" s="179" t="e">
        <f>SUM(AQ10:AQ34)</f>
        <v>#REF!</v>
      </c>
      <c r="AR35" s="5"/>
      <c r="AS35" s="45" t="e">
        <f>SUM(AS10:AS34)</f>
        <v>#REF!</v>
      </c>
      <c r="AT35" s="73" t="e">
        <f>SUM(AT10:AT34)</f>
        <v>#REF!</v>
      </c>
      <c r="AU35" s="73" t="e">
        <f>SUM(AU10:AU34)</f>
        <v>#REF!</v>
      </c>
      <c r="AV35" s="73" t="e">
        <f>SUM(AV10:AV34)</f>
        <v>#REF!</v>
      </c>
      <c r="AW35" s="179" t="e">
        <f>SUM(AW10:AW34)</f>
        <v>#REF!</v>
      </c>
      <c r="AX35" s="5"/>
      <c r="AY35" s="45" t="e">
        <f>SUM(AY10:AY34)</f>
        <v>#REF!</v>
      </c>
      <c r="AZ35" s="73" t="e">
        <f>SUM(AZ10:AZ34)</f>
        <v>#REF!</v>
      </c>
      <c r="BA35" s="73" t="e">
        <f>SUM(BA10:BA34)</f>
        <v>#REF!</v>
      </c>
      <c r="BB35" s="73" t="e">
        <f>SUM(BB10:BB34)</f>
        <v>#REF!</v>
      </c>
      <c r="BC35" s="179" t="e">
        <f>SUM(BC10:BC34)</f>
        <v>#REF!</v>
      </c>
      <c r="BD35" s="5"/>
      <c r="BE35" s="156" t="e">
        <f>SUM(BE10:BE34)</f>
        <v>#REF!</v>
      </c>
      <c r="BF35" s="73" t="e">
        <f>SUM(BF10:BF34)</f>
        <v>#REF!</v>
      </c>
      <c r="BG35" s="73" t="e">
        <f>SUM(BG10:BG34)</f>
        <v>#REF!</v>
      </c>
      <c r="BH35" s="73" t="e">
        <f>SUM(BH10:BH34)</f>
        <v>#REF!</v>
      </c>
      <c r="BI35" s="179" t="e">
        <f>SUM(BI10:BI34)</f>
        <v>#REF!</v>
      </c>
    </row>
    <row r="36" spans="1:61" ht="18.75" x14ac:dyDescent="0.25">
      <c r="A36" s="637"/>
      <c r="B36" s="158"/>
      <c r="C36" s="5"/>
      <c r="D36" s="5"/>
      <c r="E36" s="5"/>
      <c r="F36" s="5"/>
      <c r="G36" s="5"/>
      <c r="H36" s="5"/>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5"/>
      <c r="AM36" s="5"/>
      <c r="AN36" s="5"/>
      <c r="AO36" s="5"/>
      <c r="AP36" s="5"/>
      <c r="AQ36" s="5"/>
      <c r="AR36" s="5"/>
      <c r="AS36" s="5"/>
      <c r="AT36" s="5"/>
      <c r="AU36" s="5"/>
      <c r="AV36" s="5"/>
      <c r="AW36" s="5"/>
      <c r="AX36" s="5"/>
      <c r="AY36" s="5"/>
      <c r="AZ36" s="5"/>
      <c r="BA36" s="5"/>
      <c r="BB36" s="5"/>
      <c r="BC36" s="5"/>
      <c r="BD36" s="5"/>
      <c r="BE36" s="5"/>
      <c r="BF36" s="5"/>
      <c r="BG36" s="5"/>
      <c r="BH36" s="5"/>
      <c r="BI36" s="5"/>
    </row>
    <row r="37" spans="1:61" ht="23.25" x14ac:dyDescent="0.35">
      <c r="C37" s="262" t="s">
        <v>188</v>
      </c>
      <c r="D37" s="1"/>
      <c r="E37" s="1"/>
      <c r="F37" s="1"/>
      <c r="G37" s="1"/>
      <c r="H37" s="1"/>
      <c r="I37" s="1"/>
      <c r="J37" s="1"/>
      <c r="K37" s="1"/>
      <c r="L37" s="1"/>
      <c r="M37" s="1"/>
      <c r="N37" s="1"/>
      <c r="O37" s="1"/>
      <c r="P37" s="1"/>
      <c r="Q37" s="1"/>
      <c r="R37" s="1"/>
      <c r="S37" s="1"/>
      <c r="T37" s="1"/>
      <c r="U37" s="1"/>
      <c r="V37" s="1"/>
      <c r="W37" s="1"/>
      <c r="X37" s="1"/>
      <c r="Y37" s="1"/>
      <c r="Z37" s="1"/>
      <c r="AA37" s="1"/>
      <c r="AB37" s="1"/>
      <c r="AC37" s="1"/>
      <c r="AD37" s="1"/>
      <c r="AE37" s="1"/>
      <c r="AF37" s="1"/>
      <c r="AG37" s="1"/>
      <c r="AH37" s="1"/>
      <c r="AI37" s="1"/>
      <c r="AJ37" s="1"/>
      <c r="AK37" s="1"/>
      <c r="AL37" s="1"/>
      <c r="AM37" s="1"/>
      <c r="AN37" s="1"/>
      <c r="AO37" s="1"/>
      <c r="AP37" s="1"/>
      <c r="AQ37" s="1"/>
      <c r="AR37" s="1"/>
      <c r="AS37" s="1"/>
      <c r="AT37" s="1"/>
      <c r="AU37" s="1"/>
      <c r="AV37" s="1"/>
      <c r="AW37" s="1"/>
      <c r="AX37" s="1"/>
      <c r="AY37" s="1"/>
      <c r="AZ37" s="1"/>
      <c r="BA37" s="1"/>
      <c r="BB37" s="1"/>
      <c r="BC37" s="1"/>
      <c r="BD37" s="1"/>
      <c r="BE37" s="1"/>
      <c r="BF37" s="1"/>
      <c r="BG37" s="1"/>
      <c r="BH37" s="1"/>
      <c r="BI37" s="1"/>
    </row>
  </sheetData>
  <protectedRanges>
    <protectedRange algorithmName="SHA-512" hashValue="VMe1gke7wOBF+orpGaMSZGcpQDzOmP9Vebb9IYKTcb6ZTcbyxoJ/e+5Qj8lxGelJsk8yfLOkQggrTt0hKZkd6Q==" saltValue="qCid+6x0NO4eD+UYGRwIpg==" spinCount="100000" sqref="C8:BI8" name="Priorities"/>
  </protectedRanges>
  <mergeCells count="13">
    <mergeCell ref="I2:AW4"/>
    <mergeCell ref="BA3:BI4"/>
    <mergeCell ref="AG8:AK8"/>
    <mergeCell ref="AM8:AQ8"/>
    <mergeCell ref="C8:G8"/>
    <mergeCell ref="U8:Y8"/>
    <mergeCell ref="AA8:AE8"/>
    <mergeCell ref="I8:M8"/>
    <mergeCell ref="O8:S8"/>
    <mergeCell ref="C6:BI7"/>
    <mergeCell ref="AS8:AW8"/>
    <mergeCell ref="AY8:BC8"/>
    <mergeCell ref="BE8:BI8"/>
  </mergeCells>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ACFA65-E9B7-432D-AECC-3DB6BD27DD8D}">
  <sheetPr codeName="Sheet17">
    <tabColor rgb="FFFF0000"/>
  </sheetPr>
  <dimension ref="A1:P29"/>
  <sheetViews>
    <sheetView workbookViewId="0">
      <selection activeCell="L20" sqref="L20"/>
    </sheetView>
  </sheetViews>
  <sheetFormatPr defaultRowHeight="15" x14ac:dyDescent="0.25"/>
  <cols>
    <col min="1" max="1" width="18.7109375" customWidth="1"/>
    <col min="7" max="7" width="15" bestFit="1" customWidth="1"/>
    <col min="9" max="9" width="18" customWidth="1"/>
    <col min="11" max="11" width="10.42578125" customWidth="1"/>
    <col min="12" max="12" width="10.140625" customWidth="1"/>
    <col min="13" max="14" width="0" hidden="1" customWidth="1"/>
    <col min="16" max="16" width="10.5703125" customWidth="1"/>
  </cols>
  <sheetData>
    <row r="1" spans="1:16" ht="62.25" customHeight="1" x14ac:dyDescent="0.25">
      <c r="A1" s="1"/>
      <c r="B1" s="1"/>
      <c r="C1" s="334"/>
      <c r="D1" s="983" t="s">
        <v>189</v>
      </c>
      <c r="E1" s="983"/>
      <c r="F1" s="983"/>
      <c r="G1" s="983"/>
      <c r="L1" s="983" t="s">
        <v>190</v>
      </c>
      <c r="M1" s="983"/>
      <c r="N1" s="983"/>
      <c r="O1" s="983"/>
      <c r="P1" s="983"/>
    </row>
    <row r="2" spans="1:16" ht="23.25" customHeight="1" x14ac:dyDescent="0.3">
      <c r="A2" s="1"/>
      <c r="B2" s="1"/>
      <c r="C2" s="615"/>
      <c r="E2" s="320"/>
      <c r="F2" s="320"/>
      <c r="G2" s="320" t="e">
        <f>+WeeklyPerformanceReport!#REF!</f>
        <v>#REF!</v>
      </c>
      <c r="M2" s="335"/>
      <c r="N2" s="984" t="e">
        <f>+MonthlyReports!G2</f>
        <v>#REF!</v>
      </c>
      <c r="O2" s="984"/>
      <c r="P2" s="984"/>
    </row>
    <row r="3" spans="1:16" ht="50.25" customHeight="1" x14ac:dyDescent="0.25">
      <c r="A3" s="1"/>
      <c r="B3" s="139" t="s">
        <v>191</v>
      </c>
      <c r="C3" s="296"/>
      <c r="D3" s="296"/>
      <c r="E3" s="296"/>
      <c r="F3" s="296"/>
      <c r="G3" s="269"/>
      <c r="I3" s="58"/>
      <c r="J3" s="269" t="s">
        <v>192</v>
      </c>
      <c r="K3" s="269" t="s">
        <v>193</v>
      </c>
      <c r="L3" s="269" t="s">
        <v>194</v>
      </c>
      <c r="M3" s="269"/>
      <c r="N3" s="269"/>
      <c r="O3" s="269" t="s">
        <v>195</v>
      </c>
      <c r="P3" s="295" t="s">
        <v>196</v>
      </c>
    </row>
    <row r="4" spans="1:16" ht="15.75" x14ac:dyDescent="0.25">
      <c r="A4" s="105">
        <f>+WeeklyPerformanceReport!A7</f>
        <v>0</v>
      </c>
      <c r="B4" s="107">
        <f>+'TeamMember 1'!F12+'TeamMember 1'!F34+'TeamMember 1'!F56+'TeamMember 1'!F78+'TeamMember 1'!F96</f>
        <v>0</v>
      </c>
      <c r="C4" s="108">
        <f>+'TeamMember 1'!G12+'TeamMember 1'!G34+'TeamMember 1'!G56+'TeamMember 1'!G78+'TeamMember 1'!G96</f>
        <v>0</v>
      </c>
      <c r="D4" s="108">
        <f>+'TeamMember 1'!H12+'TeamMember 1'!H34+'TeamMember 1'!H56+'TeamMember 1'!H78+'TeamMember 1'!H96</f>
        <v>0</v>
      </c>
      <c r="E4" s="108">
        <f>+D4-C4</f>
        <v>0</v>
      </c>
      <c r="F4" s="109">
        <f>+E4/60</f>
        <v>0</v>
      </c>
      <c r="G4" s="159">
        <f>+F4*Setup_and_Criteria!$T$12</f>
        <v>0</v>
      </c>
      <c r="I4" s="104">
        <f>+MonthlyReports!A4</f>
        <v>0</v>
      </c>
      <c r="J4" s="96">
        <f>+('TeamMember 1'!K12+'TeamMember 1'!K34+'TeamMember 1'!K56+'TeamMember 1'!K78+'TeamMember 1'!K96)*24</f>
        <v>0</v>
      </c>
      <c r="K4" s="96" t="e">
        <f>+IF((AND('TeamMember 1'!F12&gt;Setup_and_Criteria!#REF!,'TeamMember 1'!G$12&gt;'TeamMember 1'!H$12)),1,0)+IF((AND('TeamMember 1'!F34&gt;Setup_and_Criteria!#REF!,'TeamMember 1'!G$34&gt;'TeamMember 1'!H$34)),1,0)+IF((AND('TeamMember 1'!F56&gt;Setup_and_Criteria!#REF!,'TeamMember 1'!G$56&gt;'TeamMember 1'!H$56)),1,0)+IF((AND('TeamMember 1'!F78&gt;Setup_and_Criteria!#REF!,'TeamMember 1'!G$78&gt;'TeamMember 1'!H$78)),1,0)+IF((AND('TeamMember 1'!F96&gt;Setup_and_Criteria!#REF!,'TeamMember 1'!G$96&gt;'TeamMember 1'!H$96)),1,0)</f>
        <v>#REF!</v>
      </c>
      <c r="L4" s="96" t="e">
        <f>+IF((AND(WeeklyPerformanceReport!C7&gt;0.02,WeeklyPerformanceReport!C7&lt;Setup_and_Criteria!$J$14)),1,0)+IF((AND(WeeklyPerformanceReport!F7&gt;0.02,WeeklyPerformanceReport!F7&lt;Setup_and_Criteria!$J$14)),1,0)+IF((AND(WeeklyPerformanceReport!I7&gt;0.02,WeeklyPerformanceReport!I7&lt;Setup_and_Criteria!$J$14)),1,0)+IF((AND(WeeklyPerformanceReport!L7&gt;0.02,WeeklyPerformanceReport!L7&lt;Setup_and_Criteria!$J$14)),1,0)+IF((AND(WeeklyPerformanceReport!#REF!&gt;0.02,WeeklyPerformanceReport!#REF!&lt;Setup_and_Criteria!$J$14)),1,0)</f>
        <v>#REF!</v>
      </c>
      <c r="M4" s="96" t="e">
        <f>COUNTIFS(WeeklyPerformanceReport!#REF!,"&gt;0")+COUNTIFS(WeeklyPerformanceReport!K7,"&gt;0")+COUNTIFS(WeeklyPerformanceReport!H7,"&gt;0")+COUNTIFS(WeeklyPerformanceReport!E7,"&gt;0")+COUNTIFS(WeeklyPerformanceReport!B7,"&gt;0")</f>
        <v>#REF!</v>
      </c>
      <c r="N4" s="96" t="e">
        <f>COUNTIFS(WeeklyPerformanceReport!#REF!,"&gt;0")+COUNTIFS(WeeklyPerformanceReport!L7,"&gt;0")+COUNTIFS(WeeklyPerformanceReport!I7,"&gt;0")+COUNTIFS(WeeklyPerformanceReport!F7,"&gt;0")+COUNTIFS(WeeklyPerformanceReport!C7,"&gt;0")</f>
        <v>#REF!</v>
      </c>
      <c r="O4" s="96" t="e">
        <f>IF(K4&gt;2.99,K4/M4,0)*IF(L4&gt;2.99,L4/N4,0)</f>
        <v>#REF!</v>
      </c>
      <c r="P4" s="271" t="e">
        <f>+(Setup_and_Criteria!$W$12*O4)*J4</f>
        <v>#REF!</v>
      </c>
    </row>
    <row r="5" spans="1:16" x14ac:dyDescent="0.25">
      <c r="A5" s="616"/>
      <c r="B5" s="88"/>
      <c r="C5" s="89"/>
      <c r="D5" s="89"/>
      <c r="E5" s="89"/>
      <c r="F5" s="90"/>
      <c r="G5" s="90"/>
      <c r="I5" s="620"/>
      <c r="J5" s="291"/>
      <c r="P5" s="272"/>
    </row>
    <row r="6" spans="1:16" ht="15.75" x14ac:dyDescent="0.25">
      <c r="A6" s="112">
        <f>+WeeklyPerformanceReport!A8</f>
        <v>0</v>
      </c>
      <c r="B6" s="114">
        <f>+'TeamMember 2'!F12+'TeamMember 2'!F34+'TeamMember 2'!F56+'TeamMember 2'!F78+'TeamMember 2'!F100</f>
        <v>0</v>
      </c>
      <c r="C6" s="115">
        <f>+'TeamMember 2'!G12+'TeamMember 2'!G34+'TeamMember 2'!G56+'TeamMember 2'!G78+'TeamMember 2'!G100</f>
        <v>0</v>
      </c>
      <c r="D6" s="115">
        <f>+'TeamMember 2'!H12+'TeamMember 2'!H34+'TeamMember 2'!H56+'TeamMember 2'!H78+'TeamMember 2'!H100</f>
        <v>0</v>
      </c>
      <c r="E6" s="115">
        <f>+D6-C6</f>
        <v>0</v>
      </c>
      <c r="F6" s="116">
        <f>+E6/60</f>
        <v>0</v>
      </c>
      <c r="G6" s="202">
        <f>+F6*Setup_and_Criteria!$T$12</f>
        <v>0</v>
      </c>
      <c r="I6" s="111">
        <f>+MonthlyReports!A6</f>
        <v>0</v>
      </c>
      <c r="J6" s="273">
        <f>(+'TeamMember 2'!K12+'TeamMember 2'!K34+'TeamMember 2'!K56+'TeamMember 2'!K78+'TeamMember 2'!K100)*24</f>
        <v>0</v>
      </c>
      <c r="K6" s="96">
        <f>+IF((AND('TeamMember 2'!F12&gt;WeeklyPerformanceReport!I30,'TeamMember 2'!G$12&gt;'TeamMember 2'!H$12)),1,0)+IF((AND('TeamMember 2'!F34&gt;WeeklyPerformanceReport!I30,'TeamMember 2'!G$34&gt;'TeamMember 2'!H$34)),1,0)+IF((AND('TeamMember 2'!F56&gt;WeeklyPerformanceReport!I30,'TeamMember 2'!G$56&gt;'TeamMember 2'!H$56)),1,0)+IF((AND('TeamMember 2'!F78&gt;WeeklyPerformanceReport!I30,'TeamMember 2'!G$78&gt;'TeamMember 2'!H$78)),1,0)+IF((AND('TeamMember 2'!F96&gt;WeeklyPerformanceReport!I30,'TeamMember 2'!G$96&gt;'TeamMember 2'!H$96)),1,0)</f>
        <v>0</v>
      </c>
      <c r="L6" s="273" t="e">
        <f>+IF((AND(WeeklyPerformanceReport!C8&gt;0.02,WeeklyPerformanceReport!C8&lt;Setup_and_Criteria!$J$14)),1,0)+IF((AND(WeeklyPerformanceReport!F8&gt;0.02,WeeklyPerformanceReport!F8&lt;Setup_and_Criteria!$J$14)),1,0)+IF((AND(WeeklyPerformanceReport!I8&gt;0.02,WeeklyPerformanceReport!I8&lt;Setup_and_Criteria!$J$14)),1,0)+IF((AND(WeeklyPerformanceReport!L8&gt;0.02,WeeklyPerformanceReport!L8&lt;Setup_and_Criteria!$J$14)),1,0)+IF((AND(WeeklyPerformanceReport!#REF!&gt;0.02,WeeklyPerformanceReport!#REF!&lt;Setup_and_Criteria!$J$14)),1,0)</f>
        <v>#REF!</v>
      </c>
      <c r="M6" s="273" t="e">
        <f>COUNTIFS(WeeklyPerformanceReport!#REF!,"&gt;0")+COUNTIFS(WeeklyPerformanceReport!K8,"&gt;0")+COUNTIFS(WeeklyPerformanceReport!H8,"&gt;0")+COUNTIFS(WeeklyPerformanceReport!E8,"&gt;0")+COUNTIFS(WeeklyPerformanceReport!B8,"&gt;0")</f>
        <v>#REF!</v>
      </c>
      <c r="N6" s="273" t="e">
        <f>COUNTIFS(WeeklyPerformanceReport!#REF!,"&gt;0")+COUNTIFS(WeeklyPerformanceReport!L8,"&gt;0")+COUNTIFS(WeeklyPerformanceReport!I8,"&gt;0")+COUNTIFS(WeeklyPerformanceReport!F8,"&gt;0")+COUNTIFS(WeeklyPerformanceReport!C8,"&gt;0")</f>
        <v>#REF!</v>
      </c>
      <c r="O6" s="273" t="e">
        <f>IF(K6&gt;2.99,K6/M6,0)*IF(L6&gt;2.99,L6/N6,0)</f>
        <v>#REF!</v>
      </c>
      <c r="P6" s="274" t="e">
        <f>+(Setup_and_Criteria!$W$12*O6)*J6</f>
        <v>#REF!</v>
      </c>
    </row>
    <row r="7" spans="1:16" ht="15.75" x14ac:dyDescent="0.25">
      <c r="A7" s="101"/>
      <c r="B7" s="88"/>
      <c r="C7" s="89"/>
      <c r="D7" s="89"/>
      <c r="E7" s="89"/>
      <c r="F7" s="90"/>
      <c r="G7" s="90"/>
      <c r="I7" s="620"/>
      <c r="J7" s="292"/>
      <c r="P7" s="272"/>
    </row>
    <row r="8" spans="1:16" ht="15.75" x14ac:dyDescent="0.25">
      <c r="A8" s="204">
        <f>+WeeklyPerformanceReport!A9</f>
        <v>0</v>
      </c>
      <c r="B8" s="206" t="e">
        <f>+#REF!+#REF!+#REF!+#REF!+#REF!</f>
        <v>#REF!</v>
      </c>
      <c r="C8" s="207" t="e">
        <f>+#REF!+#REF!+#REF!+#REF!+#REF!</f>
        <v>#REF!</v>
      </c>
      <c r="D8" s="207" t="e">
        <f>+#REF!+#REF!+#REF!+#REF!+#REF!</f>
        <v>#REF!</v>
      </c>
      <c r="E8" s="207" t="e">
        <f>+D8-C8</f>
        <v>#REF!</v>
      </c>
      <c r="F8" s="208" t="e">
        <f>+E8/60</f>
        <v>#REF!</v>
      </c>
      <c r="G8" s="209" t="e">
        <f>+F8*Setup_and_Criteria!$T$12</f>
        <v>#REF!</v>
      </c>
      <c r="I8" s="203">
        <f>+MonthlyReports!A8</f>
        <v>0</v>
      </c>
      <c r="J8" s="275" t="e">
        <f>(+#REF!+#REF!+#REF!+#REF!+#REF!)*24</f>
        <v>#REF!</v>
      </c>
      <c r="K8" s="96" t="e">
        <f>+IF((AND(#REF!&gt;WeeklyPerformanceReport!I32,#REF!&gt;#REF!)),1,0)+IF((AND(#REF!&gt;WeeklyPerformanceReport!I32,#REF!&gt;#REF!)),1,0)+IF((AND(#REF!&gt;WeeklyPerformanceReport!I32,#REF!&gt;#REF!)),1,0)+IF((AND(#REF!&gt;WeeklyPerformanceReport!I32,#REF!&gt;#REF!)),1,0)+IF((AND(#REF!&gt;WeeklyPerformanceReport!I32,#REF!&gt;#REF!)),1,0)</f>
        <v>#REF!</v>
      </c>
      <c r="L8" s="275" t="e">
        <f>+IF((AND(WeeklyPerformanceReport!C9&gt;0.02,WeeklyPerformanceReport!C9&lt;Setup_and_Criteria!$J$14)),1,0)+IF((AND(WeeklyPerformanceReport!F9&gt;0.02,WeeklyPerformanceReport!F9&lt;Setup_and_Criteria!$J$14)),1,0)+IF((AND(WeeklyPerformanceReport!I9&gt;0.02,WeeklyPerformanceReport!I9&lt;Setup_and_Criteria!$J$14)),1,0)+IF((AND(WeeklyPerformanceReport!L9&gt;0.02,WeeklyPerformanceReport!L9&lt;Setup_and_Criteria!$J$14)),1,0)+IF((AND(WeeklyPerformanceReport!#REF!&gt;0.02,WeeklyPerformanceReport!#REF!&lt;Setup_and_Criteria!$J$14)),1,0)</f>
        <v>#REF!</v>
      </c>
      <c r="M8" s="275" t="e">
        <f>COUNTIFS(WeeklyPerformanceReport!#REF!,"&gt;0")+COUNTIFS(WeeklyPerformanceReport!K9,"&gt;0")+COUNTIFS(WeeklyPerformanceReport!H9,"&gt;0")+COUNTIFS(WeeklyPerformanceReport!E9,"&gt;0")+COUNTIFS(WeeklyPerformanceReport!B9,"&gt;0")</f>
        <v>#REF!</v>
      </c>
      <c r="N8" s="275" t="e">
        <f>COUNTIFS(WeeklyPerformanceReport!#REF!,"&gt;0")+COUNTIFS(WeeklyPerformanceReport!L9,"&gt;0")+COUNTIFS(WeeklyPerformanceReport!I9,"&gt;0")+COUNTIFS(WeeklyPerformanceReport!F9,"&gt;0")+COUNTIFS(WeeklyPerformanceReport!C9,"&gt;0")</f>
        <v>#REF!</v>
      </c>
      <c r="O8" s="275" t="e">
        <f>IF(K8&gt;2.99,K8/M8,0)*IF(L8&gt;2.99,L8/N8,0)</f>
        <v>#REF!</v>
      </c>
      <c r="P8" s="276" t="e">
        <f>+(Setup_and_Criteria!$W$12*O8)*J8</f>
        <v>#REF!</v>
      </c>
    </row>
    <row r="9" spans="1:16" ht="15.75" x14ac:dyDescent="0.25">
      <c r="A9" s="101"/>
      <c r="B9" s="88"/>
      <c r="C9" s="89"/>
      <c r="D9" s="89"/>
      <c r="E9" s="89"/>
      <c r="F9" s="90"/>
      <c r="G9" s="90"/>
      <c r="I9" s="620"/>
      <c r="J9" s="292"/>
      <c r="P9" s="272"/>
    </row>
    <row r="10" spans="1:16" ht="15.75" x14ac:dyDescent="0.25">
      <c r="A10" s="119">
        <f>+WeeklyPerformanceReport!A10</f>
        <v>0</v>
      </c>
      <c r="B10" s="121" t="e">
        <f>+#REF!+#REF!+#REF!+#REF!+#REF!</f>
        <v>#REF!</v>
      </c>
      <c r="C10" s="122" t="e">
        <f>+#REF!+#REF!+#REF!+#REF!+#REF!</f>
        <v>#REF!</v>
      </c>
      <c r="D10" s="122" t="e">
        <f>+#REF!+#REF!+#REF!+#REF!+#REF!</f>
        <v>#REF!</v>
      </c>
      <c r="E10" s="122" t="e">
        <f>+D10-C10</f>
        <v>#REF!</v>
      </c>
      <c r="F10" s="123" t="e">
        <f>+E10/60</f>
        <v>#REF!</v>
      </c>
      <c r="G10" s="216" t="e">
        <f>+F10*Setup_and_Criteria!$T$12</f>
        <v>#REF!</v>
      </c>
      <c r="I10" s="118">
        <f>+MonthlyReports!A10</f>
        <v>0</v>
      </c>
      <c r="J10" s="99" t="e">
        <f>(+#REF!+#REF!+#REF!+#REF!+#REF!)*24</f>
        <v>#REF!</v>
      </c>
      <c r="K10" s="96" t="e">
        <f>+IF((AND(#REF!&gt;WeeklyPerformanceReport!I34,#REF!&gt;#REF!)),1,0)+IF((AND(#REF!&gt;WeeklyPerformanceReport!I34,#REF!&gt;#REF!)),1,0)+IF((AND(#REF!&gt;WeeklyPerformanceReport!I34,#REF!&gt;#REF!)),1,0)+IF((AND(#REF!&gt;WeeklyPerformanceReport!I34,#REF!&gt;#REF!)),1,0)+IF((AND(#REF!&gt;WeeklyPerformanceReport!I34,#REF!&gt;#REF!)),1,0)</f>
        <v>#REF!</v>
      </c>
      <c r="L10" s="99" t="e">
        <f>+IF((AND(WeeklyPerformanceReport!C10&gt;0.02,WeeklyPerformanceReport!C10&lt;Setup_and_Criteria!$J$14)),1,0)+IF((AND(WeeklyPerformanceReport!F10&gt;0.02,WeeklyPerformanceReport!F10&lt;Setup_and_Criteria!$J$14)),1,0)+IF((AND(WeeklyPerformanceReport!I10&gt;0.02,WeeklyPerformanceReport!I10&lt;Setup_and_Criteria!$J$14)),1,0)+IF((AND(WeeklyPerformanceReport!L10&gt;0.02,WeeklyPerformanceReport!L10&lt;Setup_and_Criteria!$J$14)),1,0)+IF((AND(WeeklyPerformanceReport!#REF!&gt;0.02,WeeklyPerformanceReport!#REF!&lt;Setup_and_Criteria!$J$14)),1,0)</f>
        <v>#REF!</v>
      </c>
      <c r="M10" s="99" t="e">
        <f>COUNTIFS(WeeklyPerformanceReport!#REF!,"&gt;0")+COUNTIFS(WeeklyPerformanceReport!K10,"&gt;0")+COUNTIFS(WeeklyPerformanceReport!H10,"&gt;0")+COUNTIFS(WeeklyPerformanceReport!E10,"&gt;0")+COUNTIFS(WeeklyPerformanceReport!B10,"&gt;0")</f>
        <v>#REF!</v>
      </c>
      <c r="N10" s="99" t="e">
        <f>COUNTIFS(WeeklyPerformanceReport!#REF!,"&gt;0")+COUNTIFS(WeeklyPerformanceReport!L10,"&gt;0")+COUNTIFS(WeeklyPerformanceReport!I10,"&gt;0")+COUNTIFS(WeeklyPerformanceReport!F10,"&gt;0")+COUNTIFS(WeeklyPerformanceReport!C10,"&gt;0")</f>
        <v>#REF!</v>
      </c>
      <c r="O10" s="99" t="e">
        <f>IF(K10&gt;2.99,K10/M10,0)*IF(L10&gt;2.99,L10/N10,0)</f>
        <v>#REF!</v>
      </c>
      <c r="P10" s="277" t="e">
        <f>+(Setup_and_Criteria!$W$12*O10)*J10</f>
        <v>#REF!</v>
      </c>
    </row>
    <row r="11" spans="1:16" ht="15.75" x14ac:dyDescent="0.25">
      <c r="A11" s="101"/>
      <c r="B11" s="88"/>
      <c r="C11" s="89"/>
      <c r="D11" s="89"/>
      <c r="E11" s="89"/>
      <c r="F11" s="90"/>
      <c r="G11" s="90"/>
      <c r="I11" s="620"/>
      <c r="J11" s="292"/>
      <c r="P11" s="272"/>
    </row>
    <row r="12" spans="1:16" ht="15.75" x14ac:dyDescent="0.25">
      <c r="A12" s="133">
        <f>+WeeklyPerformanceReport!A11</f>
        <v>0</v>
      </c>
      <c r="B12" s="135" t="e">
        <f>+#REF!+#REF!+#REF!+#REF!+#REF!</f>
        <v>#REF!</v>
      </c>
      <c r="C12" s="136" t="e">
        <f>+#REF!+#REF!+#REF!+#REF!+#REF!</f>
        <v>#REF!</v>
      </c>
      <c r="D12" s="136" t="e">
        <f>+#REF!+#REF!+#REF!+#REF!+#REF!</f>
        <v>#REF!</v>
      </c>
      <c r="E12" s="136" t="e">
        <f>+D12-C12</f>
        <v>#REF!</v>
      </c>
      <c r="F12" s="137" t="e">
        <f>+E12/60</f>
        <v>#REF!</v>
      </c>
      <c r="G12" s="217" t="e">
        <f>+F12*Setup_and_Criteria!$T$12</f>
        <v>#REF!</v>
      </c>
      <c r="I12" s="132">
        <f>+MonthlyReports!A12</f>
        <v>0</v>
      </c>
      <c r="J12" s="278" t="e">
        <f>(+#REF!+#REF!+#REF!+#REF!+#REF!)*24</f>
        <v>#REF!</v>
      </c>
      <c r="K12" s="96" t="e">
        <f>+IF((AND(#REF!&gt;WeeklyPerformanceReport!I36,#REF!&gt;#REF!)),1,0)+IF((AND(#REF!&gt;WeeklyPerformanceReport!I36,#REF!&gt;#REF!)),1,0)+IF((AND(#REF!&gt;WeeklyPerformanceReport!I36,#REF!&gt;#REF!)),1,0)+IF((AND(#REF!&gt;WeeklyPerformanceReport!I36,#REF!&gt;#REF!)),1,0)+IF((AND(#REF!&gt;WeeklyPerformanceReport!I36,#REF!&gt;#REF!)),1,0)</f>
        <v>#REF!</v>
      </c>
      <c r="L12" s="278" t="e">
        <f>+IF((AND(WeeklyPerformanceReport!C11&gt;0.02,WeeklyPerformanceReport!C11&lt;Setup_and_Criteria!$J$14)),1,0)+IF((AND(WeeklyPerformanceReport!F11&gt;0.02,WeeklyPerformanceReport!F11&lt;Setup_and_Criteria!$J$14)),1,0)+IF((AND(WeeklyPerformanceReport!I11&gt;0.02,WeeklyPerformanceReport!I11&lt;Setup_and_Criteria!$J$14)),1,0)+IF((AND(WeeklyPerformanceReport!L11&gt;0.02,WeeklyPerformanceReport!L11&lt;Setup_and_Criteria!$J$14)),1,0)+IF((AND(WeeklyPerformanceReport!#REF!&gt;0.02,WeeklyPerformanceReport!#REF!&lt;Setup_and_Criteria!$J$14)),1,0)</f>
        <v>#REF!</v>
      </c>
      <c r="M12" s="278" t="e">
        <f>COUNTIFS(WeeklyPerformanceReport!#REF!,"&gt;0")+COUNTIFS(WeeklyPerformanceReport!K11,"&gt;0")+COUNTIFS(WeeklyPerformanceReport!H11,"&gt;0")+COUNTIFS(WeeklyPerformanceReport!E11,"&gt;0")+COUNTIFS(WeeklyPerformanceReport!B11,"&gt;0")</f>
        <v>#REF!</v>
      </c>
      <c r="N12" s="278" t="e">
        <f>COUNTIFS(WeeklyPerformanceReport!#REF!,"&gt;0")+COUNTIFS(WeeklyPerformanceReport!L11,"&gt;0")+COUNTIFS(WeeklyPerformanceReport!I11,"&gt;0")+COUNTIFS(WeeklyPerformanceReport!F11,"&gt;0")+COUNTIFS(WeeklyPerformanceReport!C11,"&gt;0")</f>
        <v>#REF!</v>
      </c>
      <c r="O12" s="278" t="e">
        <f>IF(K12&gt;2.99,K12/M12,0)*IF(L12&gt;2.99,L12/N12,0)</f>
        <v>#REF!</v>
      </c>
      <c r="P12" s="279" t="e">
        <f>+(Setup_and_Criteria!$W$12*O12)*J12</f>
        <v>#REF!</v>
      </c>
    </row>
    <row r="13" spans="1:16" ht="15.75" x14ac:dyDescent="0.25">
      <c r="A13" s="101"/>
      <c r="B13" s="88"/>
      <c r="C13" s="89"/>
      <c r="D13" s="89"/>
      <c r="E13" s="89"/>
      <c r="F13" s="90"/>
      <c r="G13" s="90"/>
      <c r="I13" s="620"/>
      <c r="J13" s="292"/>
      <c r="P13" s="272"/>
    </row>
    <row r="14" spans="1:16" ht="15.75" x14ac:dyDescent="0.25">
      <c r="A14" s="148">
        <f>+WeeklyPerformanceReport!A12</f>
        <v>0</v>
      </c>
      <c r="B14" s="150" t="e">
        <f>+#REF!+#REF!+#REF!+#REF!+#REF!</f>
        <v>#REF!</v>
      </c>
      <c r="C14" s="151" t="e">
        <f>+#REF!+#REF!+#REF!+#REF!+#REF!</f>
        <v>#REF!</v>
      </c>
      <c r="D14" s="151" t="e">
        <f>+#REF!+#REF!+#REF!+#REF!+#REF!</f>
        <v>#REF!</v>
      </c>
      <c r="E14" s="151" t="e">
        <f>+D14-C14</f>
        <v>#REF!</v>
      </c>
      <c r="F14" s="152" t="e">
        <f>+E14/60</f>
        <v>#REF!</v>
      </c>
      <c r="G14" s="218" t="e">
        <f>+F14*Setup_and_Criteria!$T$12</f>
        <v>#REF!</v>
      </c>
      <c r="I14" s="147">
        <f>+MonthlyReports!A14</f>
        <v>0</v>
      </c>
      <c r="J14" s="100" t="e">
        <f>(+#REF!+#REF!+#REF!+#REF!+#REF!)*24</f>
        <v>#REF!</v>
      </c>
      <c r="K14" s="96" t="e">
        <f>+IF((AND(#REF!&gt;WeeklyPerformanceReport!I38,#REF!&gt;#REF!)),1,0)+IF((AND(#REF!&gt;WeeklyPerformanceReport!I38,#REF!&gt;#REF!)),1,0)+IF((AND(#REF!&gt;WeeklyPerformanceReport!I38,#REF!&gt;#REF!)),1,0)+IF((AND(#REF!&gt;WeeklyPerformanceReport!I38,#REF!&gt;#REF!)),1,0)+IF((AND(#REF!&gt;WeeklyPerformanceReport!I38,#REF!&gt;#REF!)),1,0)</f>
        <v>#REF!</v>
      </c>
      <c r="L14" s="100" t="e">
        <f>+IF((AND(WeeklyPerformanceReport!C12&gt;0.02,WeeklyPerformanceReport!C12&lt;Setup_and_Criteria!$J$14)),1,0)+IF((AND(WeeklyPerformanceReport!F12&gt;0.02,WeeklyPerformanceReport!F12&lt;Setup_and_Criteria!$J$14)),1,0)+IF((AND(WeeklyPerformanceReport!I12&gt;0.02,WeeklyPerformanceReport!I12&lt;Setup_and_Criteria!$J$14)),1,0)+IF((AND(WeeklyPerformanceReport!L12&gt;0.02,WeeklyPerformanceReport!L12&lt;Setup_and_Criteria!$J$14)),1,0)+IF((AND(WeeklyPerformanceReport!#REF!&gt;0.02,WeeklyPerformanceReport!#REF!&lt;Setup_and_Criteria!$J$14)),1,0)</f>
        <v>#REF!</v>
      </c>
      <c r="M14" s="100" t="e">
        <f>COUNTIFS(WeeklyPerformanceReport!#REF!,"&gt;0")+COUNTIFS(WeeklyPerformanceReport!K12,"&gt;0")+COUNTIFS(WeeklyPerformanceReport!H12,"&gt;0")+COUNTIFS(WeeklyPerformanceReport!E12,"&gt;0")+COUNTIFS(WeeklyPerformanceReport!B12,"&gt;0")</f>
        <v>#REF!</v>
      </c>
      <c r="N14" s="100" t="e">
        <f>COUNTIFS(WeeklyPerformanceReport!#REF!,"&gt;0")+COUNTIFS(WeeklyPerformanceReport!L12,"&gt;0")+COUNTIFS(WeeklyPerformanceReport!I12,"&gt;0")+COUNTIFS(WeeklyPerformanceReport!F12,"&gt;0")+COUNTIFS(WeeklyPerformanceReport!C12,"&gt;0")</f>
        <v>#REF!</v>
      </c>
      <c r="O14" s="100" t="e">
        <f>IF(K14&gt;2.99,K14/M14,0)*IF(L14&gt;2.99,L14/N14,0)</f>
        <v>#REF!</v>
      </c>
      <c r="P14" s="280" t="e">
        <f>+(Setup_and_Criteria!$W$12*O14)*J14</f>
        <v>#REF!</v>
      </c>
    </row>
    <row r="15" spans="1:16" ht="15.75" x14ac:dyDescent="0.25">
      <c r="A15" s="101"/>
      <c r="B15" s="88"/>
      <c r="C15" s="89"/>
      <c r="D15" s="89"/>
      <c r="E15" s="89"/>
      <c r="F15" s="90"/>
      <c r="G15" s="90"/>
      <c r="I15" s="620"/>
      <c r="J15" s="292"/>
      <c r="P15" s="272"/>
    </row>
    <row r="16" spans="1:16" ht="15.75" x14ac:dyDescent="0.25">
      <c r="A16" s="220">
        <f>+WeeklyPerformanceReport!A13</f>
        <v>0</v>
      </c>
      <c r="B16" s="222" t="e">
        <f>+#REF!+#REF!+#REF!+#REF!+#REF!</f>
        <v>#REF!</v>
      </c>
      <c r="C16" s="223" t="e">
        <f>+#REF!+#REF!+#REF!+#REF!+#REF!</f>
        <v>#REF!</v>
      </c>
      <c r="D16" s="223" t="e">
        <f>+#REF!+#REF!+#REF!+#REF!+#REF!</f>
        <v>#REF!</v>
      </c>
      <c r="E16" s="223" t="e">
        <f>+D16-C16</f>
        <v>#REF!</v>
      </c>
      <c r="F16" s="224" t="e">
        <f>+E16/60</f>
        <v>#REF!</v>
      </c>
      <c r="G16" s="225" t="e">
        <f>+F16*Setup_and_Criteria!$T$12</f>
        <v>#REF!</v>
      </c>
      <c r="I16" s="219">
        <f>+MonthlyReports!A16</f>
        <v>0</v>
      </c>
      <c r="J16" s="98" t="e">
        <f>(+#REF!+#REF!+#REF!+#REF!+#REF!)*24</f>
        <v>#REF!</v>
      </c>
      <c r="K16" s="96" t="e">
        <f>+IF((AND(#REF!&gt;WeeklyPerformanceReport!I40,#REF!&gt;#REF!)),1,0)+IF((AND(#REF!&gt;WeeklyPerformanceReport!I40,#REF!&gt;#REF!)),1,0)+IF((AND(#REF!&gt;WeeklyPerformanceReport!I40,#REF!&gt;#REF!)),1,0)+IF((AND(#REF!&gt;WeeklyPerformanceReport!I40,#REF!&gt;#REF!)),1,0)+IF((AND(#REF!&gt;WeeklyPerformanceReport!I40,#REF!&gt;#REF!)),1,0)</f>
        <v>#REF!</v>
      </c>
      <c r="L16" s="98" t="e">
        <f>+IF((AND(WeeklyPerformanceReport!C13&gt;0.02,WeeklyPerformanceReport!C13&lt;Setup_and_Criteria!$J$14)),1,0)+IF((AND(WeeklyPerformanceReport!F13&gt;0.02,WeeklyPerformanceReport!F13&lt;Setup_and_Criteria!$J$14)),1,0)+IF((AND(WeeklyPerformanceReport!I13&gt;0.02,WeeklyPerformanceReport!I13&lt;Setup_and_Criteria!$J$14)),1,0)+IF((AND(WeeklyPerformanceReport!L13&gt;0.02,WeeklyPerformanceReport!L13&lt;Setup_and_Criteria!$J$14)),1,0)+IF((AND(WeeklyPerformanceReport!#REF!&gt;0.02,WeeklyPerformanceReport!#REF!&lt;Setup_and_Criteria!$J$14)),1,0)</f>
        <v>#REF!</v>
      </c>
      <c r="M16" s="98" t="e">
        <f>COUNTIFS(WeeklyPerformanceReport!#REF!,"&gt;0")+COUNTIFS(WeeklyPerformanceReport!K13,"&gt;0")+COUNTIFS(WeeklyPerformanceReport!H13,"&gt;0")+COUNTIFS(WeeklyPerformanceReport!E13,"&gt;0")+COUNTIFS(WeeklyPerformanceReport!B13,"&gt;0")</f>
        <v>#REF!</v>
      </c>
      <c r="N16" s="98" t="e">
        <f>COUNTIFS(WeeklyPerformanceReport!#REF!,"&gt;0")+COUNTIFS(WeeklyPerformanceReport!L13,"&gt;0")+COUNTIFS(WeeklyPerformanceReport!I13,"&gt;0")+COUNTIFS(WeeklyPerformanceReport!F13,"&gt;0")+COUNTIFS(WeeklyPerformanceReport!C13,"&gt;0")</f>
        <v>#REF!</v>
      </c>
      <c r="O16" s="98" t="e">
        <f>IF(K16&gt;2.99,K16/M16,0)*IF(L16&gt;2.99,L16/N16,0)</f>
        <v>#REF!</v>
      </c>
      <c r="P16" s="281" t="e">
        <f>+(Setup_and_Criteria!$W$12*O16)*J16</f>
        <v>#REF!</v>
      </c>
    </row>
    <row r="17" spans="1:16" ht="15.75" x14ac:dyDescent="0.25">
      <c r="A17" s="101"/>
      <c r="B17" s="88"/>
      <c r="C17" s="89"/>
      <c r="D17" s="89"/>
      <c r="E17" s="89"/>
      <c r="F17" s="90"/>
      <c r="G17" s="90"/>
      <c r="I17" s="620"/>
      <c r="J17" s="292"/>
      <c r="P17" s="272"/>
    </row>
    <row r="18" spans="1:16" ht="15.75" x14ac:dyDescent="0.25">
      <c r="A18" s="105">
        <f>+WeeklyPerformanceReport!A14</f>
        <v>0</v>
      </c>
      <c r="B18" s="107" t="e">
        <f>+#REF!+#REF!+#REF!+#REF!+#REF!</f>
        <v>#REF!</v>
      </c>
      <c r="C18" s="108" t="e">
        <f>+#REF!+#REF!+#REF!+#REF!+#REF!</f>
        <v>#REF!</v>
      </c>
      <c r="D18" s="108" t="e">
        <f>+#REF!+#REF!+#REF!+#REF!+#REF!</f>
        <v>#REF!</v>
      </c>
      <c r="E18" s="108" t="e">
        <f>+D18-C18</f>
        <v>#REF!</v>
      </c>
      <c r="F18" s="109" t="e">
        <f>+E18/60</f>
        <v>#REF!</v>
      </c>
      <c r="G18" s="159" t="e">
        <f>+F18*Setup_and_Criteria!$T$12</f>
        <v>#REF!</v>
      </c>
      <c r="I18" s="104">
        <f>+MonthlyReports!A18</f>
        <v>0</v>
      </c>
      <c r="J18" s="96" t="e">
        <f>(+#REF!+#REF!+#REF!+#REF!+#REF!)*24</f>
        <v>#REF!</v>
      </c>
      <c r="K18" s="96" t="e">
        <f>+IF((AND(#REF!&gt;WeeklyPerformanceReport!I42,#REF!&gt;#REF!)),1,0)+IF((AND(#REF!&gt;WeeklyPerformanceReport!I42,#REF!&gt;#REF!)),1,0)+IF((AND(#REF!&gt;WeeklyPerformanceReport!I42,#REF!&gt;#REF!)),1,0)+IF((AND(#REF!&gt;WeeklyPerformanceReport!I42,#REF!&gt;#REF!)),1,0)+IF((AND(#REF!&gt;WeeklyPerformanceReport!I42,#REF!&gt;#REF!)),1,0)</f>
        <v>#REF!</v>
      </c>
      <c r="L18" s="96" t="e">
        <f>+IF((AND(WeeklyPerformanceReport!C14&gt;0.02,WeeklyPerformanceReport!C14&lt;Setup_and_Criteria!$J$14)),1,0)+IF((AND(WeeklyPerformanceReport!F14&gt;0.02,WeeklyPerformanceReport!F14&lt;Setup_and_Criteria!$J$14)),1,0)+IF((AND(WeeklyPerformanceReport!I14&gt;0.02,WeeklyPerformanceReport!I14&lt;Setup_and_Criteria!$J$14)),1,0)+IF((AND(WeeklyPerformanceReport!L14&gt;0.02,WeeklyPerformanceReport!L14&lt;Setup_and_Criteria!$J$14)),1,0)+IF((AND(WeeklyPerformanceReport!#REF!&gt;0.02,WeeklyPerformanceReport!#REF!&lt;Setup_and_Criteria!$J$14)),1,0)</f>
        <v>#REF!</v>
      </c>
      <c r="M18" s="96" t="e">
        <f>COUNTIFS(WeeklyPerformanceReport!#REF!,"&gt;0")+COUNTIFS(WeeklyPerformanceReport!K14,"&gt;0")+COUNTIFS(WeeklyPerformanceReport!H14,"&gt;0")+COUNTIFS(WeeklyPerformanceReport!E14,"&gt;0")+COUNTIFS(WeeklyPerformanceReport!B14,"&gt;0")</f>
        <v>#REF!</v>
      </c>
      <c r="N18" s="96" t="e">
        <f>COUNTIFS(WeeklyPerformanceReport!#REF!,"&gt;0")+COUNTIFS(WeeklyPerformanceReport!L14,"&gt;0")+COUNTIFS(WeeklyPerformanceReport!I14,"&gt;0")+COUNTIFS(WeeklyPerformanceReport!F14,"&gt;0")+COUNTIFS(WeeklyPerformanceReport!C14,"&gt;0")</f>
        <v>#REF!</v>
      </c>
      <c r="O18" s="96" t="e">
        <f>IF(K18&gt;2.99,K18/M18,0)*IF(L18&gt;2.99,L18/N18,0)</f>
        <v>#REF!</v>
      </c>
      <c r="P18" s="271" t="e">
        <f>+(Setup_and_Criteria!$W$12*O18)*J18</f>
        <v>#REF!</v>
      </c>
    </row>
    <row r="19" spans="1:16" ht="15.75" x14ac:dyDescent="0.25">
      <c r="A19" s="101"/>
      <c r="B19" s="91"/>
      <c r="C19" s="77"/>
      <c r="D19" s="77"/>
      <c r="E19" s="77"/>
      <c r="F19" s="78"/>
      <c r="G19" s="90"/>
      <c r="I19" s="620"/>
      <c r="J19" s="292"/>
      <c r="P19" s="272"/>
    </row>
    <row r="20" spans="1:16" ht="15.75" x14ac:dyDescent="0.25">
      <c r="A20" s="233">
        <f>+WeeklyPerformanceReport!A15</f>
        <v>0</v>
      </c>
      <c r="B20" s="236" t="e">
        <f>+#REF!+#REF!+#REF!+#REF!+#REF!</f>
        <v>#REF!</v>
      </c>
      <c r="C20" s="237" t="e">
        <f>+#REF!+#REF!+#REF!+#REF!+#REF!</f>
        <v>#REF!</v>
      </c>
      <c r="D20" s="237" t="e">
        <f>+#REF!+#REF!+#REF!+#REF!+#REF!</f>
        <v>#REF!</v>
      </c>
      <c r="E20" s="237" t="e">
        <f>+D20-C20</f>
        <v>#REF!</v>
      </c>
      <c r="F20" s="238" t="e">
        <f>+E20/60</f>
        <v>#REF!</v>
      </c>
      <c r="G20" s="239" t="e">
        <f>+F20*Setup_and_Criteria!$T$12</f>
        <v>#REF!</v>
      </c>
      <c r="I20" s="232">
        <f>+MonthlyReports!A20</f>
        <v>0</v>
      </c>
      <c r="J20" s="234" t="e">
        <f>(+#REF!+#REF!+#REF!+#REF!+#REF!)*24</f>
        <v>#REF!</v>
      </c>
      <c r="K20" s="96" t="e">
        <f>+IF((AND(#REF!&gt;WeeklyPerformanceReport!I48,#REF!&gt;#REF!)),1,0)+IF((AND(#REF!&gt;WeeklyPerformanceReport!I48,#REF!&gt;#REF!)),1,0)+IF((AND(#REF!&gt;WeeklyPerformanceReport!I48,#REF!&gt;#REF!)),1,0)+IF((AND(#REF!&gt;WeeklyPerformanceReport!I48,#REF!&gt;#REF!)),1,0)+IF((AND(#REF!&gt;WeeklyPerformanceReport!I48,#REF!&gt;#REF!)),1,0)</f>
        <v>#REF!</v>
      </c>
      <c r="L20" s="234" t="e">
        <f>+IF((AND(WeeklyPerformanceReport!C15&gt;0.02,WeeklyPerformanceReport!C15&lt;Setup_and_Criteria!$J$14)),1,0)+IF((AND(WeeklyPerformanceReport!F15&gt;0.02,WeeklyPerformanceReport!F15&lt;Setup_and_Criteria!$J$14)),1,0)+IF((AND(WeeklyPerformanceReport!I15&gt;0.02,WeeklyPerformanceReport!I15&lt;Setup_and_Criteria!$J$14)),1,0)+IF((AND(WeeklyPerformanceReport!L15&gt;0.02,WeeklyPerformanceReport!L15&lt;Setup_and_Criteria!$J$14)),1,0)+IF((AND(WeeklyPerformanceReport!#REF!&gt;0.02,WeeklyPerformanceReport!#REF!&lt;Setup_and_Criteria!$J$14)),1,0)</f>
        <v>#REF!</v>
      </c>
      <c r="M20" s="234" t="e">
        <f>COUNTIFS(WeeklyPerformanceReport!#REF!,"&gt;0")+COUNTIFS(WeeklyPerformanceReport!K15,"&gt;0")+COUNTIFS(WeeklyPerformanceReport!H15,"&gt;0")+COUNTIFS(WeeklyPerformanceReport!E15,"&gt;0")+COUNTIFS(WeeklyPerformanceReport!B15,"&gt;0")</f>
        <v>#REF!</v>
      </c>
      <c r="N20" s="234" t="e">
        <f>COUNTIFS(WeeklyPerformanceReport!#REF!,"&gt;0")+COUNTIFS(WeeklyPerformanceReport!L15,"&gt;0")+COUNTIFS(WeeklyPerformanceReport!I15,"&gt;0")+COUNTIFS(WeeklyPerformanceReport!F15,"&gt;0")+COUNTIFS(WeeklyPerformanceReport!C15,"&gt;0")</f>
        <v>#REF!</v>
      </c>
      <c r="O20" s="234" t="e">
        <f>IF(K20&gt;2.99,K20/M20,0)*IF(L20&gt;2.99,L20/N20,0)</f>
        <v>#REF!</v>
      </c>
      <c r="P20" s="282" t="e">
        <f>+(Setup_and_Criteria!$W$12*O20)*J20</f>
        <v>#REF!</v>
      </c>
    </row>
    <row r="21" spans="1:16" ht="15.75" x14ac:dyDescent="0.25">
      <c r="A21" s="101"/>
      <c r="B21" s="88"/>
      <c r="C21" s="89"/>
      <c r="D21" s="89"/>
      <c r="E21" s="89"/>
      <c r="F21" s="90"/>
      <c r="G21" s="90"/>
      <c r="I21" s="620"/>
      <c r="J21" s="292"/>
      <c r="P21" s="272"/>
    </row>
    <row r="22" spans="1:16" ht="15.75" x14ac:dyDescent="0.25">
      <c r="A22" s="126">
        <f>+WeeklyPerformanceReport!A16</f>
        <v>0</v>
      </c>
      <c r="B22" s="128" t="e">
        <f>+#REF!+#REF!+#REF!+#REF!+#REF!</f>
        <v>#REF!</v>
      </c>
      <c r="C22" s="129" t="e">
        <f>+#REF!+#REF!+#REF!+#REF!+#REF!</f>
        <v>#REF!</v>
      </c>
      <c r="D22" s="129" t="e">
        <f>+#REF!+#REF!+#REF!+#REF!+#REF!</f>
        <v>#REF!</v>
      </c>
      <c r="E22" s="129" t="e">
        <f>+D22-C22</f>
        <v>#REF!</v>
      </c>
      <c r="F22" s="130" t="e">
        <f>+E22/60</f>
        <v>#REF!</v>
      </c>
      <c r="G22" s="246" t="e">
        <f>+F22*Setup_and_Criteria!$T$12</f>
        <v>#REF!</v>
      </c>
      <c r="I22" s="125">
        <f>+MonthlyReports!A22</f>
        <v>0</v>
      </c>
      <c r="J22" s="283" t="e">
        <f>(+#REF!+#REF!+#REF!+#REF!+#REF!)*24</f>
        <v>#REF!</v>
      </c>
      <c r="K22" s="96" t="e">
        <f>+IF((AND(#REF!&gt;WeeklyPerformanceReport!I51,#REF!&gt;#REF!)),1,0)+IF((AND(#REF!&gt;WeeklyPerformanceReport!I51,#REF!&gt;#REF!)),1,0)+IF((AND(#REF!&gt;WeeklyPerformanceReport!I51,#REF!&gt;#REF!)),1,0)+IF((AND(#REF!&gt;WeeklyPerformanceReport!I51,#REF!&gt;#REF!)),1,0)+IF((AND(#REF!&gt;WeeklyPerformanceReport!I51,#REF!&gt;#REF!)),1,0)</f>
        <v>#REF!</v>
      </c>
      <c r="L22" s="283" t="e">
        <f>+IF((AND(WeeklyPerformanceReport!C16&gt;0.02,WeeklyPerformanceReport!C16&lt;Setup_and_Criteria!$J$14)),1,0)+IF((AND(WeeklyPerformanceReport!F16&gt;0.02,WeeklyPerformanceReport!F16&lt;Setup_and_Criteria!$J$14)),1,0)+IF((AND(WeeklyPerformanceReport!I16&gt;0.02,WeeklyPerformanceReport!I16&lt;Setup_and_Criteria!$J$14)),1,0)+IF((AND(WeeklyPerformanceReport!L16&gt;0.02,WeeklyPerformanceReport!L16&lt;Setup_and_Criteria!$J$14)),1,0)+IF((AND(WeeklyPerformanceReport!#REF!&gt;0.02,WeeklyPerformanceReport!#REF!&lt;Setup_and_Criteria!$J$14)),1,0)</f>
        <v>#REF!</v>
      </c>
      <c r="M22" s="283" t="e">
        <f>COUNTIFS(WeeklyPerformanceReport!#REF!,"&gt;0")+COUNTIFS(WeeklyPerformanceReport!K16,"&gt;0")+COUNTIFS(WeeklyPerformanceReport!H16,"&gt;0")+COUNTIFS(WeeklyPerformanceReport!E16,"&gt;0")+COUNTIFS(WeeklyPerformanceReport!B16,"&gt;0")</f>
        <v>#REF!</v>
      </c>
      <c r="N22" s="283" t="e">
        <f>COUNTIFS(WeeklyPerformanceReport!#REF!,"&gt;0")+COUNTIFS(WeeklyPerformanceReport!L16,"&gt;0")+COUNTIFS(WeeklyPerformanceReport!I16,"&gt;0")+COUNTIFS(WeeklyPerformanceReport!F16,"&gt;0")+COUNTIFS(WeeklyPerformanceReport!C16,"&gt;0")</f>
        <v>#REF!</v>
      </c>
      <c r="O22" s="283" t="e">
        <f>IF(K22&gt;2.99,K22/M22,0)*IF(L22&gt;2.99,L22/N22,0)</f>
        <v>#REF!</v>
      </c>
      <c r="P22" s="284" t="e">
        <f>+(Setup_and_Criteria!$W$12*O22)*J22</f>
        <v>#REF!</v>
      </c>
    </row>
    <row r="23" spans="1:16" ht="15.75" x14ac:dyDescent="0.25">
      <c r="A23" s="101"/>
      <c r="B23" s="88"/>
      <c r="C23" s="89"/>
      <c r="D23" s="89"/>
      <c r="E23" s="89"/>
      <c r="F23" s="90"/>
      <c r="G23" s="90"/>
      <c r="I23" s="620"/>
      <c r="J23" s="292"/>
      <c r="P23" s="272"/>
    </row>
    <row r="24" spans="1:16" ht="15.75" x14ac:dyDescent="0.25">
      <c r="A24" s="141">
        <f>+WeeklyPerformanceReport!A17</f>
        <v>0</v>
      </c>
      <c r="B24" s="143" t="e">
        <f>+#REF!+#REF!+#REF!+#REF!+#REF!</f>
        <v>#REF!</v>
      </c>
      <c r="C24" s="144" t="e">
        <f>+#REF!+#REF!+#REF!+#REF!+#REF!</f>
        <v>#REF!</v>
      </c>
      <c r="D24" s="144" t="e">
        <f>+#REF!+#REF!+#REF!+#REF!+#REF!</f>
        <v>#REF!</v>
      </c>
      <c r="E24" s="144" t="e">
        <f>+D24-C24</f>
        <v>#REF!</v>
      </c>
      <c r="F24" s="145" t="e">
        <f>+E24/60</f>
        <v>#REF!</v>
      </c>
      <c r="G24" s="247" t="e">
        <f>+F24*Setup_and_Criteria!$T$12</f>
        <v>#REF!</v>
      </c>
      <c r="I24" s="140">
        <f>+MonthlyReports!A24</f>
        <v>0</v>
      </c>
      <c r="J24" s="285" t="e">
        <f>(+#REF!+#REF!+#REF!+#REF!+#REF!)*24</f>
        <v>#REF!</v>
      </c>
      <c r="K24" s="96" t="e">
        <f>+IF((AND(#REF!&gt;WeeklyPerformanceReport!I53,#REF!&gt;#REF!)),1,0)+IF((AND(#REF!&gt;WeeklyPerformanceReport!I53,#REF!&gt;#REF!)),1,0)+IF((AND(#REF!&gt;WeeklyPerformanceReport!I53,#REF!&gt;#REF!)),1,0)+IF((AND(#REF!&gt;WeeklyPerformanceReport!I53,#REF!&gt;#REF!)),1,0)+IF((AND(#REF!&gt;WeeklyPerformanceReport!I53,#REF!&gt;#REF!)),1,0)</f>
        <v>#REF!</v>
      </c>
      <c r="L24" s="285" t="e">
        <f>+IF((AND(WeeklyPerformanceReport!C17&gt;0.02,WeeklyPerformanceReport!C17&lt;Setup_and_Criteria!$J$14)),1,0)+IF((AND(WeeklyPerformanceReport!F17&gt;0.02,WeeklyPerformanceReport!F17&lt;Setup_and_Criteria!$J$14)),1,0)+IF((AND(WeeklyPerformanceReport!I17&gt;0.02,WeeklyPerformanceReport!I17&lt;Setup_and_Criteria!$J$14)),1,0)+IF((AND(WeeklyPerformanceReport!L17&gt;0.02,WeeklyPerformanceReport!L17&lt;Setup_and_Criteria!$J$14)),1,0)+IF((AND(WeeklyPerformanceReport!#REF!&gt;0.02,WeeklyPerformanceReport!#REF!&lt;Setup_and_Criteria!$J$14)),1,0)</f>
        <v>#REF!</v>
      </c>
      <c r="M24" s="285" t="e">
        <f>COUNTIFS(WeeklyPerformanceReport!#REF!,"&gt;0")+COUNTIFS(WeeklyPerformanceReport!K17,"&gt;0")+COUNTIFS(WeeklyPerformanceReport!H17,"&gt;0")+COUNTIFS(WeeklyPerformanceReport!E17,"&gt;0")+COUNTIFS(WeeklyPerformanceReport!B17,"&gt;0")</f>
        <v>#REF!</v>
      </c>
      <c r="N24" s="285" t="e">
        <f>COUNTIFS(WeeklyPerformanceReport!#REF!,"&gt;0")+COUNTIFS(WeeklyPerformanceReport!L17,"&gt;0")+COUNTIFS(WeeklyPerformanceReport!I17,"&gt;0")+COUNTIFS(WeeklyPerformanceReport!F17,"&gt;0")+COUNTIFS(WeeklyPerformanceReport!C17,"&gt;0")</f>
        <v>#REF!</v>
      </c>
      <c r="O24" s="285" t="e">
        <f>IF(K24&gt;2.99,K24/M24,0)*IF(L24&gt;2.99,L24/N24,0)</f>
        <v>#REF!</v>
      </c>
      <c r="P24" s="286" t="e">
        <f>+(Setup_and_Criteria!$W$12*O24)*J24</f>
        <v>#REF!</v>
      </c>
    </row>
    <row r="25" spans="1:16" ht="15.75" x14ac:dyDescent="0.25">
      <c r="A25" s="101"/>
      <c r="B25" s="88"/>
      <c r="C25" s="89"/>
      <c r="D25" s="89"/>
      <c r="E25" s="89"/>
      <c r="F25" s="90"/>
      <c r="G25" s="90"/>
      <c r="I25" s="620"/>
      <c r="J25" s="292"/>
      <c r="P25" s="272"/>
    </row>
    <row r="26" spans="1:16" ht="15.75" x14ac:dyDescent="0.25">
      <c r="A26" s="249">
        <f>+WeeklyPerformanceReport!A18</f>
        <v>0</v>
      </c>
      <c r="B26" s="251" t="e">
        <f>+#REF!+#REF!+#REF!+#REF!+#REF!</f>
        <v>#REF!</v>
      </c>
      <c r="C26" s="252" t="e">
        <f>+#REF!+#REF!+#REF!+#REF!+#REF!</f>
        <v>#REF!</v>
      </c>
      <c r="D26" s="252" t="e">
        <f>+#REF!+#REF!+#REF!+#REF!+#REF!</f>
        <v>#REF!</v>
      </c>
      <c r="E26" s="252" t="e">
        <f>+D26-C26</f>
        <v>#REF!</v>
      </c>
      <c r="F26" s="253" t="e">
        <f>+E26/60</f>
        <v>#REF!</v>
      </c>
      <c r="G26" s="254" t="e">
        <f>+F26*Setup_and_Criteria!$T$12</f>
        <v>#REF!</v>
      </c>
      <c r="I26" s="248">
        <f>+MonthlyReports!A26</f>
        <v>0</v>
      </c>
      <c r="J26" s="287" t="e">
        <f>(+#REF!+#REF!+#REF!+#REF!+#REF!)*24</f>
        <v>#REF!</v>
      </c>
      <c r="K26" s="96" t="e">
        <f>+IF((AND(#REF!&gt;WeeklyPerformanceReport!I55,#REF!&gt;#REF!)),1,0)+IF((AND(#REF!&gt;WeeklyPerformanceReport!I55,#REF!&gt;#REF!)),1,0)+IF((AND(#REF!&gt;WeeklyPerformanceReport!I55,#REF!&gt;#REF!)),1,0)+IF((AND(#REF!&gt;WeeklyPerformanceReport!I55,#REF!&gt;#REF!)),1,0)+IF((AND(#REF!&gt;WeeklyPerformanceReport!I55,#REF!&gt;#REF!)),1,0)</f>
        <v>#REF!</v>
      </c>
      <c r="L26" s="287" t="e">
        <f>+IF((AND(WeeklyPerformanceReport!C18&gt;0.02,WeeklyPerformanceReport!C18&lt;Setup_and_Criteria!$J$14)),1,0)+IF((AND(WeeklyPerformanceReport!F18&gt;0.02,WeeklyPerformanceReport!F18&lt;Setup_and_Criteria!$J$14)),1,0)+IF((AND(WeeklyPerformanceReport!I18&gt;0.02,WeeklyPerformanceReport!I18&lt;Setup_and_Criteria!$J$14)),1,0)+IF((AND(WeeklyPerformanceReport!L18&gt;0.02,WeeklyPerformanceReport!L18&lt;Setup_and_Criteria!$J$14)),1,0)+IF((AND(WeeklyPerformanceReport!#REF!&gt;0.02,WeeklyPerformanceReport!#REF!&lt;Setup_and_Criteria!$J$14)),1,0)</f>
        <v>#REF!</v>
      </c>
      <c r="M26" s="287" t="e">
        <f>COUNTIFS(WeeklyPerformanceReport!#REF!,"&gt;0")+COUNTIFS(WeeklyPerformanceReport!K18,"&gt;0")+COUNTIFS(WeeklyPerformanceReport!H18,"&gt;0")+COUNTIFS(WeeklyPerformanceReport!E18,"&gt;0")+COUNTIFS(WeeklyPerformanceReport!B18,"&gt;0")</f>
        <v>#REF!</v>
      </c>
      <c r="N26" s="287" t="e">
        <f>COUNTIFS(WeeklyPerformanceReport!#REF!,"&gt;0")+COUNTIFS(WeeklyPerformanceReport!L18,"&gt;0")+COUNTIFS(WeeklyPerformanceReport!I18,"&gt;0")+COUNTIFS(WeeklyPerformanceReport!F18,"&gt;0")+COUNTIFS(WeeklyPerformanceReport!C18,"&gt;0")</f>
        <v>#REF!</v>
      </c>
      <c r="O26" s="287" t="e">
        <f>IF(K26&gt;2.99,K26/M26,0)*IF(L26&gt;2.99,L26/N26,0)</f>
        <v>#REF!</v>
      </c>
      <c r="P26" s="288" t="e">
        <f>+(Setup_and_Criteria!$W$12*O26)*J26</f>
        <v>#REF!</v>
      </c>
    </row>
    <row r="27" spans="1:16" ht="15.75" x14ac:dyDescent="0.25">
      <c r="A27" s="101"/>
      <c r="B27" s="92"/>
      <c r="C27" s="93"/>
      <c r="D27" s="93"/>
      <c r="E27" s="93"/>
      <c r="F27" s="94"/>
      <c r="G27" s="94"/>
      <c r="I27" s="620"/>
      <c r="J27" s="292"/>
      <c r="P27" s="272"/>
    </row>
    <row r="28" spans="1:16" ht="15.75" thickBot="1" x14ac:dyDescent="0.3">
      <c r="A28" s="1"/>
      <c r="B28" s="95"/>
      <c r="C28" s="79"/>
      <c r="D28" s="79"/>
      <c r="E28" s="79"/>
      <c r="F28" s="80"/>
      <c r="G28" s="75"/>
      <c r="I28" s="58"/>
      <c r="J28" s="289"/>
      <c r="K28" s="289"/>
      <c r="L28" s="289"/>
      <c r="M28" s="289"/>
      <c r="N28" s="289"/>
      <c r="O28" s="289"/>
      <c r="P28" s="290"/>
    </row>
    <row r="29" spans="1:16" ht="20.25" thickTop="1" thickBot="1" x14ac:dyDescent="0.3">
      <c r="A29" s="5"/>
      <c r="B29" s="156" t="e">
        <f>SUM(B4:B28)</f>
        <v>#REF!</v>
      </c>
      <c r="C29" s="26" t="e">
        <f>SUM(C4:C28)</f>
        <v>#REF!</v>
      </c>
      <c r="D29" s="26" t="e">
        <f>SUM(D4:D27)</f>
        <v>#REF!</v>
      </c>
      <c r="E29" s="26" t="e">
        <f>SUM(E4:E27)</f>
        <v>#REF!</v>
      </c>
      <c r="F29" s="27" t="e">
        <f>+E29/60</f>
        <v>#REF!</v>
      </c>
      <c r="G29" s="157" t="e">
        <f>SUM(G4:G27)</f>
        <v>#REF!</v>
      </c>
      <c r="I29" s="293"/>
      <c r="J29" s="27"/>
      <c r="K29" s="155"/>
      <c r="L29" s="155"/>
      <c r="M29" s="155"/>
      <c r="N29" s="155"/>
      <c r="O29" s="155"/>
      <c r="P29" s="294" t="e">
        <f>SUM(P4:P28)</f>
        <v>#REF!</v>
      </c>
    </row>
  </sheetData>
  <mergeCells count="3">
    <mergeCell ref="L1:P1"/>
    <mergeCell ref="D1:G1"/>
    <mergeCell ref="N2:P2"/>
  </mergeCells>
  <conditionalFormatting sqref="E4:G29">
    <cfRule type="cellIs" dxfId="11" priority="1" operator="lessThan">
      <formula>0</formula>
    </cfRule>
    <cfRule type="cellIs" dxfId="10" priority="2" operator="greaterThan">
      <formula>0</formula>
    </cfRule>
  </conditionalFormatting>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350B9E-0079-4F7E-BEC0-1F913FE777F8}">
  <sheetPr codeName="Sheet20">
    <tabColor rgb="FFFF0000"/>
  </sheetPr>
  <dimension ref="A1:AC108"/>
  <sheetViews>
    <sheetView zoomScale="157" workbookViewId="0">
      <selection activeCell="L49" sqref="L49:M49"/>
    </sheetView>
  </sheetViews>
  <sheetFormatPr defaultRowHeight="15" x14ac:dyDescent="0.25"/>
  <cols>
    <col min="1" max="1" width="7.85546875" customWidth="1"/>
    <col min="2" max="2" width="6.42578125" customWidth="1"/>
    <col min="3" max="3" width="7.7109375" customWidth="1"/>
    <col min="4" max="4" width="7.140625" customWidth="1"/>
    <col min="5" max="5" width="8.28515625" customWidth="1"/>
    <col min="6" max="6" width="8.85546875" customWidth="1"/>
    <col min="7" max="7" width="9.140625" customWidth="1"/>
    <col min="8" max="8" width="9" customWidth="1"/>
    <col min="9" max="9" width="9.85546875" customWidth="1"/>
    <col min="10" max="10" width="9.42578125" customWidth="1"/>
    <col min="11" max="11" width="9.28515625" customWidth="1"/>
    <col min="12" max="12" width="7.28515625" customWidth="1"/>
    <col min="13" max="13" width="9" customWidth="1"/>
    <col min="14" max="14" width="6.85546875" customWidth="1"/>
    <col min="15" max="15" width="7.7109375" customWidth="1"/>
    <col min="16" max="16" width="1.5703125" customWidth="1"/>
    <col min="17" max="17" width="1.85546875" customWidth="1"/>
    <col min="19" max="20" width="8.42578125" style="1" hidden="1" customWidth="1"/>
    <col min="21" max="21" width="9.140625" hidden="1" customWidth="1"/>
  </cols>
  <sheetData>
    <row r="1" spans="1:29" ht="23.25" x14ac:dyDescent="0.25">
      <c r="A1" s="985" t="s">
        <v>198</v>
      </c>
      <c r="B1" s="985"/>
      <c r="C1" s="985"/>
      <c r="D1" s="985"/>
      <c r="E1" s="985"/>
      <c r="F1" s="985"/>
      <c r="G1" s="985"/>
      <c r="H1" s="985"/>
      <c r="I1" s="985"/>
      <c r="J1" s="985"/>
      <c r="K1" s="985"/>
      <c r="L1" s="985"/>
      <c r="M1" s="985"/>
      <c r="N1" s="985"/>
      <c r="O1" s="985"/>
      <c r="P1" s="20"/>
    </row>
    <row r="2" spans="1:29" ht="21.75" customHeight="1" thickBot="1" x14ac:dyDescent="0.4">
      <c r="A2" s="302" t="s">
        <v>199</v>
      </c>
      <c r="B2" s="998" t="str" cm="1">
        <f t="array" aca="1" ref="B2" ca="1">RIGHT(CELL("filename",A1),LEN(CELL("filename",A1))-SEARCH("]",CELL("filename",A1)))</f>
        <v>TeamMember 1</v>
      </c>
      <c r="C2" s="999"/>
      <c r="D2" s="999"/>
      <c r="E2" s="999"/>
      <c r="F2" s="1000"/>
      <c r="G2" s="262"/>
      <c r="H2" s="996"/>
      <c r="I2" s="996"/>
      <c r="J2" s="997"/>
      <c r="K2" s="997"/>
      <c r="L2" s="787" t="s">
        <v>69</v>
      </c>
      <c r="M2" s="787"/>
      <c r="N2" s="787"/>
      <c r="O2" s="787"/>
    </row>
    <row r="3" spans="1:29" ht="44.25" customHeight="1" x14ac:dyDescent="0.25">
      <c r="A3" s="301" t="str">
        <f>+Setup_and_Criteria!$J$6</f>
        <v>Q2</v>
      </c>
      <c r="B3" s="633" t="s">
        <v>200</v>
      </c>
      <c r="C3" s="298" t="s">
        <v>201</v>
      </c>
      <c r="D3" s="633" t="s">
        <v>202</v>
      </c>
      <c r="E3" s="303" t="s">
        <v>203</v>
      </c>
      <c r="F3" s="299" t="s">
        <v>204</v>
      </c>
      <c r="G3" s="298" t="s">
        <v>137</v>
      </c>
      <c r="H3" s="298" t="s">
        <v>138</v>
      </c>
      <c r="I3" s="298" t="s">
        <v>205</v>
      </c>
      <c r="J3" s="299" t="s">
        <v>206</v>
      </c>
      <c r="K3" s="300" t="s">
        <v>207</v>
      </c>
      <c r="L3" s="57" t="s">
        <v>208</v>
      </c>
      <c r="M3" s="29" t="s">
        <v>209</v>
      </c>
      <c r="N3" s="29" t="s">
        <v>210</v>
      </c>
      <c r="O3" s="30" t="s">
        <v>211</v>
      </c>
    </row>
    <row r="4" spans="1:29" ht="21" hidden="1" x14ac:dyDescent="0.35">
      <c r="A4" s="23"/>
      <c r="B4" s="13">
        <v>30</v>
      </c>
      <c r="C4" s="13">
        <v>45</v>
      </c>
      <c r="D4" s="13">
        <v>20</v>
      </c>
      <c r="E4" s="13">
        <v>0</v>
      </c>
      <c r="F4" s="14"/>
      <c r="G4" s="15"/>
      <c r="H4" s="15"/>
      <c r="I4" s="15"/>
      <c r="J4" s="16"/>
      <c r="K4" s="24"/>
      <c r="L4" s="58"/>
      <c r="O4" s="24"/>
    </row>
    <row r="5" spans="1:29" ht="20.100000000000001" customHeight="1" x14ac:dyDescent="0.25">
      <c r="A5" s="6">
        <v>1</v>
      </c>
      <c r="B5" s="323"/>
      <c r="C5" s="323"/>
      <c r="D5" s="323"/>
      <c r="E5" s="324"/>
      <c r="F5" s="63">
        <f>SUM(B5:E5)</f>
        <v>0</v>
      </c>
      <c r="G5" s="63">
        <f>+((B5*Setup_and_Criteria!$F$13)+(C5*Setup_and_Criteria!$F$15)+(D5*Setup_and_Criteria!$F$14)+(E5*Setup_and_Criteria!$F$16))</f>
        <v>0</v>
      </c>
      <c r="H5" s="64">
        <f>+U5</f>
        <v>0</v>
      </c>
      <c r="I5" s="65">
        <f t="shared" ref="I5:I11" si="0">+G5-U5</f>
        <v>0</v>
      </c>
      <c r="J5" s="66">
        <f t="shared" ref="J5:J11" si="1">+G5/60</f>
        <v>0</v>
      </c>
      <c r="K5" s="61">
        <f t="shared" ref="K5:K11" si="2">+(M5-L5)+(O5-N5)</f>
        <v>0</v>
      </c>
      <c r="L5" s="327"/>
      <c r="M5" s="328"/>
      <c r="N5" s="328"/>
      <c r="O5" s="329"/>
      <c r="P5" s="4"/>
      <c r="S5" s="12">
        <f t="shared" ref="S5:S12" si="3">HOUR(K5)</f>
        <v>0</v>
      </c>
      <c r="T5" s="12">
        <f t="shared" ref="T5:T12" si="4">MINUTE(K5)</f>
        <v>0</v>
      </c>
      <c r="U5" s="621">
        <f>+(S5*60)+T5</f>
        <v>0</v>
      </c>
      <c r="W5" s="11"/>
    </row>
    <row r="6" spans="1:29" ht="20.100000000000001" customHeight="1" x14ac:dyDescent="0.25">
      <c r="A6" s="6">
        <v>2</v>
      </c>
      <c r="B6" s="323"/>
      <c r="C6" s="324"/>
      <c r="D6" s="324"/>
      <c r="E6" s="324"/>
      <c r="F6" s="63">
        <f t="shared" ref="F6:F11" si="5">SUM(B6:E6)</f>
        <v>0</v>
      </c>
      <c r="G6" s="63">
        <f>+((B6*Setup_and_Criteria!$F$13)+(C6*Setup_and_Criteria!$F$15)+(D6*Setup_and_Criteria!$F$14)+(E6*Setup_and_Criteria!$F$16))</f>
        <v>0</v>
      </c>
      <c r="H6" s="63">
        <f t="shared" ref="H6:H11" si="6">+U6</f>
        <v>0</v>
      </c>
      <c r="I6" s="65">
        <f t="shared" si="0"/>
        <v>0</v>
      </c>
      <c r="J6" s="67">
        <f t="shared" si="1"/>
        <v>0</v>
      </c>
      <c r="K6" s="61">
        <f t="shared" si="2"/>
        <v>0</v>
      </c>
      <c r="L6" s="327"/>
      <c r="M6" s="328"/>
      <c r="N6" s="328"/>
      <c r="O6" s="329"/>
      <c r="P6" s="3"/>
      <c r="Q6" s="7"/>
      <c r="S6" s="12">
        <f t="shared" si="3"/>
        <v>0</v>
      </c>
      <c r="T6" s="12">
        <f t="shared" si="4"/>
        <v>0</v>
      </c>
      <c r="U6" s="621">
        <f t="shared" ref="U6:U12" si="7">+(S6*60)+T6</f>
        <v>0</v>
      </c>
    </row>
    <row r="7" spans="1:29" ht="20.100000000000001" customHeight="1" x14ac:dyDescent="0.25">
      <c r="A7" s="6">
        <v>3</v>
      </c>
      <c r="B7" s="323"/>
      <c r="C7" s="324"/>
      <c r="D7" s="324"/>
      <c r="E7" s="324"/>
      <c r="F7" s="63">
        <f t="shared" si="5"/>
        <v>0</v>
      </c>
      <c r="G7" s="63">
        <f>+((B7*Setup_and_Criteria!$F$13)+(C7*Setup_and_Criteria!$F$15)+(D7*Setup_and_Criteria!$F$14)+(E7*Setup_and_Criteria!$F$16))</f>
        <v>0</v>
      </c>
      <c r="H7" s="63">
        <f t="shared" si="6"/>
        <v>0</v>
      </c>
      <c r="I7" s="65">
        <f t="shared" si="0"/>
        <v>0</v>
      </c>
      <c r="J7" s="67">
        <f t="shared" si="1"/>
        <v>0</v>
      </c>
      <c r="K7" s="61">
        <f t="shared" si="2"/>
        <v>0</v>
      </c>
      <c r="L7" s="327"/>
      <c r="M7" s="328"/>
      <c r="N7" s="328"/>
      <c r="O7" s="330"/>
      <c r="P7" s="19"/>
      <c r="S7" s="12">
        <f t="shared" si="3"/>
        <v>0</v>
      </c>
      <c r="T7" s="12">
        <f t="shared" si="4"/>
        <v>0</v>
      </c>
      <c r="U7" s="621">
        <f t="shared" si="7"/>
        <v>0</v>
      </c>
    </row>
    <row r="8" spans="1:29" ht="20.100000000000001" customHeight="1" x14ac:dyDescent="0.25">
      <c r="A8" s="6">
        <v>4</v>
      </c>
      <c r="B8" s="323"/>
      <c r="C8" s="324"/>
      <c r="D8" s="324"/>
      <c r="E8" s="324"/>
      <c r="F8" s="63">
        <f t="shared" si="5"/>
        <v>0</v>
      </c>
      <c r="G8" s="63">
        <f>+((B8*Setup_and_Criteria!$F$13)+(C8*Setup_and_Criteria!$F$15)+(D8*Setup_and_Criteria!$F$14)+(E8*Setup_and_Criteria!$F$16))</f>
        <v>0</v>
      </c>
      <c r="H8" s="63">
        <f t="shared" si="6"/>
        <v>0</v>
      </c>
      <c r="I8" s="65">
        <f t="shared" si="0"/>
        <v>0</v>
      </c>
      <c r="J8" s="67">
        <f t="shared" si="1"/>
        <v>0</v>
      </c>
      <c r="K8" s="61">
        <f t="shared" si="2"/>
        <v>0</v>
      </c>
      <c r="L8" s="327"/>
      <c r="M8" s="328"/>
      <c r="N8" s="328"/>
      <c r="O8" s="330"/>
      <c r="P8" s="9"/>
      <c r="S8" s="12">
        <f t="shared" si="3"/>
        <v>0</v>
      </c>
      <c r="T8" s="12">
        <f t="shared" si="4"/>
        <v>0</v>
      </c>
      <c r="U8" s="621">
        <f t="shared" si="7"/>
        <v>0</v>
      </c>
    </row>
    <row r="9" spans="1:29" ht="20.100000000000001" customHeight="1" x14ac:dyDescent="0.4">
      <c r="A9" s="6">
        <v>5</v>
      </c>
      <c r="B9" s="323"/>
      <c r="C9" s="324"/>
      <c r="D9" s="324"/>
      <c r="E9" s="324"/>
      <c r="F9" s="63">
        <f t="shared" si="5"/>
        <v>0</v>
      </c>
      <c r="G9" s="63">
        <f>+((B9*Setup_and_Criteria!$F$13)+(C9*Setup_and_Criteria!$F$15)+(D9*Setup_and_Criteria!$F$14)+(E9*Setup_and_Criteria!$F$16))</f>
        <v>0</v>
      </c>
      <c r="H9" s="63">
        <f t="shared" si="6"/>
        <v>0</v>
      </c>
      <c r="I9" s="65">
        <f t="shared" si="0"/>
        <v>0</v>
      </c>
      <c r="J9" s="67">
        <f t="shared" si="1"/>
        <v>0</v>
      </c>
      <c r="K9" s="61">
        <f t="shared" si="2"/>
        <v>0</v>
      </c>
      <c r="L9" s="327"/>
      <c r="M9" s="328"/>
      <c r="N9" s="328"/>
      <c r="O9" s="330"/>
      <c r="P9" s="9"/>
      <c r="S9" s="12">
        <f t="shared" si="3"/>
        <v>0</v>
      </c>
      <c r="T9" s="12">
        <f t="shared" si="4"/>
        <v>0</v>
      </c>
      <c r="U9" s="621">
        <f t="shared" si="7"/>
        <v>0</v>
      </c>
      <c r="X9" s="268"/>
      <c r="Y9" s="268"/>
      <c r="Z9" s="268"/>
      <c r="AA9" s="268"/>
      <c r="AB9" s="268"/>
      <c r="AC9" s="268"/>
    </row>
    <row r="10" spans="1:29" ht="20.100000000000001" customHeight="1" x14ac:dyDescent="0.4">
      <c r="A10" s="6">
        <v>6</v>
      </c>
      <c r="B10" s="323"/>
      <c r="C10" s="324"/>
      <c r="D10" s="324"/>
      <c r="E10" s="324"/>
      <c r="F10" s="63">
        <f t="shared" si="5"/>
        <v>0</v>
      </c>
      <c r="G10" s="63">
        <f>+((B10*Setup_and_Criteria!$F$13)+(C10*Setup_and_Criteria!$F$15)+(D10*Setup_and_Criteria!$F$14)+(E10*Setup_and_Criteria!$F$16))</f>
        <v>0</v>
      </c>
      <c r="H10" s="63">
        <f t="shared" si="6"/>
        <v>0</v>
      </c>
      <c r="I10" s="65">
        <f t="shared" si="0"/>
        <v>0</v>
      </c>
      <c r="J10" s="67">
        <f t="shared" si="1"/>
        <v>0</v>
      </c>
      <c r="K10" s="61">
        <f t="shared" si="2"/>
        <v>0</v>
      </c>
      <c r="L10" s="327"/>
      <c r="M10" s="328"/>
      <c r="N10" s="328"/>
      <c r="O10" s="330"/>
      <c r="P10" s="9"/>
      <c r="S10" s="12">
        <f t="shared" si="3"/>
        <v>0</v>
      </c>
      <c r="T10" s="12">
        <f t="shared" si="4"/>
        <v>0</v>
      </c>
      <c r="U10" s="621">
        <f t="shared" si="7"/>
        <v>0</v>
      </c>
      <c r="V10" t="s">
        <v>42</v>
      </c>
      <c r="X10" s="268"/>
      <c r="Y10" s="268"/>
      <c r="Z10" s="268"/>
      <c r="AA10" s="268"/>
      <c r="AB10" s="268"/>
      <c r="AC10" s="268"/>
    </row>
    <row r="11" spans="1:29" ht="20.100000000000001" customHeight="1" thickBot="1" x14ac:dyDescent="0.45">
      <c r="A11" s="6">
        <v>7</v>
      </c>
      <c r="B11" s="325"/>
      <c r="C11" s="326"/>
      <c r="D11" s="326"/>
      <c r="E11" s="326"/>
      <c r="F11" s="63">
        <f t="shared" si="5"/>
        <v>0</v>
      </c>
      <c r="G11" s="69">
        <f>+((B11*Setup_and_Criteria!$F$13)+(C11*Setup_and_Criteria!$F$15)+(D11*Setup_and_Criteria!$F$14)+(E11*Setup_and_Criteria!$F$16))</f>
        <v>0</v>
      </c>
      <c r="H11" s="69">
        <f t="shared" si="6"/>
        <v>0</v>
      </c>
      <c r="I11" s="70">
        <f t="shared" si="0"/>
        <v>0</v>
      </c>
      <c r="J11" s="71">
        <f t="shared" si="1"/>
        <v>0</v>
      </c>
      <c r="K11" s="62">
        <f t="shared" si="2"/>
        <v>0</v>
      </c>
      <c r="L11" s="331"/>
      <c r="M11" s="332"/>
      <c r="N11" s="332"/>
      <c r="O11" s="333"/>
      <c r="P11" s="9"/>
      <c r="S11" s="12">
        <f t="shared" si="3"/>
        <v>0</v>
      </c>
      <c r="T11" s="12">
        <f t="shared" si="4"/>
        <v>0</v>
      </c>
      <c r="U11" s="621">
        <f t="shared" si="7"/>
        <v>0</v>
      </c>
      <c r="X11" s="268"/>
      <c r="Y11" s="268"/>
      <c r="Z11" s="268"/>
      <c r="AA11" s="268"/>
      <c r="AB11" s="268"/>
      <c r="AC11" s="268"/>
    </row>
    <row r="12" spans="1:29" ht="33" thickTop="1" thickBot="1" x14ac:dyDescent="0.45">
      <c r="A12" s="25"/>
      <c r="B12" s="76" t="s">
        <v>212</v>
      </c>
      <c r="C12" s="76"/>
      <c r="D12" s="76"/>
      <c r="E12" s="60" t="e">
        <f>+H12/(F5+F6+F7+F8+F9+F10+F11)</f>
        <v>#DIV/0!</v>
      </c>
      <c r="F12" s="28">
        <f t="shared" ref="F12:K12" si="8">SUM(F5:F11)</f>
        <v>0</v>
      </c>
      <c r="G12" s="26">
        <f t="shared" si="8"/>
        <v>0</v>
      </c>
      <c r="H12" s="26">
        <f t="shared" si="8"/>
        <v>0</v>
      </c>
      <c r="I12" s="26">
        <f t="shared" si="8"/>
        <v>0</v>
      </c>
      <c r="J12" s="27">
        <f t="shared" si="8"/>
        <v>0</v>
      </c>
      <c r="K12" s="46">
        <f t="shared" si="8"/>
        <v>0</v>
      </c>
      <c r="L12" s="991" t="s">
        <v>213</v>
      </c>
      <c r="M12" s="992"/>
      <c r="N12" s="992"/>
      <c r="O12" s="993"/>
      <c r="P12" s="9"/>
      <c r="S12" s="12">
        <f t="shared" si="3"/>
        <v>0</v>
      </c>
      <c r="T12" s="12">
        <f t="shared" si="4"/>
        <v>0</v>
      </c>
      <c r="U12" s="621">
        <f t="shared" si="7"/>
        <v>0</v>
      </c>
      <c r="X12" s="268"/>
      <c r="Y12" s="268"/>
      <c r="Z12" s="268"/>
      <c r="AA12" s="268"/>
      <c r="AB12" s="268"/>
      <c r="AC12" s="268"/>
    </row>
    <row r="13" spans="1:29" ht="22.5" customHeight="1" thickBot="1" x14ac:dyDescent="0.45">
      <c r="A13" s="987" t="s">
        <v>214</v>
      </c>
      <c r="B13" s="985"/>
      <c r="C13" s="985"/>
      <c r="D13" s="985"/>
      <c r="E13" s="985"/>
      <c r="F13" s="985"/>
      <c r="G13" s="985"/>
      <c r="H13" s="985"/>
      <c r="I13" s="985"/>
      <c r="J13" s="985"/>
      <c r="K13" s="985"/>
      <c r="L13" s="988" t="s">
        <v>215</v>
      </c>
      <c r="M13" s="988"/>
      <c r="N13" s="988"/>
      <c r="O13" s="989"/>
      <c r="P13" s="9"/>
      <c r="X13" s="268"/>
      <c r="Y13" s="268"/>
      <c r="Z13" s="268"/>
      <c r="AA13" s="268"/>
      <c r="AB13" s="268"/>
      <c r="AC13" s="268"/>
    </row>
    <row r="14" spans="1:29" ht="31.5" x14ac:dyDescent="0.4">
      <c r="A14" s="301" t="str">
        <f>+Setup_and_Criteria!$J$6</f>
        <v>Q2</v>
      </c>
      <c r="B14" s="31" t="str">
        <f>+Corrections!$C$8</f>
        <v>Vanity</v>
      </c>
      <c r="C14" s="31" t="str">
        <f>+Corrections!$I$8</f>
        <v>Toilet</v>
      </c>
      <c r="D14" s="32" t="str">
        <f>+Corrections!$O$8</f>
        <v>Bed/Pillows</v>
      </c>
      <c r="E14" s="31" t="str">
        <f>+Corrections!$U$8</f>
        <v>Floor</v>
      </c>
      <c r="F14" s="33" t="str">
        <f>+Corrections!$AA$8</f>
        <v>Dusting</v>
      </c>
      <c r="G14" s="33" t="str">
        <f>+Corrections!$AG$8</f>
        <v>Fridge/Micro</v>
      </c>
      <c r="H14" s="33" t="str">
        <f>+Corrections!$AM$8</f>
        <v>Tub</v>
      </c>
      <c r="I14" s="33" t="str">
        <f>+Corrections!$AS$8</f>
        <v>Mirrors/Glass</v>
      </c>
      <c r="J14" s="34" t="str">
        <f>+Corrections!$AY$8</f>
        <v>Stocking</v>
      </c>
      <c r="K14" s="35" t="str">
        <f>+Corrections!$BE$8</f>
        <v>Other</v>
      </c>
      <c r="L14" s="37" t="s">
        <v>216</v>
      </c>
      <c r="M14" s="59" t="s">
        <v>217</v>
      </c>
      <c r="N14" s="5"/>
      <c r="O14" s="72"/>
      <c r="P14" s="9"/>
      <c r="X14" s="268"/>
      <c r="Y14" s="268"/>
      <c r="Z14" s="268"/>
      <c r="AA14" s="268"/>
      <c r="AB14" s="268"/>
      <c r="AC14" s="268"/>
    </row>
    <row r="15" spans="1:29" ht="21.95" customHeight="1" x14ac:dyDescent="0.4">
      <c r="A15" s="6">
        <v>1</v>
      </c>
      <c r="B15" s="47"/>
      <c r="C15" s="47"/>
      <c r="D15" s="47"/>
      <c r="E15" s="48"/>
      <c r="F15" s="49"/>
      <c r="G15" s="49"/>
      <c r="H15" s="50"/>
      <c r="I15" s="51"/>
      <c r="J15" s="49"/>
      <c r="K15" s="52"/>
      <c r="L15" s="43">
        <f>SUM(B15:K15)</f>
        <v>0</v>
      </c>
      <c r="M15" s="39" t="e">
        <f t="shared" ref="M15:M21" si="9">+L15/(B5+C5+D5)</f>
        <v>#DIV/0!</v>
      </c>
      <c r="N15" s="5"/>
      <c r="O15" s="72"/>
      <c r="P15" s="9"/>
      <c r="X15" s="268"/>
      <c r="Y15" s="268"/>
      <c r="Z15" s="268"/>
      <c r="AA15" s="268"/>
      <c r="AB15" s="268"/>
      <c r="AC15" s="268"/>
    </row>
    <row r="16" spans="1:29" ht="21.95" customHeight="1" x14ac:dyDescent="0.4">
      <c r="A16" s="6">
        <v>2</v>
      </c>
      <c r="B16" s="50"/>
      <c r="C16" s="49"/>
      <c r="D16" s="49"/>
      <c r="E16" s="49"/>
      <c r="F16" s="49"/>
      <c r="G16" s="49"/>
      <c r="H16" s="49"/>
      <c r="I16" s="51"/>
      <c r="J16" s="49"/>
      <c r="K16" s="52"/>
      <c r="L16" s="43">
        <f t="shared" ref="L16:L21" si="10">SUM(B16:K16)</f>
        <v>0</v>
      </c>
      <c r="M16" s="39" t="e">
        <f t="shared" si="9"/>
        <v>#DIV/0!</v>
      </c>
      <c r="N16" s="5"/>
      <c r="O16" s="72"/>
      <c r="P16" s="9"/>
      <c r="X16" s="268"/>
      <c r="Y16" s="268"/>
      <c r="Z16" s="268"/>
      <c r="AA16" s="268"/>
      <c r="AB16" s="268"/>
      <c r="AC16" s="268"/>
    </row>
    <row r="17" spans="1:29" ht="21.95" customHeight="1" x14ac:dyDescent="0.4">
      <c r="A17" s="6">
        <v>3</v>
      </c>
      <c r="B17" s="50"/>
      <c r="C17" s="49"/>
      <c r="D17" s="49"/>
      <c r="E17" s="49"/>
      <c r="F17" s="49"/>
      <c r="G17" s="49"/>
      <c r="H17" s="49"/>
      <c r="I17" s="51"/>
      <c r="J17" s="49"/>
      <c r="K17" s="52"/>
      <c r="L17" s="43">
        <f t="shared" si="10"/>
        <v>0</v>
      </c>
      <c r="M17" s="39" t="e">
        <f t="shared" si="9"/>
        <v>#DIV/0!</v>
      </c>
      <c r="N17" s="5"/>
      <c r="O17" s="72"/>
      <c r="P17" s="9"/>
      <c r="X17" s="268"/>
      <c r="Y17" s="268"/>
      <c r="Z17" s="268"/>
      <c r="AA17" s="268"/>
      <c r="AB17" s="268"/>
      <c r="AC17" s="268"/>
    </row>
    <row r="18" spans="1:29" ht="21.95" customHeight="1" x14ac:dyDescent="0.4">
      <c r="A18" s="6">
        <v>4</v>
      </c>
      <c r="B18" s="50"/>
      <c r="C18" s="49"/>
      <c r="D18" s="49"/>
      <c r="E18" s="49"/>
      <c r="F18" s="49"/>
      <c r="G18" s="49"/>
      <c r="H18" s="49"/>
      <c r="I18" s="51"/>
      <c r="J18" s="49"/>
      <c r="K18" s="52"/>
      <c r="L18" s="43">
        <f t="shared" si="10"/>
        <v>0</v>
      </c>
      <c r="M18" s="39" t="e">
        <f t="shared" si="9"/>
        <v>#DIV/0!</v>
      </c>
      <c r="N18" s="5"/>
      <c r="O18" s="72"/>
      <c r="P18" s="9"/>
      <c r="X18" s="268"/>
      <c r="Y18" s="268"/>
      <c r="Z18" s="268"/>
      <c r="AA18" s="268"/>
      <c r="AB18" s="268"/>
      <c r="AC18" s="268"/>
    </row>
    <row r="19" spans="1:29" ht="21.95" customHeight="1" x14ac:dyDescent="0.25">
      <c r="A19" s="6">
        <v>5</v>
      </c>
      <c r="B19" s="50"/>
      <c r="C19" s="49"/>
      <c r="D19" s="49"/>
      <c r="E19" s="49"/>
      <c r="F19" s="49"/>
      <c r="G19" s="49"/>
      <c r="H19" s="49"/>
      <c r="I19" s="51"/>
      <c r="J19" s="49"/>
      <c r="K19" s="52"/>
      <c r="L19" s="43">
        <f t="shared" si="10"/>
        <v>0</v>
      </c>
      <c r="M19" s="39" t="e">
        <f t="shared" si="9"/>
        <v>#DIV/0!</v>
      </c>
      <c r="N19" s="5"/>
      <c r="O19" s="72"/>
      <c r="P19" s="9"/>
    </row>
    <row r="20" spans="1:29" ht="21.95" customHeight="1" x14ac:dyDescent="0.25">
      <c r="A20" s="6">
        <v>6</v>
      </c>
      <c r="B20" s="50"/>
      <c r="C20" s="49"/>
      <c r="D20" s="49"/>
      <c r="E20" s="49"/>
      <c r="F20" s="49"/>
      <c r="G20" s="49"/>
      <c r="H20" s="49"/>
      <c r="I20" s="51"/>
      <c r="J20" s="49"/>
      <c r="K20" s="52"/>
      <c r="L20" s="43">
        <f t="shared" si="10"/>
        <v>0</v>
      </c>
      <c r="M20" s="39" t="e">
        <f t="shared" si="9"/>
        <v>#DIV/0!</v>
      </c>
      <c r="N20" s="5"/>
      <c r="O20" s="72"/>
      <c r="P20" s="9"/>
    </row>
    <row r="21" spans="1:29" ht="21.95" customHeight="1" thickBot="1" x14ac:dyDescent="0.3">
      <c r="A21" s="6">
        <v>7</v>
      </c>
      <c r="B21" s="53"/>
      <c r="C21" s="54"/>
      <c r="D21" s="54"/>
      <c r="E21" s="54"/>
      <c r="F21" s="54"/>
      <c r="G21" s="54"/>
      <c r="H21" s="54"/>
      <c r="I21" s="55"/>
      <c r="J21" s="54"/>
      <c r="K21" s="56"/>
      <c r="L21" s="44">
        <f t="shared" si="10"/>
        <v>0</v>
      </c>
      <c r="M21" s="40" t="e">
        <f t="shared" si="9"/>
        <v>#DIV/0!</v>
      </c>
      <c r="N21" s="5"/>
      <c r="O21" s="72"/>
      <c r="P21" s="9"/>
    </row>
    <row r="22" spans="1:29" ht="21.95" customHeight="1" thickTop="1" thickBot="1" x14ac:dyDescent="0.3">
      <c r="A22" s="25"/>
      <c r="B22" s="38">
        <f>SUM(B15:B21)</f>
        <v>0</v>
      </c>
      <c r="C22" s="38">
        <f t="shared" ref="C22:K22" si="11">SUM(C15:C21)</f>
        <v>0</v>
      </c>
      <c r="D22" s="38">
        <f t="shared" si="11"/>
        <v>0</v>
      </c>
      <c r="E22" s="36">
        <f t="shared" si="11"/>
        <v>0</v>
      </c>
      <c r="F22" s="36">
        <f t="shared" si="11"/>
        <v>0</v>
      </c>
      <c r="G22" s="36">
        <f t="shared" si="11"/>
        <v>0</v>
      </c>
      <c r="H22" s="36">
        <f t="shared" si="11"/>
        <v>0</v>
      </c>
      <c r="I22" s="36">
        <f t="shared" si="11"/>
        <v>0</v>
      </c>
      <c r="J22" s="36">
        <f t="shared" si="11"/>
        <v>0</v>
      </c>
      <c r="K22" s="41">
        <f t="shared" si="11"/>
        <v>0</v>
      </c>
      <c r="L22" s="45">
        <f>SUM(L15:L21)</f>
        <v>0</v>
      </c>
      <c r="M22" s="42" t="e">
        <f>+L22/(F12)</f>
        <v>#DIV/0!</v>
      </c>
      <c r="N22" s="73"/>
      <c r="O22" s="74"/>
      <c r="P22" s="9"/>
    </row>
    <row r="23" spans="1:29" ht="28.5" customHeight="1" thickBot="1" x14ac:dyDescent="0.3">
      <c r="A23" s="986" t="s">
        <v>198</v>
      </c>
      <c r="B23" s="986"/>
      <c r="C23" s="986"/>
      <c r="D23" s="986"/>
      <c r="E23" s="986"/>
      <c r="F23" s="986"/>
      <c r="G23" s="986"/>
      <c r="H23" s="986"/>
      <c r="I23" s="986"/>
      <c r="J23" s="986"/>
      <c r="K23" s="986"/>
      <c r="L23" s="986"/>
      <c r="M23" s="986"/>
      <c r="N23" s="986"/>
      <c r="O23" s="986"/>
      <c r="P23" s="9"/>
    </row>
    <row r="24" spans="1:29" ht="27.75" customHeight="1" thickBot="1" x14ac:dyDescent="0.4">
      <c r="A24" s="302" t="s">
        <v>199</v>
      </c>
      <c r="B24" s="998" t="str">
        <f ca="1">+B2</f>
        <v>TeamMember 1</v>
      </c>
      <c r="C24" s="999"/>
      <c r="D24" s="999"/>
      <c r="E24" s="999"/>
      <c r="F24" s="1000"/>
      <c r="G24" s="262"/>
      <c r="H24" s="996"/>
      <c r="I24" s="996"/>
      <c r="J24" s="997"/>
      <c r="K24" s="997"/>
      <c r="L24" s="1002" t="s">
        <v>71</v>
      </c>
      <c r="M24" s="1003"/>
      <c r="N24" s="1003"/>
      <c r="O24" s="1004"/>
      <c r="P24" s="9"/>
    </row>
    <row r="25" spans="1:29" ht="51" x14ac:dyDescent="0.25">
      <c r="A25" s="301" t="str">
        <f>+Setup_and_Criteria!$J$6</f>
        <v>Q2</v>
      </c>
      <c r="B25" s="633" t="s">
        <v>200</v>
      </c>
      <c r="C25" s="298" t="s">
        <v>201</v>
      </c>
      <c r="D25" s="633" t="s">
        <v>202</v>
      </c>
      <c r="E25" s="303" t="s">
        <v>203</v>
      </c>
      <c r="F25" s="299" t="s">
        <v>204</v>
      </c>
      <c r="G25" s="298" t="s">
        <v>137</v>
      </c>
      <c r="H25" s="298" t="s">
        <v>138</v>
      </c>
      <c r="I25" s="298" t="s">
        <v>205</v>
      </c>
      <c r="J25" s="299" t="s">
        <v>206</v>
      </c>
      <c r="K25" s="300" t="s">
        <v>207</v>
      </c>
      <c r="L25" s="57" t="s">
        <v>208</v>
      </c>
      <c r="M25" s="29" t="s">
        <v>209</v>
      </c>
      <c r="N25" s="29" t="s">
        <v>210</v>
      </c>
      <c r="O25" s="30" t="s">
        <v>211</v>
      </c>
      <c r="P25" s="9"/>
    </row>
    <row r="26" spans="1:29" ht="20.100000000000001" hidden="1" customHeight="1" x14ac:dyDescent="0.35">
      <c r="A26" s="23"/>
      <c r="B26" s="13">
        <v>30</v>
      </c>
      <c r="C26" s="13">
        <v>45</v>
      </c>
      <c r="D26" s="13">
        <v>20</v>
      </c>
      <c r="E26" s="13">
        <v>0</v>
      </c>
      <c r="F26" s="14"/>
      <c r="G26" s="15"/>
      <c r="H26" s="15"/>
      <c r="I26" s="15"/>
      <c r="J26" s="16"/>
      <c r="K26" s="24"/>
      <c r="L26" s="58"/>
      <c r="O26" s="24"/>
      <c r="P26" s="9"/>
    </row>
    <row r="27" spans="1:29" ht="20.100000000000001" customHeight="1" x14ac:dyDescent="0.25">
      <c r="A27" s="6">
        <v>8</v>
      </c>
      <c r="B27" s="321"/>
      <c r="C27" s="321"/>
      <c r="D27" s="321"/>
      <c r="E27" s="322"/>
      <c r="F27" s="63">
        <f>SUM(B27:D27)</f>
        <v>0</v>
      </c>
      <c r="G27" s="63">
        <f>+((B27*Setup_and_Criteria!$F$13)+(C27*Setup_and_Criteria!$F$15)+(D27*Setup_and_Criteria!$F$14)+(E27*Setup_and_Criteria!$F$16))</f>
        <v>0</v>
      </c>
      <c r="H27" s="64">
        <f>+U27</f>
        <v>0</v>
      </c>
      <c r="I27" s="65">
        <f t="shared" ref="I27:I33" si="12">+G27-U27</f>
        <v>0</v>
      </c>
      <c r="J27" s="66">
        <f t="shared" ref="J27:J33" si="13">+G27/60</f>
        <v>0</v>
      </c>
      <c r="K27" s="61">
        <f t="shared" ref="K27:K33" si="14">+(M27-L27)+(O27-N27)</f>
        <v>0</v>
      </c>
      <c r="L27" s="327"/>
      <c r="M27" s="328"/>
      <c r="N27" s="328"/>
      <c r="O27" s="329"/>
      <c r="P27" s="9"/>
      <c r="S27" s="12">
        <f t="shared" ref="S27:S34" si="15">HOUR(K27)</f>
        <v>0</v>
      </c>
      <c r="T27" s="12">
        <f t="shared" ref="T27:T34" si="16">MINUTE(K27)</f>
        <v>0</v>
      </c>
      <c r="U27" s="621">
        <f>+(S27*60)+T27</f>
        <v>0</v>
      </c>
    </row>
    <row r="28" spans="1:29" ht="20.100000000000001" customHeight="1" x14ac:dyDescent="0.25">
      <c r="A28" s="6">
        <v>9</v>
      </c>
      <c r="B28" s="323"/>
      <c r="C28" s="324"/>
      <c r="D28" s="324"/>
      <c r="E28" s="324"/>
      <c r="F28" s="63">
        <f t="shared" ref="F28:F33" si="17">SUM(B28:D28)</f>
        <v>0</v>
      </c>
      <c r="G28" s="63">
        <f>+((B28*Setup_and_Criteria!$F$13)+(C28*Setup_and_Criteria!$F$15)+(D28*Setup_and_Criteria!$F$14)+(E28*Setup_and_Criteria!$F$16))</f>
        <v>0</v>
      </c>
      <c r="H28" s="63">
        <f t="shared" ref="H28:H33" si="18">+U28</f>
        <v>0</v>
      </c>
      <c r="I28" s="65">
        <f t="shared" si="12"/>
        <v>0</v>
      </c>
      <c r="J28" s="67">
        <f t="shared" si="13"/>
        <v>0</v>
      </c>
      <c r="K28" s="61">
        <f t="shared" si="14"/>
        <v>0</v>
      </c>
      <c r="L28" s="327"/>
      <c r="M28" s="328"/>
      <c r="N28" s="328"/>
      <c r="O28" s="329"/>
      <c r="P28" s="9"/>
      <c r="S28" s="12">
        <f t="shared" si="15"/>
        <v>0</v>
      </c>
      <c r="T28" s="12">
        <f t="shared" si="16"/>
        <v>0</v>
      </c>
      <c r="U28" s="621">
        <f t="shared" ref="U28:U34" si="19">+(S28*60)+T28</f>
        <v>0</v>
      </c>
    </row>
    <row r="29" spans="1:29" ht="20.100000000000001" customHeight="1" x14ac:dyDescent="0.25">
      <c r="A29" s="6">
        <v>10</v>
      </c>
      <c r="B29" s="323"/>
      <c r="C29" s="324"/>
      <c r="D29" s="324"/>
      <c r="E29" s="324"/>
      <c r="F29" s="63">
        <f t="shared" si="17"/>
        <v>0</v>
      </c>
      <c r="G29" s="63">
        <f>+((B29*Setup_and_Criteria!$F$13)+(C29*Setup_and_Criteria!$F$15)+(D29*Setup_and_Criteria!$F$14)+(E29*Setup_and_Criteria!$F$16))</f>
        <v>0</v>
      </c>
      <c r="H29" s="63">
        <f t="shared" si="18"/>
        <v>0</v>
      </c>
      <c r="I29" s="65">
        <f t="shared" si="12"/>
        <v>0</v>
      </c>
      <c r="J29" s="67">
        <f t="shared" si="13"/>
        <v>0</v>
      </c>
      <c r="K29" s="61">
        <f t="shared" si="14"/>
        <v>0</v>
      </c>
      <c r="L29" s="327"/>
      <c r="M29" s="328"/>
      <c r="N29" s="328"/>
      <c r="O29" s="330"/>
      <c r="P29" s="9"/>
      <c r="S29" s="12">
        <f t="shared" si="15"/>
        <v>0</v>
      </c>
      <c r="T29" s="12">
        <f t="shared" si="16"/>
        <v>0</v>
      </c>
      <c r="U29" s="621">
        <f t="shared" si="19"/>
        <v>0</v>
      </c>
    </row>
    <row r="30" spans="1:29" ht="20.100000000000001" customHeight="1" x14ac:dyDescent="0.25">
      <c r="A30" s="6">
        <v>11</v>
      </c>
      <c r="B30" s="323"/>
      <c r="C30" s="324"/>
      <c r="D30" s="324"/>
      <c r="E30" s="324"/>
      <c r="F30" s="63">
        <f t="shared" si="17"/>
        <v>0</v>
      </c>
      <c r="G30" s="63">
        <f>+((B30*Setup_and_Criteria!$F$13)+(C30*Setup_and_Criteria!$F$15)+(D30*Setup_and_Criteria!$F$14)+(E30*Setup_and_Criteria!$F$16))</f>
        <v>0</v>
      </c>
      <c r="H30" s="63">
        <f t="shared" si="18"/>
        <v>0</v>
      </c>
      <c r="I30" s="65">
        <f t="shared" si="12"/>
        <v>0</v>
      </c>
      <c r="J30" s="67">
        <f t="shared" si="13"/>
        <v>0</v>
      </c>
      <c r="K30" s="61">
        <f t="shared" si="14"/>
        <v>0</v>
      </c>
      <c r="L30" s="327"/>
      <c r="M30" s="328"/>
      <c r="N30" s="328"/>
      <c r="O30" s="330"/>
      <c r="P30" s="9"/>
      <c r="S30" s="12">
        <f t="shared" si="15"/>
        <v>0</v>
      </c>
      <c r="T30" s="12">
        <f t="shared" si="16"/>
        <v>0</v>
      </c>
      <c r="U30" s="621">
        <f t="shared" si="19"/>
        <v>0</v>
      </c>
    </row>
    <row r="31" spans="1:29" ht="20.100000000000001" customHeight="1" x14ac:dyDescent="0.25">
      <c r="A31" s="6">
        <v>12</v>
      </c>
      <c r="B31" s="323"/>
      <c r="C31" s="324"/>
      <c r="D31" s="324"/>
      <c r="E31" s="324"/>
      <c r="F31" s="63">
        <f t="shared" si="17"/>
        <v>0</v>
      </c>
      <c r="G31" s="63">
        <f>+((B31*Setup_and_Criteria!$F$13)+(C31*Setup_and_Criteria!$F$15)+(D31*Setup_and_Criteria!$F$14)+(E31*Setup_and_Criteria!$F$16))</f>
        <v>0</v>
      </c>
      <c r="H31" s="63">
        <f t="shared" si="18"/>
        <v>0</v>
      </c>
      <c r="I31" s="65">
        <f t="shared" si="12"/>
        <v>0</v>
      </c>
      <c r="J31" s="67">
        <f t="shared" si="13"/>
        <v>0</v>
      </c>
      <c r="K31" s="61">
        <f t="shared" si="14"/>
        <v>0</v>
      </c>
      <c r="L31" s="327"/>
      <c r="M31" s="328"/>
      <c r="N31" s="328"/>
      <c r="O31" s="330"/>
      <c r="P31" s="9"/>
      <c r="S31" s="12">
        <f t="shared" si="15"/>
        <v>0</v>
      </c>
      <c r="T31" s="12">
        <f t="shared" si="16"/>
        <v>0</v>
      </c>
      <c r="U31" s="621">
        <f t="shared" si="19"/>
        <v>0</v>
      </c>
    </row>
    <row r="32" spans="1:29" ht="20.100000000000001" customHeight="1" x14ac:dyDescent="0.25">
      <c r="A32" s="6">
        <v>13</v>
      </c>
      <c r="B32" s="323"/>
      <c r="C32" s="324"/>
      <c r="D32" s="324"/>
      <c r="E32" s="324"/>
      <c r="F32" s="63">
        <f t="shared" si="17"/>
        <v>0</v>
      </c>
      <c r="G32" s="63">
        <f>+((B32*Setup_and_Criteria!$F$13)+(C32*Setup_and_Criteria!$F$15)+(D32*Setup_and_Criteria!$F$14)+(E32*Setup_and_Criteria!$F$16))</f>
        <v>0</v>
      </c>
      <c r="H32" s="63">
        <f t="shared" si="18"/>
        <v>0</v>
      </c>
      <c r="I32" s="65">
        <f t="shared" si="12"/>
        <v>0</v>
      </c>
      <c r="J32" s="67">
        <f t="shared" si="13"/>
        <v>0</v>
      </c>
      <c r="K32" s="61">
        <f t="shared" si="14"/>
        <v>0</v>
      </c>
      <c r="L32" s="327"/>
      <c r="M32" s="328"/>
      <c r="N32" s="328"/>
      <c r="O32" s="330"/>
      <c r="P32" s="9"/>
      <c r="S32" s="12">
        <f t="shared" si="15"/>
        <v>0</v>
      </c>
      <c r="T32" s="12">
        <f t="shared" si="16"/>
        <v>0</v>
      </c>
      <c r="U32" s="621">
        <f t="shared" si="19"/>
        <v>0</v>
      </c>
    </row>
    <row r="33" spans="1:21" ht="20.100000000000001" customHeight="1" thickBot="1" x14ac:dyDescent="0.3">
      <c r="A33" s="6">
        <v>14</v>
      </c>
      <c r="B33" s="325"/>
      <c r="C33" s="326"/>
      <c r="D33" s="326"/>
      <c r="E33" s="326"/>
      <c r="F33" s="68">
        <f t="shared" si="17"/>
        <v>0</v>
      </c>
      <c r="G33" s="69">
        <f>+((B33*Setup_and_Criteria!$F$13)+(C33*Setup_and_Criteria!$F$15)+(D33*Setup_and_Criteria!$F$14)+(E33*Setup_and_Criteria!$F$16))</f>
        <v>0</v>
      </c>
      <c r="H33" s="69">
        <f t="shared" si="18"/>
        <v>0</v>
      </c>
      <c r="I33" s="70">
        <f t="shared" si="12"/>
        <v>0</v>
      </c>
      <c r="J33" s="71">
        <f t="shared" si="13"/>
        <v>0</v>
      </c>
      <c r="K33" s="62">
        <f t="shared" si="14"/>
        <v>0</v>
      </c>
      <c r="L33" s="331"/>
      <c r="M33" s="332"/>
      <c r="N33" s="332"/>
      <c r="O33" s="333"/>
      <c r="P33" s="9"/>
      <c r="S33" s="12">
        <f t="shared" si="15"/>
        <v>0</v>
      </c>
      <c r="T33" s="12">
        <f t="shared" si="16"/>
        <v>0</v>
      </c>
      <c r="U33" s="621">
        <f t="shared" si="19"/>
        <v>0</v>
      </c>
    </row>
    <row r="34" spans="1:21" ht="20.100000000000001" customHeight="1" thickTop="1" thickBot="1" x14ac:dyDescent="0.3">
      <c r="A34" s="25"/>
      <c r="B34" s="990" t="s">
        <v>212</v>
      </c>
      <c r="C34" s="990"/>
      <c r="D34" s="990"/>
      <c r="E34" s="60" t="e">
        <f>+H34/(F27+F28+F29+F30+F31+F32+F33)</f>
        <v>#DIV/0!</v>
      </c>
      <c r="F34" s="28">
        <f t="shared" ref="F34:K34" si="20">SUM(F27:F33)</f>
        <v>0</v>
      </c>
      <c r="G34" s="26">
        <f t="shared" si="20"/>
        <v>0</v>
      </c>
      <c r="H34" s="26">
        <f t="shared" si="20"/>
        <v>0</v>
      </c>
      <c r="I34" s="26">
        <f t="shared" si="20"/>
        <v>0</v>
      </c>
      <c r="J34" s="27">
        <f t="shared" si="20"/>
        <v>0</v>
      </c>
      <c r="K34" s="46">
        <f t="shared" si="20"/>
        <v>0</v>
      </c>
      <c r="L34" s="991" t="s">
        <v>213</v>
      </c>
      <c r="M34" s="992"/>
      <c r="N34" s="992"/>
      <c r="O34" s="993"/>
      <c r="P34" s="9"/>
      <c r="S34" s="12">
        <f t="shared" si="15"/>
        <v>0</v>
      </c>
      <c r="T34" s="12">
        <f t="shared" si="16"/>
        <v>0</v>
      </c>
      <c r="U34" s="621">
        <f t="shared" si="19"/>
        <v>0</v>
      </c>
    </row>
    <row r="35" spans="1:21" ht="26.25" customHeight="1" thickBot="1" x14ac:dyDescent="0.3">
      <c r="A35" s="987" t="s">
        <v>214</v>
      </c>
      <c r="B35" s="985"/>
      <c r="C35" s="985"/>
      <c r="D35" s="985"/>
      <c r="E35" s="985"/>
      <c r="F35" s="985"/>
      <c r="G35" s="985"/>
      <c r="H35" s="985"/>
      <c r="I35" s="985"/>
      <c r="J35" s="985"/>
      <c r="K35" s="985"/>
      <c r="L35" s="988" t="s">
        <v>215</v>
      </c>
      <c r="M35" s="988"/>
      <c r="N35" s="988"/>
      <c r="O35" s="989"/>
      <c r="P35" s="9"/>
    </row>
    <row r="36" spans="1:21" ht="31.5" x14ac:dyDescent="0.25">
      <c r="A36" s="301" t="str">
        <f>+Setup_and_Criteria!$J$6</f>
        <v>Q2</v>
      </c>
      <c r="B36" s="31" t="str">
        <f>+Corrections!$C$8</f>
        <v>Vanity</v>
      </c>
      <c r="C36" s="31" t="str">
        <f>+Corrections!$I$8</f>
        <v>Toilet</v>
      </c>
      <c r="D36" s="32" t="str">
        <f>+Corrections!$O$8</f>
        <v>Bed/Pillows</v>
      </c>
      <c r="E36" s="31" t="str">
        <f>+Corrections!$U$8</f>
        <v>Floor</v>
      </c>
      <c r="F36" s="33" t="str">
        <f>+Corrections!$AA$8</f>
        <v>Dusting</v>
      </c>
      <c r="G36" s="33" t="str">
        <f>+Corrections!$AG$8</f>
        <v>Fridge/Micro</v>
      </c>
      <c r="H36" s="33" t="str">
        <f>+Corrections!$AM$8</f>
        <v>Tub</v>
      </c>
      <c r="I36" s="33" t="str">
        <f>+Corrections!$AS$8</f>
        <v>Mirrors/Glass</v>
      </c>
      <c r="J36" s="34" t="str">
        <f>+Corrections!$AY$8</f>
        <v>Stocking</v>
      </c>
      <c r="K36" s="35" t="str">
        <f>+Corrections!$BE$8</f>
        <v>Other</v>
      </c>
      <c r="L36" s="37" t="s">
        <v>216</v>
      </c>
      <c r="M36" s="59" t="s">
        <v>217</v>
      </c>
      <c r="N36" s="994"/>
      <c r="O36" s="995"/>
      <c r="P36" s="9"/>
    </row>
    <row r="37" spans="1:21" ht="20.100000000000001" customHeight="1" x14ac:dyDescent="0.25">
      <c r="A37" s="6">
        <v>8</v>
      </c>
      <c r="B37" s="47"/>
      <c r="C37" s="47"/>
      <c r="D37" s="47"/>
      <c r="E37" s="48"/>
      <c r="F37" s="49"/>
      <c r="G37" s="49"/>
      <c r="H37" s="50"/>
      <c r="I37" s="51"/>
      <c r="J37" s="49"/>
      <c r="K37" s="52"/>
      <c r="L37" s="43">
        <f>SUM(B37:K37)</f>
        <v>0</v>
      </c>
      <c r="M37" s="39" t="e">
        <f t="shared" ref="M37:M43" si="21">+L37/(B27+C27+D27)</f>
        <v>#DIV/0!</v>
      </c>
      <c r="N37" s="5"/>
      <c r="O37" s="72"/>
      <c r="P37" s="9"/>
    </row>
    <row r="38" spans="1:21" ht="20.100000000000001" customHeight="1" x14ac:dyDescent="0.25">
      <c r="A38" s="6">
        <v>9</v>
      </c>
      <c r="B38" s="50"/>
      <c r="C38" s="49"/>
      <c r="D38" s="49"/>
      <c r="E38" s="49"/>
      <c r="F38" s="49"/>
      <c r="G38" s="49"/>
      <c r="H38" s="49"/>
      <c r="I38" s="51"/>
      <c r="J38" s="49"/>
      <c r="K38" s="52"/>
      <c r="L38" s="43">
        <f t="shared" ref="L38:L43" si="22">SUM(B38:K38)</f>
        <v>0</v>
      </c>
      <c r="M38" s="39" t="e">
        <f t="shared" si="21"/>
        <v>#DIV/0!</v>
      </c>
      <c r="N38" s="5"/>
      <c r="O38" s="72"/>
      <c r="P38" s="9"/>
    </row>
    <row r="39" spans="1:21" ht="20.100000000000001" customHeight="1" x14ac:dyDescent="0.25">
      <c r="A39" s="6">
        <v>10</v>
      </c>
      <c r="B39" s="50"/>
      <c r="C39" s="49"/>
      <c r="D39" s="49"/>
      <c r="E39" s="49"/>
      <c r="F39" s="49"/>
      <c r="G39" s="49"/>
      <c r="H39" s="49"/>
      <c r="I39" s="51"/>
      <c r="J39" s="49"/>
      <c r="K39" s="52"/>
      <c r="L39" s="43">
        <f t="shared" si="22"/>
        <v>0</v>
      </c>
      <c r="M39" s="39" t="e">
        <f t="shared" si="21"/>
        <v>#DIV/0!</v>
      </c>
      <c r="N39" s="5"/>
      <c r="O39" s="72"/>
      <c r="P39" s="9"/>
    </row>
    <row r="40" spans="1:21" ht="20.100000000000001" customHeight="1" x14ac:dyDescent="0.25">
      <c r="A40" s="6">
        <v>11</v>
      </c>
      <c r="B40" s="50"/>
      <c r="C40" s="49"/>
      <c r="D40" s="49"/>
      <c r="E40" s="49"/>
      <c r="F40" s="49"/>
      <c r="G40" s="49"/>
      <c r="H40" s="49"/>
      <c r="I40" s="51"/>
      <c r="J40" s="49"/>
      <c r="K40" s="52"/>
      <c r="L40" s="43">
        <f t="shared" si="22"/>
        <v>0</v>
      </c>
      <c r="M40" s="39" t="e">
        <f t="shared" si="21"/>
        <v>#DIV/0!</v>
      </c>
      <c r="N40" s="5"/>
      <c r="O40" s="72"/>
      <c r="P40" s="9"/>
    </row>
    <row r="41" spans="1:21" ht="20.100000000000001" customHeight="1" x14ac:dyDescent="0.25">
      <c r="A41" s="6">
        <v>12</v>
      </c>
      <c r="B41" s="50"/>
      <c r="C41" s="49"/>
      <c r="D41" s="49"/>
      <c r="E41" s="49"/>
      <c r="F41" s="49"/>
      <c r="G41" s="49"/>
      <c r="H41" s="49"/>
      <c r="I41" s="51"/>
      <c r="J41" s="49"/>
      <c r="K41" s="52"/>
      <c r="L41" s="43">
        <f t="shared" si="22"/>
        <v>0</v>
      </c>
      <c r="M41" s="39" t="e">
        <f t="shared" si="21"/>
        <v>#DIV/0!</v>
      </c>
      <c r="N41" s="5"/>
      <c r="O41" s="72"/>
      <c r="P41" s="9"/>
    </row>
    <row r="42" spans="1:21" ht="20.100000000000001" customHeight="1" x14ac:dyDescent="0.25">
      <c r="A42" s="6">
        <v>13</v>
      </c>
      <c r="B42" s="50"/>
      <c r="C42" s="49"/>
      <c r="D42" s="49"/>
      <c r="E42" s="49"/>
      <c r="F42" s="49"/>
      <c r="G42" s="49"/>
      <c r="H42" s="49"/>
      <c r="I42" s="51"/>
      <c r="J42" s="49"/>
      <c r="K42" s="52"/>
      <c r="L42" s="43">
        <f t="shared" si="22"/>
        <v>0</v>
      </c>
      <c r="M42" s="39" t="e">
        <f t="shared" si="21"/>
        <v>#DIV/0!</v>
      </c>
      <c r="N42" s="5"/>
      <c r="O42" s="72"/>
      <c r="P42" s="9"/>
    </row>
    <row r="43" spans="1:21" ht="20.100000000000001" customHeight="1" thickBot="1" x14ac:dyDescent="0.3">
      <c r="A43" s="6">
        <v>14</v>
      </c>
      <c r="B43" s="53"/>
      <c r="C43" s="54"/>
      <c r="D43" s="54"/>
      <c r="E43" s="54"/>
      <c r="F43" s="54"/>
      <c r="G43" s="54"/>
      <c r="H43" s="54"/>
      <c r="I43" s="55"/>
      <c r="J43" s="54"/>
      <c r="K43" s="56"/>
      <c r="L43" s="44">
        <f t="shared" si="22"/>
        <v>0</v>
      </c>
      <c r="M43" s="40" t="e">
        <f t="shared" si="21"/>
        <v>#DIV/0!</v>
      </c>
      <c r="N43" s="5"/>
      <c r="O43" s="72"/>
      <c r="P43" s="9"/>
    </row>
    <row r="44" spans="1:21" ht="20.100000000000001" customHeight="1" thickTop="1" thickBot="1" x14ac:dyDescent="0.3">
      <c r="A44" s="25"/>
      <c r="B44" s="38">
        <f>SUM(B37:B43)</f>
        <v>0</v>
      </c>
      <c r="C44" s="38">
        <f t="shared" ref="C44:K44" si="23">SUM(C37:C43)</f>
        <v>0</v>
      </c>
      <c r="D44" s="38">
        <f t="shared" si="23"/>
        <v>0</v>
      </c>
      <c r="E44" s="36">
        <f t="shared" si="23"/>
        <v>0</v>
      </c>
      <c r="F44" s="36">
        <f t="shared" si="23"/>
        <v>0</v>
      </c>
      <c r="G44" s="36">
        <f t="shared" si="23"/>
        <v>0</v>
      </c>
      <c r="H44" s="36">
        <f t="shared" si="23"/>
        <v>0</v>
      </c>
      <c r="I44" s="36">
        <f t="shared" si="23"/>
        <v>0</v>
      </c>
      <c r="J44" s="36">
        <f t="shared" si="23"/>
        <v>0</v>
      </c>
      <c r="K44" s="41">
        <f t="shared" si="23"/>
        <v>0</v>
      </c>
      <c r="L44" s="45">
        <f>SUM(L37:L43)</f>
        <v>0</v>
      </c>
      <c r="M44" s="42" t="e">
        <f>+L44/(F34)</f>
        <v>#DIV/0!</v>
      </c>
      <c r="N44" s="73"/>
      <c r="O44" s="74"/>
      <c r="P44" s="9"/>
    </row>
    <row r="45" spans="1:21" ht="32.25" thickBot="1" x14ac:dyDescent="0.3">
      <c r="A45" s="986" t="s">
        <v>198</v>
      </c>
      <c r="B45" s="986"/>
      <c r="C45" s="986"/>
      <c r="D45" s="986"/>
      <c r="E45" s="986"/>
      <c r="F45" s="986"/>
      <c r="G45" s="986"/>
      <c r="H45" s="986"/>
      <c r="I45" s="986"/>
      <c r="J45" s="986"/>
      <c r="K45" s="986"/>
      <c r="L45" s="986"/>
      <c r="M45" s="986"/>
      <c r="N45" s="986"/>
      <c r="O45" s="986"/>
      <c r="P45" s="9"/>
    </row>
    <row r="46" spans="1:21" ht="25.5" customHeight="1" thickBot="1" x14ac:dyDescent="0.4">
      <c r="A46" s="302" t="s">
        <v>199</v>
      </c>
      <c r="B46" s="998" t="str">
        <f ca="1">+B24</f>
        <v>TeamMember 1</v>
      </c>
      <c r="C46" s="999"/>
      <c r="D46" s="999"/>
      <c r="E46" s="999"/>
      <c r="F46" s="1000"/>
      <c r="G46" s="262"/>
      <c r="H46" s="996"/>
      <c r="I46" s="996"/>
      <c r="J46" s="997"/>
      <c r="K46" s="997"/>
      <c r="L46" s="1002" t="s">
        <v>72</v>
      </c>
      <c r="M46" s="1003"/>
      <c r="N46" s="1003"/>
      <c r="O46" s="1004"/>
      <c r="P46" s="9"/>
    </row>
    <row r="47" spans="1:21" ht="51" x14ac:dyDescent="0.25">
      <c r="A47" s="301" t="str">
        <f>+Setup_and_Criteria!$J$6</f>
        <v>Q2</v>
      </c>
      <c r="B47" s="633" t="s">
        <v>200</v>
      </c>
      <c r="C47" s="298" t="s">
        <v>201</v>
      </c>
      <c r="D47" s="633" t="s">
        <v>202</v>
      </c>
      <c r="E47" s="303" t="s">
        <v>203</v>
      </c>
      <c r="F47" s="299" t="s">
        <v>204</v>
      </c>
      <c r="G47" s="298" t="s">
        <v>137</v>
      </c>
      <c r="H47" s="298" t="s">
        <v>138</v>
      </c>
      <c r="I47" s="298" t="s">
        <v>205</v>
      </c>
      <c r="J47" s="299" t="s">
        <v>206</v>
      </c>
      <c r="K47" s="300" t="s">
        <v>207</v>
      </c>
      <c r="L47" s="57" t="s">
        <v>208</v>
      </c>
      <c r="M47" s="29" t="s">
        <v>209</v>
      </c>
      <c r="N47" s="29" t="s">
        <v>210</v>
      </c>
      <c r="O47" s="30" t="s">
        <v>211</v>
      </c>
      <c r="P47" s="9"/>
    </row>
    <row r="48" spans="1:21" ht="20.100000000000001" hidden="1" customHeight="1" x14ac:dyDescent="0.35">
      <c r="A48" s="23"/>
      <c r="B48" s="13">
        <v>30</v>
      </c>
      <c r="C48" s="13">
        <v>45</v>
      </c>
      <c r="D48" s="13">
        <v>20</v>
      </c>
      <c r="E48" s="13">
        <v>0</v>
      </c>
      <c r="F48" s="14"/>
      <c r="G48" s="15"/>
      <c r="H48" s="15"/>
      <c r="I48" s="15"/>
      <c r="J48" s="16"/>
      <c r="K48" s="24"/>
      <c r="L48" s="58"/>
      <c r="O48" s="24"/>
      <c r="P48" s="9"/>
    </row>
    <row r="49" spans="1:21" ht="20.100000000000001" customHeight="1" x14ac:dyDescent="0.25">
      <c r="A49" s="6">
        <v>15</v>
      </c>
      <c r="B49" s="321"/>
      <c r="C49" s="321"/>
      <c r="D49" s="321"/>
      <c r="E49" s="322"/>
      <c r="F49" s="63">
        <f>SUM(B49:D49)</f>
        <v>0</v>
      </c>
      <c r="G49" s="63">
        <f>+((B49*Setup_and_Criteria!$F$13)+(C49*Setup_and_Criteria!$F$15)+(D49*Setup_and_Criteria!$F$14)+(E49*Setup_and_Criteria!$F$16))</f>
        <v>0</v>
      </c>
      <c r="H49" s="64">
        <f>+U49</f>
        <v>0</v>
      </c>
      <c r="I49" s="65">
        <f t="shared" ref="I49:I55" si="24">+G49-U49</f>
        <v>0</v>
      </c>
      <c r="J49" s="66">
        <f t="shared" ref="J49:J55" si="25">+G49/60</f>
        <v>0</v>
      </c>
      <c r="K49" s="61">
        <f t="shared" ref="K49:K55" si="26">+(M49-L49)+(O49-N49)</f>
        <v>0</v>
      </c>
      <c r="L49" s="327"/>
      <c r="M49" s="328"/>
      <c r="N49" s="328"/>
      <c r="O49" s="329"/>
      <c r="P49" s="9"/>
      <c r="S49" s="12">
        <f t="shared" ref="S49:S56" si="27">HOUR(K49)</f>
        <v>0</v>
      </c>
      <c r="T49" s="12">
        <f t="shared" ref="T49:T56" si="28">MINUTE(K49)</f>
        <v>0</v>
      </c>
      <c r="U49" s="621">
        <f>+(S49*60)+T49</f>
        <v>0</v>
      </c>
    </row>
    <row r="50" spans="1:21" ht="20.100000000000001" customHeight="1" x14ac:dyDescent="0.25">
      <c r="A50" s="6">
        <v>16</v>
      </c>
      <c r="B50" s="323"/>
      <c r="C50" s="324"/>
      <c r="D50" s="324"/>
      <c r="E50" s="324"/>
      <c r="F50" s="63">
        <f t="shared" ref="F50:F55" si="29">SUM(B50:D50)</f>
        <v>0</v>
      </c>
      <c r="G50" s="63">
        <f>+((B50*Setup_and_Criteria!$F$13)+(C50*Setup_and_Criteria!$F$15)+(D50*Setup_and_Criteria!$F$14)+(E50*Setup_and_Criteria!$F$16))</f>
        <v>0</v>
      </c>
      <c r="H50" s="63">
        <f t="shared" ref="H50:H55" si="30">+U50</f>
        <v>0</v>
      </c>
      <c r="I50" s="65">
        <f t="shared" si="24"/>
        <v>0</v>
      </c>
      <c r="J50" s="67">
        <f t="shared" si="25"/>
        <v>0</v>
      </c>
      <c r="K50" s="61">
        <f t="shared" si="26"/>
        <v>0</v>
      </c>
      <c r="L50" s="327"/>
      <c r="M50" s="328"/>
      <c r="N50" s="328"/>
      <c r="O50" s="329"/>
      <c r="P50" s="9"/>
      <c r="S50" s="12">
        <f t="shared" si="27"/>
        <v>0</v>
      </c>
      <c r="T50" s="12">
        <f t="shared" si="28"/>
        <v>0</v>
      </c>
      <c r="U50" s="621">
        <f t="shared" ref="U50:U56" si="31">+(S50*60)+T50</f>
        <v>0</v>
      </c>
    </row>
    <row r="51" spans="1:21" ht="20.100000000000001" customHeight="1" x14ac:dyDescent="0.25">
      <c r="A51" s="6">
        <v>17</v>
      </c>
      <c r="B51" s="323"/>
      <c r="C51" s="324"/>
      <c r="D51" s="324"/>
      <c r="E51" s="324"/>
      <c r="F51" s="63">
        <f t="shared" si="29"/>
        <v>0</v>
      </c>
      <c r="G51" s="63">
        <f>+((B51*Setup_and_Criteria!$F$13)+(C51*Setup_and_Criteria!$F$15)+(D51*Setup_and_Criteria!$F$14)+(E51*Setup_and_Criteria!$F$16))</f>
        <v>0</v>
      </c>
      <c r="H51" s="63">
        <f t="shared" si="30"/>
        <v>0</v>
      </c>
      <c r="I51" s="65">
        <f t="shared" si="24"/>
        <v>0</v>
      </c>
      <c r="J51" s="67">
        <f t="shared" si="25"/>
        <v>0</v>
      </c>
      <c r="K51" s="61">
        <f t="shared" si="26"/>
        <v>0</v>
      </c>
      <c r="L51" s="327"/>
      <c r="M51" s="328"/>
      <c r="N51" s="328"/>
      <c r="O51" s="330"/>
      <c r="P51" s="9"/>
      <c r="S51" s="12">
        <f t="shared" si="27"/>
        <v>0</v>
      </c>
      <c r="T51" s="12">
        <f t="shared" si="28"/>
        <v>0</v>
      </c>
      <c r="U51" s="621">
        <f t="shared" si="31"/>
        <v>0</v>
      </c>
    </row>
    <row r="52" spans="1:21" ht="20.100000000000001" customHeight="1" x14ac:dyDescent="0.25">
      <c r="A52" s="6">
        <v>18</v>
      </c>
      <c r="B52" s="323"/>
      <c r="C52" s="324"/>
      <c r="D52" s="324"/>
      <c r="E52" s="324"/>
      <c r="F52" s="63">
        <f t="shared" si="29"/>
        <v>0</v>
      </c>
      <c r="G52" s="63">
        <f>+((B52*Setup_and_Criteria!$F$13)+(C52*Setup_and_Criteria!$F$15)+(D52*Setup_and_Criteria!$F$14)+(E52*Setup_and_Criteria!$F$16))</f>
        <v>0</v>
      </c>
      <c r="H52" s="63">
        <f t="shared" si="30"/>
        <v>0</v>
      </c>
      <c r="I52" s="65">
        <f t="shared" si="24"/>
        <v>0</v>
      </c>
      <c r="J52" s="67">
        <f t="shared" si="25"/>
        <v>0</v>
      </c>
      <c r="K52" s="61">
        <f t="shared" si="26"/>
        <v>0</v>
      </c>
      <c r="L52" s="327"/>
      <c r="M52" s="328"/>
      <c r="N52" s="328"/>
      <c r="O52" s="330"/>
      <c r="P52" s="9"/>
      <c r="S52" s="12">
        <f t="shared" si="27"/>
        <v>0</v>
      </c>
      <c r="T52" s="12">
        <f t="shared" si="28"/>
        <v>0</v>
      </c>
      <c r="U52" s="621">
        <f t="shared" si="31"/>
        <v>0</v>
      </c>
    </row>
    <row r="53" spans="1:21" ht="20.100000000000001" customHeight="1" x14ac:dyDescent="0.25">
      <c r="A53" s="6">
        <v>19</v>
      </c>
      <c r="B53" s="323"/>
      <c r="C53" s="324"/>
      <c r="D53" s="324"/>
      <c r="E53" s="324"/>
      <c r="F53" s="63">
        <f t="shared" si="29"/>
        <v>0</v>
      </c>
      <c r="G53" s="63">
        <f>+((B53*Setup_and_Criteria!$F$13)+(C53*Setup_and_Criteria!$F$15)+(D53*Setup_and_Criteria!$F$14)+(E53*Setup_and_Criteria!$F$16))</f>
        <v>0</v>
      </c>
      <c r="H53" s="63">
        <f t="shared" si="30"/>
        <v>0</v>
      </c>
      <c r="I53" s="65">
        <f t="shared" si="24"/>
        <v>0</v>
      </c>
      <c r="J53" s="67">
        <f t="shared" si="25"/>
        <v>0</v>
      </c>
      <c r="K53" s="61">
        <f t="shared" si="26"/>
        <v>0</v>
      </c>
      <c r="L53" s="327"/>
      <c r="M53" s="328"/>
      <c r="N53" s="328"/>
      <c r="O53" s="330"/>
      <c r="P53" s="9"/>
      <c r="S53" s="12">
        <f t="shared" si="27"/>
        <v>0</v>
      </c>
      <c r="T53" s="12">
        <f t="shared" si="28"/>
        <v>0</v>
      </c>
      <c r="U53" s="621">
        <f t="shared" si="31"/>
        <v>0</v>
      </c>
    </row>
    <row r="54" spans="1:21" ht="20.100000000000001" customHeight="1" x14ac:dyDescent="0.25">
      <c r="A54" s="6">
        <v>20</v>
      </c>
      <c r="B54" s="323"/>
      <c r="C54" s="324"/>
      <c r="D54" s="324"/>
      <c r="E54" s="324"/>
      <c r="F54" s="63">
        <f t="shared" si="29"/>
        <v>0</v>
      </c>
      <c r="G54" s="63">
        <f>+((B54*Setup_and_Criteria!$F$13)+(C54*Setup_and_Criteria!$F$15)+(D54*Setup_and_Criteria!$F$14)+(E54*Setup_and_Criteria!$F$16))</f>
        <v>0</v>
      </c>
      <c r="H54" s="63">
        <f t="shared" si="30"/>
        <v>0</v>
      </c>
      <c r="I54" s="65">
        <f t="shared" si="24"/>
        <v>0</v>
      </c>
      <c r="J54" s="67">
        <f t="shared" si="25"/>
        <v>0</v>
      </c>
      <c r="K54" s="61">
        <f t="shared" si="26"/>
        <v>0</v>
      </c>
      <c r="L54" s="327"/>
      <c r="M54" s="328"/>
      <c r="N54" s="328"/>
      <c r="O54" s="330"/>
      <c r="P54" s="9"/>
      <c r="S54" s="12">
        <f t="shared" si="27"/>
        <v>0</v>
      </c>
      <c r="T54" s="12">
        <f t="shared" si="28"/>
        <v>0</v>
      </c>
      <c r="U54" s="621">
        <f t="shared" si="31"/>
        <v>0</v>
      </c>
    </row>
    <row r="55" spans="1:21" ht="20.100000000000001" customHeight="1" thickBot="1" x14ac:dyDescent="0.3">
      <c r="A55" s="6">
        <v>21</v>
      </c>
      <c r="B55" s="325"/>
      <c r="C55" s="326"/>
      <c r="D55" s="326"/>
      <c r="E55" s="326"/>
      <c r="F55" s="68">
        <f t="shared" si="29"/>
        <v>0</v>
      </c>
      <c r="G55" s="69">
        <f>+((B55*Setup_and_Criteria!$F$13)+(C55*Setup_and_Criteria!$F$15)+(D55*Setup_and_Criteria!$F$14)+(E55*Setup_and_Criteria!$F$16))</f>
        <v>0</v>
      </c>
      <c r="H55" s="69">
        <f t="shared" si="30"/>
        <v>0</v>
      </c>
      <c r="I55" s="70">
        <f t="shared" si="24"/>
        <v>0</v>
      </c>
      <c r="J55" s="71">
        <f t="shared" si="25"/>
        <v>0</v>
      </c>
      <c r="K55" s="62">
        <f t="shared" si="26"/>
        <v>0</v>
      </c>
      <c r="L55" s="331"/>
      <c r="M55" s="332"/>
      <c r="N55" s="332"/>
      <c r="O55" s="333"/>
      <c r="P55" s="9"/>
      <c r="S55" s="12">
        <f t="shared" si="27"/>
        <v>0</v>
      </c>
      <c r="T55" s="12">
        <f t="shared" si="28"/>
        <v>0</v>
      </c>
      <c r="U55" s="621">
        <f t="shared" si="31"/>
        <v>0</v>
      </c>
    </row>
    <row r="56" spans="1:21" ht="20.100000000000001" customHeight="1" thickTop="1" thickBot="1" x14ac:dyDescent="0.3">
      <c r="A56" s="25"/>
      <c r="B56" s="990" t="s">
        <v>212</v>
      </c>
      <c r="C56" s="990"/>
      <c r="D56" s="990"/>
      <c r="E56" s="60" t="e">
        <f>+H56/(F49+F50+F51+F52+F53+F54+F55)</f>
        <v>#DIV/0!</v>
      </c>
      <c r="F56" s="28">
        <f t="shared" ref="F56:K56" si="32">SUM(F49:F55)</f>
        <v>0</v>
      </c>
      <c r="G56" s="26">
        <f t="shared" si="32"/>
        <v>0</v>
      </c>
      <c r="H56" s="26">
        <f t="shared" si="32"/>
        <v>0</v>
      </c>
      <c r="I56" s="26">
        <f t="shared" si="32"/>
        <v>0</v>
      </c>
      <c r="J56" s="27">
        <f t="shared" si="32"/>
        <v>0</v>
      </c>
      <c r="K56" s="46">
        <f t="shared" si="32"/>
        <v>0</v>
      </c>
      <c r="L56" s="991" t="s">
        <v>213</v>
      </c>
      <c r="M56" s="992"/>
      <c r="N56" s="992"/>
      <c r="O56" s="993"/>
      <c r="P56" s="9"/>
      <c r="S56" s="12">
        <f t="shared" si="27"/>
        <v>0</v>
      </c>
      <c r="T56" s="12">
        <f t="shared" si="28"/>
        <v>0</v>
      </c>
      <c r="U56" s="621">
        <f t="shared" si="31"/>
        <v>0</v>
      </c>
    </row>
    <row r="57" spans="1:21" ht="23.25" customHeight="1" thickBot="1" x14ac:dyDescent="0.3">
      <c r="A57" s="987" t="s">
        <v>214</v>
      </c>
      <c r="B57" s="985"/>
      <c r="C57" s="985"/>
      <c r="D57" s="985"/>
      <c r="E57" s="985"/>
      <c r="F57" s="985"/>
      <c r="G57" s="985"/>
      <c r="H57" s="985"/>
      <c r="I57" s="985"/>
      <c r="J57" s="985"/>
      <c r="K57" s="985"/>
      <c r="L57" s="988" t="s">
        <v>215</v>
      </c>
      <c r="M57" s="988"/>
      <c r="N57" s="988"/>
      <c r="O57" s="989"/>
      <c r="P57" s="9"/>
    </row>
    <row r="58" spans="1:21" ht="31.5" x14ac:dyDescent="0.35">
      <c r="A58" s="23"/>
      <c r="B58" s="31" t="str">
        <f>+Corrections!$C$8</f>
        <v>Vanity</v>
      </c>
      <c r="C58" s="31" t="str">
        <f>+Corrections!$I$8</f>
        <v>Toilet</v>
      </c>
      <c r="D58" s="32" t="str">
        <f>+Corrections!$O$8</f>
        <v>Bed/Pillows</v>
      </c>
      <c r="E58" s="31" t="str">
        <f>+Corrections!$U$8</f>
        <v>Floor</v>
      </c>
      <c r="F58" s="33" t="str">
        <f>+Corrections!$AA$8</f>
        <v>Dusting</v>
      </c>
      <c r="G58" s="33" t="str">
        <f>+Corrections!$AG$8</f>
        <v>Fridge/Micro</v>
      </c>
      <c r="H58" s="33" t="str">
        <f>+Corrections!$AM$8</f>
        <v>Tub</v>
      </c>
      <c r="I58" s="33" t="str">
        <f>+Corrections!$AS$8</f>
        <v>Mirrors/Glass</v>
      </c>
      <c r="J58" s="34" t="str">
        <f>+Corrections!$AY$8</f>
        <v>Stocking</v>
      </c>
      <c r="K58" s="35" t="str">
        <f>+Corrections!$BE$8</f>
        <v>Other</v>
      </c>
      <c r="L58" s="37" t="s">
        <v>216</v>
      </c>
      <c r="M58" s="59" t="s">
        <v>217</v>
      </c>
      <c r="N58" s="5"/>
      <c r="O58" s="72"/>
      <c r="P58" s="9"/>
    </row>
    <row r="59" spans="1:21" ht="20.100000000000001" customHeight="1" x14ac:dyDescent="0.25">
      <c r="A59" s="6">
        <v>15</v>
      </c>
      <c r="B59" s="47"/>
      <c r="C59" s="47"/>
      <c r="D59" s="47"/>
      <c r="E59" s="48"/>
      <c r="F59" s="49"/>
      <c r="G59" s="49"/>
      <c r="H59" s="50"/>
      <c r="I59" s="51"/>
      <c r="J59" s="49"/>
      <c r="K59" s="52"/>
      <c r="L59" s="43">
        <f>SUM(B59:K59)</f>
        <v>0</v>
      </c>
      <c r="M59" s="39" t="e">
        <f t="shared" ref="M59:M65" si="33">+L59/(B49+C49+D49)</f>
        <v>#DIV/0!</v>
      </c>
      <c r="N59" s="5"/>
      <c r="O59" s="72"/>
      <c r="P59" s="9"/>
    </row>
    <row r="60" spans="1:21" ht="20.100000000000001" customHeight="1" x14ac:dyDescent="0.25">
      <c r="A60" s="6">
        <v>16</v>
      </c>
      <c r="B60" s="50"/>
      <c r="C60" s="49"/>
      <c r="D60" s="49"/>
      <c r="E60" s="49"/>
      <c r="F60" s="49"/>
      <c r="G60" s="49"/>
      <c r="H60" s="49"/>
      <c r="I60" s="51"/>
      <c r="J60" s="49"/>
      <c r="K60" s="52"/>
      <c r="L60" s="43">
        <f t="shared" ref="L60:L65" si="34">SUM(B60:K60)</f>
        <v>0</v>
      </c>
      <c r="M60" s="39" t="e">
        <f t="shared" si="33"/>
        <v>#DIV/0!</v>
      </c>
      <c r="N60" s="5"/>
      <c r="O60" s="72"/>
      <c r="P60" s="9"/>
    </row>
    <row r="61" spans="1:21" ht="20.100000000000001" customHeight="1" x14ac:dyDescent="0.25">
      <c r="A61" s="6">
        <v>17</v>
      </c>
      <c r="B61" s="50"/>
      <c r="C61" s="49"/>
      <c r="D61" s="49"/>
      <c r="E61" s="49"/>
      <c r="F61" s="49"/>
      <c r="G61" s="49"/>
      <c r="H61" s="49"/>
      <c r="I61" s="51"/>
      <c r="J61" s="49"/>
      <c r="K61" s="52"/>
      <c r="L61" s="43">
        <f t="shared" si="34"/>
        <v>0</v>
      </c>
      <c r="M61" s="39" t="e">
        <f t="shared" si="33"/>
        <v>#DIV/0!</v>
      </c>
      <c r="N61" s="5"/>
      <c r="O61" s="72"/>
      <c r="P61" s="9"/>
    </row>
    <row r="62" spans="1:21" ht="20.100000000000001" customHeight="1" x14ac:dyDescent="0.25">
      <c r="A62" s="6">
        <v>18</v>
      </c>
      <c r="B62" s="50"/>
      <c r="C62" s="49"/>
      <c r="D62" s="49"/>
      <c r="E62" s="49"/>
      <c r="F62" s="49"/>
      <c r="G62" s="49"/>
      <c r="H62" s="49"/>
      <c r="I62" s="51"/>
      <c r="J62" s="49"/>
      <c r="K62" s="52"/>
      <c r="L62" s="43">
        <f t="shared" si="34"/>
        <v>0</v>
      </c>
      <c r="M62" s="39" t="e">
        <f t="shared" si="33"/>
        <v>#DIV/0!</v>
      </c>
      <c r="N62" s="5"/>
      <c r="O62" s="72"/>
      <c r="P62" s="9"/>
    </row>
    <row r="63" spans="1:21" ht="20.100000000000001" customHeight="1" x14ac:dyDescent="0.25">
      <c r="A63" s="6">
        <v>19</v>
      </c>
      <c r="B63" s="50"/>
      <c r="C63" s="49"/>
      <c r="D63" s="49"/>
      <c r="E63" s="49"/>
      <c r="F63" s="49"/>
      <c r="G63" s="49"/>
      <c r="H63" s="49"/>
      <c r="I63" s="51"/>
      <c r="J63" s="49"/>
      <c r="K63" s="52"/>
      <c r="L63" s="43">
        <f t="shared" si="34"/>
        <v>0</v>
      </c>
      <c r="M63" s="39" t="e">
        <f t="shared" si="33"/>
        <v>#DIV/0!</v>
      </c>
      <c r="N63" s="5"/>
      <c r="O63" s="72"/>
      <c r="P63" s="9"/>
    </row>
    <row r="64" spans="1:21" ht="20.100000000000001" customHeight="1" x14ac:dyDescent="0.25">
      <c r="A64" s="6">
        <v>20</v>
      </c>
      <c r="B64" s="50"/>
      <c r="C64" s="49"/>
      <c r="D64" s="49"/>
      <c r="E64" s="49"/>
      <c r="F64" s="49"/>
      <c r="G64" s="49"/>
      <c r="H64" s="49"/>
      <c r="I64" s="51"/>
      <c r="J64" s="49"/>
      <c r="K64" s="52"/>
      <c r="L64" s="43">
        <f t="shared" si="34"/>
        <v>0</v>
      </c>
      <c r="M64" s="39" t="e">
        <f t="shared" si="33"/>
        <v>#DIV/0!</v>
      </c>
      <c r="N64" s="5"/>
      <c r="O64" s="72"/>
      <c r="P64" s="9"/>
    </row>
    <row r="65" spans="1:21" ht="20.100000000000001" customHeight="1" thickBot="1" x14ac:dyDescent="0.3">
      <c r="A65" s="6">
        <v>21</v>
      </c>
      <c r="B65" s="53"/>
      <c r="C65" s="54"/>
      <c r="D65" s="54"/>
      <c r="E65" s="54"/>
      <c r="F65" s="54"/>
      <c r="G65" s="54"/>
      <c r="H65" s="54"/>
      <c r="I65" s="55"/>
      <c r="J65" s="54"/>
      <c r="K65" s="56"/>
      <c r="L65" s="44">
        <f t="shared" si="34"/>
        <v>0</v>
      </c>
      <c r="M65" s="40" t="e">
        <f t="shared" si="33"/>
        <v>#DIV/0!</v>
      </c>
      <c r="N65" s="5"/>
      <c r="O65" s="72"/>
      <c r="P65" s="9"/>
    </row>
    <row r="66" spans="1:21" ht="20.100000000000001" customHeight="1" thickTop="1" thickBot="1" x14ac:dyDescent="0.3">
      <c r="A66" s="25"/>
      <c r="B66" s="38">
        <f>SUM(B59:B65)</f>
        <v>0</v>
      </c>
      <c r="C66" s="38">
        <f t="shared" ref="C66:K66" si="35">SUM(C59:C65)</f>
        <v>0</v>
      </c>
      <c r="D66" s="38">
        <f t="shared" si="35"/>
        <v>0</v>
      </c>
      <c r="E66" s="36">
        <f t="shared" si="35"/>
        <v>0</v>
      </c>
      <c r="F66" s="36">
        <f t="shared" si="35"/>
        <v>0</v>
      </c>
      <c r="G66" s="36">
        <f t="shared" si="35"/>
        <v>0</v>
      </c>
      <c r="H66" s="36">
        <f t="shared" si="35"/>
        <v>0</v>
      </c>
      <c r="I66" s="36">
        <f t="shared" si="35"/>
        <v>0</v>
      </c>
      <c r="J66" s="36">
        <f t="shared" si="35"/>
        <v>0</v>
      </c>
      <c r="K66" s="41">
        <f t="shared" si="35"/>
        <v>0</v>
      </c>
      <c r="L66" s="45">
        <f>SUM(L59:L65)</f>
        <v>0</v>
      </c>
      <c r="M66" s="42" t="e">
        <f>+L66/(F56)</f>
        <v>#DIV/0!</v>
      </c>
      <c r="N66" s="73"/>
      <c r="O66" s="74"/>
      <c r="P66" s="9"/>
    </row>
    <row r="67" spans="1:21" ht="32.25" thickBot="1" x14ac:dyDescent="0.3">
      <c r="A67" s="986" t="s">
        <v>198</v>
      </c>
      <c r="B67" s="986"/>
      <c r="C67" s="986"/>
      <c r="D67" s="986"/>
      <c r="E67" s="986"/>
      <c r="F67" s="986"/>
      <c r="G67" s="986"/>
      <c r="H67" s="986"/>
      <c r="I67" s="986"/>
      <c r="J67" s="986"/>
      <c r="K67" s="986"/>
      <c r="L67" s="986"/>
      <c r="M67" s="986"/>
      <c r="N67" s="986"/>
      <c r="O67" s="986"/>
      <c r="P67" s="9"/>
    </row>
    <row r="68" spans="1:21" s="3" customFormat="1" ht="24.75" customHeight="1" thickBot="1" x14ac:dyDescent="0.4">
      <c r="A68" s="302" t="s">
        <v>199</v>
      </c>
      <c r="B68" s="998" t="str">
        <f ca="1">+B46</f>
        <v>TeamMember 1</v>
      </c>
      <c r="C68" s="999"/>
      <c r="D68" s="999"/>
      <c r="E68" s="999"/>
      <c r="F68" s="1000"/>
      <c r="G68" s="262"/>
      <c r="H68" s="996"/>
      <c r="I68" s="996"/>
      <c r="J68" s="997"/>
      <c r="K68" s="997"/>
      <c r="L68" s="826" t="s">
        <v>73</v>
      </c>
      <c r="M68" s="1001"/>
      <c r="N68" s="1001"/>
      <c r="O68" s="827"/>
      <c r="P68" s="9"/>
      <c r="S68" s="621"/>
      <c r="T68" s="621"/>
    </row>
    <row r="69" spans="1:21" ht="51" x14ac:dyDescent="0.25">
      <c r="A69" s="301" t="str">
        <f>+Setup_and_Criteria!$J$6</f>
        <v>Q2</v>
      </c>
      <c r="B69" s="633" t="s">
        <v>200</v>
      </c>
      <c r="C69" s="298" t="s">
        <v>201</v>
      </c>
      <c r="D69" s="633" t="s">
        <v>202</v>
      </c>
      <c r="E69" s="303" t="s">
        <v>203</v>
      </c>
      <c r="F69" s="299" t="s">
        <v>204</v>
      </c>
      <c r="G69" s="298" t="s">
        <v>137</v>
      </c>
      <c r="H69" s="298" t="s">
        <v>138</v>
      </c>
      <c r="I69" s="298" t="s">
        <v>205</v>
      </c>
      <c r="J69" s="299" t="s">
        <v>206</v>
      </c>
      <c r="K69" s="300" t="s">
        <v>207</v>
      </c>
      <c r="L69" s="57" t="s">
        <v>208</v>
      </c>
      <c r="M69" s="29" t="s">
        <v>209</v>
      </c>
      <c r="N69" s="29" t="s">
        <v>210</v>
      </c>
      <c r="O69" s="30" t="s">
        <v>211</v>
      </c>
      <c r="P69" s="9"/>
    </row>
    <row r="70" spans="1:21" ht="20.100000000000001" hidden="1" customHeight="1" x14ac:dyDescent="0.35">
      <c r="A70" s="23"/>
      <c r="B70" s="13">
        <v>30</v>
      </c>
      <c r="C70" s="13">
        <v>45</v>
      </c>
      <c r="D70" s="13">
        <v>20</v>
      </c>
      <c r="E70" s="13">
        <v>0</v>
      </c>
      <c r="F70" s="14"/>
      <c r="G70" s="15"/>
      <c r="H70" s="15"/>
      <c r="I70" s="15"/>
      <c r="J70" s="16"/>
      <c r="K70" s="24"/>
      <c r="L70" s="58"/>
      <c r="O70" s="24"/>
      <c r="P70" s="9"/>
    </row>
    <row r="71" spans="1:21" ht="20.100000000000001" customHeight="1" x14ac:dyDescent="0.25">
      <c r="A71" s="6">
        <v>22</v>
      </c>
      <c r="B71" s="321"/>
      <c r="C71" s="321"/>
      <c r="D71" s="321"/>
      <c r="E71" s="322"/>
      <c r="F71" s="63">
        <f>SUM(B71:D71)</f>
        <v>0</v>
      </c>
      <c r="G71" s="63">
        <f>+((B71*Setup_and_Criteria!$F$13)+(C71*Setup_and_Criteria!$F$15)+(D71*Setup_and_Criteria!$F$14)+(E71*Setup_and_Criteria!$F$16))</f>
        <v>0</v>
      </c>
      <c r="H71" s="64">
        <f>+U71</f>
        <v>0</v>
      </c>
      <c r="I71" s="65">
        <f t="shared" ref="I71:I77" si="36">+G71-U71</f>
        <v>0</v>
      </c>
      <c r="J71" s="66">
        <f t="shared" ref="J71:J77" si="37">+G71/60</f>
        <v>0</v>
      </c>
      <c r="K71" s="61">
        <f t="shared" ref="K71:K77" si="38">+(M71-L71)+(O71-N71)</f>
        <v>0</v>
      </c>
      <c r="L71" s="327"/>
      <c r="M71" s="328"/>
      <c r="N71" s="328"/>
      <c r="O71" s="329"/>
      <c r="P71" s="9"/>
      <c r="S71" s="12">
        <f t="shared" ref="S71:S78" si="39">HOUR(K71)</f>
        <v>0</v>
      </c>
      <c r="T71" s="12">
        <f t="shared" ref="T71:T78" si="40">MINUTE(K71)</f>
        <v>0</v>
      </c>
      <c r="U71" s="621">
        <f>+(S71*60)+T71</f>
        <v>0</v>
      </c>
    </row>
    <row r="72" spans="1:21" ht="20.100000000000001" customHeight="1" x14ac:dyDescent="0.25">
      <c r="A72" s="6">
        <v>23</v>
      </c>
      <c r="B72" s="323"/>
      <c r="C72" s="324"/>
      <c r="D72" s="324"/>
      <c r="E72" s="324"/>
      <c r="F72" s="63">
        <f t="shared" ref="F72:F77" si="41">SUM(B72:D72)</f>
        <v>0</v>
      </c>
      <c r="G72" s="63">
        <f>+((B72*Setup_and_Criteria!$F$13)+(C72*Setup_and_Criteria!$F$15)+(D72*Setup_and_Criteria!$F$14)+(E72*Setup_and_Criteria!$F$16))</f>
        <v>0</v>
      </c>
      <c r="H72" s="63">
        <f t="shared" ref="H72:H77" si="42">+U72</f>
        <v>0</v>
      </c>
      <c r="I72" s="65">
        <f t="shared" si="36"/>
        <v>0</v>
      </c>
      <c r="J72" s="67">
        <f t="shared" si="37"/>
        <v>0</v>
      </c>
      <c r="K72" s="61">
        <f t="shared" si="38"/>
        <v>0</v>
      </c>
      <c r="L72" s="327"/>
      <c r="M72" s="328"/>
      <c r="N72" s="328"/>
      <c r="O72" s="329"/>
      <c r="P72" s="9"/>
      <c r="S72" s="12">
        <f t="shared" si="39"/>
        <v>0</v>
      </c>
      <c r="T72" s="12">
        <f t="shared" si="40"/>
        <v>0</v>
      </c>
      <c r="U72" s="621">
        <f t="shared" ref="U72:U78" si="43">+(S72*60)+T72</f>
        <v>0</v>
      </c>
    </row>
    <row r="73" spans="1:21" ht="20.100000000000001" customHeight="1" x14ac:dyDescent="0.25">
      <c r="A73" s="6">
        <v>24</v>
      </c>
      <c r="B73" s="323"/>
      <c r="C73" s="324"/>
      <c r="D73" s="324"/>
      <c r="E73" s="324"/>
      <c r="F73" s="63">
        <f t="shared" si="41"/>
        <v>0</v>
      </c>
      <c r="G73" s="63">
        <f>+((B73*Setup_and_Criteria!$F$13)+(C73*Setup_and_Criteria!$F$15)+(D73*Setup_and_Criteria!$F$14)+(E73*Setup_and_Criteria!$F$16))</f>
        <v>0</v>
      </c>
      <c r="H73" s="63">
        <f t="shared" si="42"/>
        <v>0</v>
      </c>
      <c r="I73" s="65">
        <f t="shared" si="36"/>
        <v>0</v>
      </c>
      <c r="J73" s="67">
        <f t="shared" si="37"/>
        <v>0</v>
      </c>
      <c r="K73" s="61">
        <f t="shared" si="38"/>
        <v>0</v>
      </c>
      <c r="L73" s="327"/>
      <c r="M73" s="328"/>
      <c r="N73" s="328"/>
      <c r="O73" s="330"/>
      <c r="P73" s="9"/>
      <c r="S73" s="12">
        <f t="shared" si="39"/>
        <v>0</v>
      </c>
      <c r="T73" s="12">
        <f t="shared" si="40"/>
        <v>0</v>
      </c>
      <c r="U73" s="621">
        <f t="shared" si="43"/>
        <v>0</v>
      </c>
    </row>
    <row r="74" spans="1:21" ht="20.100000000000001" customHeight="1" x14ac:dyDescent="0.25">
      <c r="A74" s="6">
        <v>25</v>
      </c>
      <c r="B74" s="323"/>
      <c r="C74" s="324"/>
      <c r="D74" s="324"/>
      <c r="E74" s="324"/>
      <c r="F74" s="63">
        <f t="shared" si="41"/>
        <v>0</v>
      </c>
      <c r="G74" s="63">
        <f>+((B74*Setup_and_Criteria!$F$13)+(C74*Setup_and_Criteria!$F$15)+(D74*Setup_and_Criteria!$F$14)+(E74*Setup_and_Criteria!$F$16))</f>
        <v>0</v>
      </c>
      <c r="H74" s="63">
        <f t="shared" si="42"/>
        <v>0</v>
      </c>
      <c r="I74" s="65">
        <f t="shared" si="36"/>
        <v>0</v>
      </c>
      <c r="J74" s="67">
        <f t="shared" si="37"/>
        <v>0</v>
      </c>
      <c r="K74" s="61">
        <f t="shared" si="38"/>
        <v>0</v>
      </c>
      <c r="L74" s="327"/>
      <c r="M74" s="328"/>
      <c r="N74" s="328"/>
      <c r="O74" s="330"/>
      <c r="P74" s="9"/>
      <c r="S74" s="12">
        <f t="shared" si="39"/>
        <v>0</v>
      </c>
      <c r="T74" s="12">
        <f t="shared" si="40"/>
        <v>0</v>
      </c>
      <c r="U74" s="621">
        <f t="shared" si="43"/>
        <v>0</v>
      </c>
    </row>
    <row r="75" spans="1:21" ht="20.100000000000001" customHeight="1" x14ac:dyDescent="0.25">
      <c r="A75" s="6">
        <v>26</v>
      </c>
      <c r="B75" s="323"/>
      <c r="C75" s="324"/>
      <c r="D75" s="324"/>
      <c r="E75" s="324"/>
      <c r="F75" s="63">
        <f t="shared" si="41"/>
        <v>0</v>
      </c>
      <c r="G75" s="63">
        <f>+((B75*Setup_and_Criteria!$F$13)+(C75*Setup_and_Criteria!$F$15)+(D75*Setup_and_Criteria!$F$14)+(E75*Setup_and_Criteria!$F$16))</f>
        <v>0</v>
      </c>
      <c r="H75" s="63">
        <f t="shared" si="42"/>
        <v>0</v>
      </c>
      <c r="I75" s="65">
        <f t="shared" si="36"/>
        <v>0</v>
      </c>
      <c r="J75" s="67">
        <f t="shared" si="37"/>
        <v>0</v>
      </c>
      <c r="K75" s="61">
        <f t="shared" si="38"/>
        <v>0</v>
      </c>
      <c r="L75" s="327"/>
      <c r="M75" s="328"/>
      <c r="N75" s="328"/>
      <c r="O75" s="330"/>
      <c r="P75" s="9"/>
      <c r="S75" s="12">
        <f t="shared" si="39"/>
        <v>0</v>
      </c>
      <c r="T75" s="12">
        <f t="shared" si="40"/>
        <v>0</v>
      </c>
      <c r="U75" s="621">
        <f t="shared" si="43"/>
        <v>0</v>
      </c>
    </row>
    <row r="76" spans="1:21" ht="20.100000000000001" customHeight="1" x14ac:dyDescent="0.25">
      <c r="A76" s="6">
        <v>27</v>
      </c>
      <c r="B76" s="323"/>
      <c r="C76" s="324"/>
      <c r="D76" s="324"/>
      <c r="E76" s="324"/>
      <c r="F76" s="63">
        <f t="shared" si="41"/>
        <v>0</v>
      </c>
      <c r="G76" s="63">
        <f>+((B76*Setup_and_Criteria!$F$13)+(C76*Setup_and_Criteria!$F$15)+(D76*Setup_and_Criteria!$F$14)+(E76*Setup_and_Criteria!$F$16))</f>
        <v>0</v>
      </c>
      <c r="H76" s="63">
        <f t="shared" si="42"/>
        <v>0</v>
      </c>
      <c r="I76" s="65">
        <f t="shared" si="36"/>
        <v>0</v>
      </c>
      <c r="J76" s="67">
        <f t="shared" si="37"/>
        <v>0</v>
      </c>
      <c r="K76" s="61">
        <f t="shared" si="38"/>
        <v>0</v>
      </c>
      <c r="L76" s="327"/>
      <c r="M76" s="328"/>
      <c r="N76" s="328"/>
      <c r="O76" s="330"/>
      <c r="P76" s="9"/>
      <c r="S76" s="12">
        <f t="shared" si="39"/>
        <v>0</v>
      </c>
      <c r="T76" s="12">
        <f t="shared" si="40"/>
        <v>0</v>
      </c>
      <c r="U76" s="621">
        <f t="shared" si="43"/>
        <v>0</v>
      </c>
    </row>
    <row r="77" spans="1:21" ht="20.100000000000001" customHeight="1" thickBot="1" x14ac:dyDescent="0.3">
      <c r="A77" s="6">
        <v>28</v>
      </c>
      <c r="B77" s="325"/>
      <c r="C77" s="326"/>
      <c r="D77" s="326"/>
      <c r="E77" s="326"/>
      <c r="F77" s="68">
        <f t="shared" si="41"/>
        <v>0</v>
      </c>
      <c r="G77" s="69">
        <f>+((B77*Setup_and_Criteria!$F$13)+(C77*Setup_and_Criteria!$F$15)+(D77*Setup_and_Criteria!$F$14)+(E77*Setup_and_Criteria!$F$16))</f>
        <v>0</v>
      </c>
      <c r="H77" s="69">
        <f t="shared" si="42"/>
        <v>0</v>
      </c>
      <c r="I77" s="70">
        <f t="shared" si="36"/>
        <v>0</v>
      </c>
      <c r="J77" s="71">
        <f t="shared" si="37"/>
        <v>0</v>
      </c>
      <c r="K77" s="62">
        <f t="shared" si="38"/>
        <v>0</v>
      </c>
      <c r="L77" s="331"/>
      <c r="M77" s="332"/>
      <c r="N77" s="332"/>
      <c r="O77" s="333"/>
      <c r="P77" s="9"/>
      <c r="S77" s="12">
        <f t="shared" si="39"/>
        <v>0</v>
      </c>
      <c r="T77" s="12">
        <f t="shared" si="40"/>
        <v>0</v>
      </c>
      <c r="U77" s="621">
        <f t="shared" si="43"/>
        <v>0</v>
      </c>
    </row>
    <row r="78" spans="1:21" ht="20.100000000000001" customHeight="1" thickTop="1" thickBot="1" x14ac:dyDescent="0.3">
      <c r="A78" s="25"/>
      <c r="B78" s="990" t="s">
        <v>212</v>
      </c>
      <c r="C78" s="990"/>
      <c r="D78" s="990"/>
      <c r="E78" s="60" t="e">
        <f>+H78/(F71+F72+F73+F74+F75+F76+F77)</f>
        <v>#DIV/0!</v>
      </c>
      <c r="F78" s="28">
        <f t="shared" ref="F78:K78" si="44">SUM(F71:F77)</f>
        <v>0</v>
      </c>
      <c r="G78" s="26">
        <f t="shared" si="44"/>
        <v>0</v>
      </c>
      <c r="H78" s="26">
        <f t="shared" si="44"/>
        <v>0</v>
      </c>
      <c r="I78" s="26">
        <f t="shared" si="44"/>
        <v>0</v>
      </c>
      <c r="J78" s="27">
        <f t="shared" si="44"/>
        <v>0</v>
      </c>
      <c r="K78" s="46">
        <f t="shared" si="44"/>
        <v>0</v>
      </c>
      <c r="L78" s="991" t="s">
        <v>213</v>
      </c>
      <c r="M78" s="992"/>
      <c r="N78" s="992"/>
      <c r="O78" s="993"/>
      <c r="P78" s="9"/>
      <c r="S78" s="12">
        <f t="shared" si="39"/>
        <v>0</v>
      </c>
      <c r="T78" s="12">
        <f t="shared" si="40"/>
        <v>0</v>
      </c>
      <c r="U78" s="621">
        <f t="shared" si="43"/>
        <v>0</v>
      </c>
    </row>
    <row r="79" spans="1:21" ht="32.25" thickBot="1" x14ac:dyDescent="0.3">
      <c r="A79" s="987" t="s">
        <v>214</v>
      </c>
      <c r="B79" s="985"/>
      <c r="C79" s="985"/>
      <c r="D79" s="985"/>
      <c r="E79" s="985"/>
      <c r="F79" s="985"/>
      <c r="G79" s="985"/>
      <c r="H79" s="985"/>
      <c r="I79" s="985"/>
      <c r="J79" s="985"/>
      <c r="K79" s="985"/>
      <c r="L79" s="988" t="s">
        <v>215</v>
      </c>
      <c r="M79" s="988"/>
      <c r="N79" s="988"/>
      <c r="O79" s="989"/>
      <c r="P79" s="9"/>
    </row>
    <row r="80" spans="1:21" ht="31.5" x14ac:dyDescent="0.35">
      <c r="A80" s="23"/>
      <c r="B80" s="31" t="str">
        <f>+Corrections!$C$8</f>
        <v>Vanity</v>
      </c>
      <c r="C80" s="31" t="str">
        <f>+Corrections!$I$8</f>
        <v>Toilet</v>
      </c>
      <c r="D80" s="32" t="str">
        <f>+Corrections!$O$8</f>
        <v>Bed/Pillows</v>
      </c>
      <c r="E80" s="31" t="str">
        <f>+Corrections!$U$8</f>
        <v>Floor</v>
      </c>
      <c r="F80" s="33" t="str">
        <f>+Corrections!$AA$8</f>
        <v>Dusting</v>
      </c>
      <c r="G80" s="33" t="str">
        <f>+Corrections!$AG$8</f>
        <v>Fridge/Micro</v>
      </c>
      <c r="H80" s="33" t="str">
        <f>+Corrections!$AM$8</f>
        <v>Tub</v>
      </c>
      <c r="I80" s="33" t="str">
        <f>+Corrections!$AS$8</f>
        <v>Mirrors/Glass</v>
      </c>
      <c r="J80" s="34" t="str">
        <f>+Corrections!$AY$8</f>
        <v>Stocking</v>
      </c>
      <c r="K80" s="35" t="str">
        <f>+Corrections!$BE$8</f>
        <v>Other</v>
      </c>
      <c r="L80" s="37" t="s">
        <v>216</v>
      </c>
      <c r="M80" s="59" t="s">
        <v>217</v>
      </c>
      <c r="N80" s="5"/>
      <c r="O80" s="72"/>
      <c r="P80" s="9"/>
    </row>
    <row r="81" spans="1:21" ht="20.100000000000001" customHeight="1" x14ac:dyDescent="0.25">
      <c r="A81" s="6">
        <v>22</v>
      </c>
      <c r="B81" s="47"/>
      <c r="C81" s="47"/>
      <c r="D81" s="47"/>
      <c r="E81" s="48"/>
      <c r="F81" s="49"/>
      <c r="G81" s="49"/>
      <c r="H81" s="50"/>
      <c r="I81" s="51"/>
      <c r="J81" s="49"/>
      <c r="K81" s="52"/>
      <c r="L81" s="43">
        <f>SUM(B81:K81)</f>
        <v>0</v>
      </c>
      <c r="M81" s="39" t="e">
        <f t="shared" ref="M81:M87" si="45">+L81/(B71+C71+D71)</f>
        <v>#DIV/0!</v>
      </c>
      <c r="N81" s="5"/>
      <c r="O81" s="72"/>
      <c r="P81" s="9"/>
    </row>
    <row r="82" spans="1:21" ht="20.100000000000001" customHeight="1" x14ac:dyDescent="0.25">
      <c r="A82" s="6">
        <v>23</v>
      </c>
      <c r="B82" s="50"/>
      <c r="C82" s="49"/>
      <c r="D82" s="49"/>
      <c r="E82" s="49"/>
      <c r="F82" s="49"/>
      <c r="G82" s="49"/>
      <c r="H82" s="49"/>
      <c r="I82" s="51"/>
      <c r="J82" s="49"/>
      <c r="K82" s="52"/>
      <c r="L82" s="43">
        <f t="shared" ref="L82:L87" si="46">SUM(B82:K82)</f>
        <v>0</v>
      </c>
      <c r="M82" s="39" t="e">
        <f t="shared" si="45"/>
        <v>#DIV/0!</v>
      </c>
      <c r="N82" s="5"/>
      <c r="O82" s="72"/>
      <c r="P82" s="9"/>
    </row>
    <row r="83" spans="1:21" ht="20.100000000000001" customHeight="1" x14ac:dyDescent="0.25">
      <c r="A83" s="6">
        <v>24</v>
      </c>
      <c r="B83" s="50"/>
      <c r="C83" s="49"/>
      <c r="D83" s="49"/>
      <c r="E83" s="49"/>
      <c r="F83" s="49"/>
      <c r="G83" s="49"/>
      <c r="H83" s="49"/>
      <c r="I83" s="51"/>
      <c r="J83" s="49"/>
      <c r="K83" s="52"/>
      <c r="L83" s="43">
        <f t="shared" si="46"/>
        <v>0</v>
      </c>
      <c r="M83" s="39" t="e">
        <f t="shared" si="45"/>
        <v>#DIV/0!</v>
      </c>
      <c r="N83" s="5"/>
      <c r="O83" s="72"/>
      <c r="P83" s="9"/>
    </row>
    <row r="84" spans="1:21" ht="20.100000000000001" customHeight="1" x14ac:dyDescent="0.25">
      <c r="A84" s="6">
        <v>25</v>
      </c>
      <c r="B84" s="50"/>
      <c r="C84" s="49"/>
      <c r="D84" s="49"/>
      <c r="E84" s="49"/>
      <c r="F84" s="49"/>
      <c r="G84" s="49"/>
      <c r="H84" s="49"/>
      <c r="I84" s="51"/>
      <c r="J84" s="49"/>
      <c r="K84" s="52"/>
      <c r="L84" s="43">
        <f t="shared" si="46"/>
        <v>0</v>
      </c>
      <c r="M84" s="39" t="e">
        <f t="shared" si="45"/>
        <v>#DIV/0!</v>
      </c>
      <c r="N84" s="5"/>
      <c r="O84" s="72"/>
      <c r="P84" s="9"/>
    </row>
    <row r="85" spans="1:21" ht="20.100000000000001" customHeight="1" x14ac:dyDescent="0.25">
      <c r="A85" s="6">
        <v>26</v>
      </c>
      <c r="B85" s="50"/>
      <c r="C85" s="49"/>
      <c r="D85" s="49"/>
      <c r="E85" s="49"/>
      <c r="F85" s="49"/>
      <c r="G85" s="49"/>
      <c r="H85" s="49"/>
      <c r="I85" s="51"/>
      <c r="J85" s="49"/>
      <c r="K85" s="52"/>
      <c r="L85" s="43">
        <f t="shared" si="46"/>
        <v>0</v>
      </c>
      <c r="M85" s="39" t="e">
        <f t="shared" si="45"/>
        <v>#DIV/0!</v>
      </c>
      <c r="N85" s="5"/>
      <c r="O85" s="72"/>
      <c r="P85" s="9"/>
    </row>
    <row r="86" spans="1:21" ht="20.100000000000001" customHeight="1" x14ac:dyDescent="0.25">
      <c r="A86" s="6">
        <v>27</v>
      </c>
      <c r="B86" s="50"/>
      <c r="C86" s="49"/>
      <c r="D86" s="49"/>
      <c r="E86" s="49"/>
      <c r="F86" s="49"/>
      <c r="G86" s="49"/>
      <c r="H86" s="49"/>
      <c r="I86" s="51"/>
      <c r="J86" s="49"/>
      <c r="K86" s="52"/>
      <c r="L86" s="43">
        <f t="shared" si="46"/>
        <v>0</v>
      </c>
      <c r="M86" s="39" t="e">
        <f t="shared" si="45"/>
        <v>#DIV/0!</v>
      </c>
      <c r="N86" s="5"/>
      <c r="O86" s="72"/>
      <c r="P86" s="9"/>
    </row>
    <row r="87" spans="1:21" ht="20.100000000000001" customHeight="1" thickBot="1" x14ac:dyDescent="0.3">
      <c r="A87" s="6">
        <v>28</v>
      </c>
      <c r="B87" s="53"/>
      <c r="C87" s="54"/>
      <c r="D87" s="54"/>
      <c r="E87" s="54"/>
      <c r="F87" s="54"/>
      <c r="G87" s="54"/>
      <c r="H87" s="54"/>
      <c r="I87" s="55"/>
      <c r="J87" s="54"/>
      <c r="K87" s="56"/>
      <c r="L87" s="44">
        <f t="shared" si="46"/>
        <v>0</v>
      </c>
      <c r="M87" s="40" t="e">
        <f t="shared" si="45"/>
        <v>#DIV/0!</v>
      </c>
      <c r="N87" s="5"/>
      <c r="O87" s="72"/>
      <c r="P87" s="9"/>
    </row>
    <row r="88" spans="1:21" ht="20.100000000000001" customHeight="1" thickTop="1" thickBot="1" x14ac:dyDescent="0.3">
      <c r="A88" s="25"/>
      <c r="B88" s="38">
        <f>SUM(B81:B87)</f>
        <v>0</v>
      </c>
      <c r="C88" s="38">
        <f t="shared" ref="C88:K88" si="47">SUM(C81:C87)</f>
        <v>0</v>
      </c>
      <c r="D88" s="38">
        <f t="shared" si="47"/>
        <v>0</v>
      </c>
      <c r="E88" s="36">
        <f t="shared" si="47"/>
        <v>0</v>
      </c>
      <c r="F88" s="36">
        <f t="shared" si="47"/>
        <v>0</v>
      </c>
      <c r="G88" s="36">
        <f t="shared" si="47"/>
        <v>0</v>
      </c>
      <c r="H88" s="36">
        <f t="shared" si="47"/>
        <v>0</v>
      </c>
      <c r="I88" s="36">
        <f t="shared" si="47"/>
        <v>0</v>
      </c>
      <c r="J88" s="36">
        <f t="shared" si="47"/>
        <v>0</v>
      </c>
      <c r="K88" s="41">
        <f t="shared" si="47"/>
        <v>0</v>
      </c>
      <c r="L88" s="45">
        <f>SUM(L81:L87)</f>
        <v>0</v>
      </c>
      <c r="M88" s="42" t="e">
        <f>+L88/(F78)</f>
        <v>#DIV/0!</v>
      </c>
      <c r="N88" s="73"/>
      <c r="O88" s="74"/>
      <c r="P88" s="9"/>
    </row>
    <row r="89" spans="1:21" ht="32.25" thickBot="1" x14ac:dyDescent="0.3">
      <c r="A89" s="986" t="s">
        <v>198</v>
      </c>
      <c r="B89" s="986"/>
      <c r="C89" s="986"/>
      <c r="D89" s="986"/>
      <c r="E89" s="986"/>
      <c r="F89" s="986"/>
      <c r="G89" s="986"/>
      <c r="H89" s="986"/>
      <c r="I89" s="986"/>
      <c r="J89" s="986"/>
      <c r="K89" s="986"/>
      <c r="L89" s="986"/>
      <c r="M89" s="986"/>
      <c r="N89" s="986"/>
      <c r="O89" s="986"/>
      <c r="P89" s="9"/>
    </row>
    <row r="90" spans="1:21" s="3" customFormat="1" ht="24.75" customHeight="1" thickBot="1" x14ac:dyDescent="0.4">
      <c r="A90" s="302" t="s">
        <v>199</v>
      </c>
      <c r="B90" s="998" t="str">
        <f ca="1">+B68</f>
        <v>TeamMember 1</v>
      </c>
      <c r="C90" s="999"/>
      <c r="D90" s="999"/>
      <c r="E90" s="999"/>
      <c r="F90" s="1000"/>
      <c r="G90" s="262"/>
      <c r="H90" s="996"/>
      <c r="I90" s="996"/>
      <c r="J90" s="997"/>
      <c r="K90" s="997"/>
      <c r="L90" s="826" t="s">
        <v>218</v>
      </c>
      <c r="M90" s="1001"/>
      <c r="N90" s="1001"/>
      <c r="O90" s="827"/>
      <c r="P90" s="9"/>
      <c r="S90" s="621"/>
      <c r="T90" s="621"/>
    </row>
    <row r="91" spans="1:21" ht="51" x14ac:dyDescent="0.25">
      <c r="A91" s="301" t="str">
        <f>+Setup_and_Criteria!$J$6</f>
        <v>Q2</v>
      </c>
      <c r="B91" s="633" t="s">
        <v>200</v>
      </c>
      <c r="C91" s="298" t="s">
        <v>201</v>
      </c>
      <c r="D91" s="633" t="s">
        <v>202</v>
      </c>
      <c r="E91" s="303" t="s">
        <v>203</v>
      </c>
      <c r="F91" s="299" t="s">
        <v>204</v>
      </c>
      <c r="G91" s="298" t="s">
        <v>137</v>
      </c>
      <c r="H91" s="298" t="s">
        <v>138</v>
      </c>
      <c r="I91" s="298" t="s">
        <v>205</v>
      </c>
      <c r="J91" s="299" t="s">
        <v>206</v>
      </c>
      <c r="K91" s="300" t="s">
        <v>207</v>
      </c>
      <c r="L91" s="57" t="s">
        <v>208</v>
      </c>
      <c r="M91" s="29" t="s">
        <v>209</v>
      </c>
      <c r="N91" s="29" t="s">
        <v>210</v>
      </c>
      <c r="O91" s="30" t="s">
        <v>211</v>
      </c>
      <c r="P91" s="9"/>
    </row>
    <row r="92" spans="1:21" ht="20.100000000000001" hidden="1" customHeight="1" x14ac:dyDescent="0.35">
      <c r="A92" s="23"/>
      <c r="B92" s="13">
        <v>30</v>
      </c>
      <c r="C92" s="13">
        <v>45</v>
      </c>
      <c r="D92" s="13">
        <v>20</v>
      </c>
      <c r="E92" s="13">
        <v>0</v>
      </c>
      <c r="F92" s="14"/>
      <c r="G92" s="15"/>
      <c r="H92" s="15"/>
      <c r="I92" s="15"/>
      <c r="J92" s="16"/>
      <c r="K92" s="24"/>
      <c r="L92" s="58"/>
      <c r="O92" s="24"/>
      <c r="P92" s="9"/>
    </row>
    <row r="93" spans="1:21" ht="20.100000000000001" customHeight="1" x14ac:dyDescent="0.25">
      <c r="A93" s="6">
        <v>29</v>
      </c>
      <c r="B93" s="321"/>
      <c r="C93" s="321"/>
      <c r="D93" s="321"/>
      <c r="E93" s="322"/>
      <c r="F93" s="63">
        <f>SUM(B93:D93)</f>
        <v>0</v>
      </c>
      <c r="G93" s="63">
        <f>+((B93*Setup_and_Criteria!$F$13)+(C93*Setup_and_Criteria!$F$15)+(D93*Setup_and_Criteria!$F$14)+(E93*Setup_and_Criteria!$F$16))</f>
        <v>0</v>
      </c>
      <c r="H93" s="64">
        <f>+U93</f>
        <v>0</v>
      </c>
      <c r="I93" s="65">
        <f>+G93-U93</f>
        <v>0</v>
      </c>
      <c r="J93" s="66">
        <f>+G93/60</f>
        <v>0</v>
      </c>
      <c r="K93" s="61">
        <f>+(M93-L93)+(O93-N93)</f>
        <v>0</v>
      </c>
      <c r="L93" s="327"/>
      <c r="M93" s="328"/>
      <c r="N93" s="328"/>
      <c r="O93" s="329"/>
      <c r="P93" s="9"/>
      <c r="S93" s="12">
        <f>HOUR(K93)</f>
        <v>0</v>
      </c>
      <c r="T93" s="12">
        <f>MINUTE(K93)</f>
        <v>0</v>
      </c>
      <c r="U93" s="621">
        <f>+(S93*60)+T93</f>
        <v>0</v>
      </c>
    </row>
    <row r="94" spans="1:21" ht="20.100000000000001" customHeight="1" x14ac:dyDescent="0.25">
      <c r="A94" s="6">
        <v>30</v>
      </c>
      <c r="B94" s="323"/>
      <c r="C94" s="324"/>
      <c r="D94" s="324"/>
      <c r="E94" s="324"/>
      <c r="F94" s="63">
        <f>SUM(B94:D94)</f>
        <v>0</v>
      </c>
      <c r="G94" s="63">
        <f>+((B94*Setup_and_Criteria!$F$13)+(C94*Setup_and_Criteria!$F$15)+(D94*Setup_and_Criteria!$F$14)+(E94*Setup_and_Criteria!$F$16))</f>
        <v>0</v>
      </c>
      <c r="H94" s="63">
        <f>+U94</f>
        <v>0</v>
      </c>
      <c r="I94" s="65">
        <f>+G94-U94</f>
        <v>0</v>
      </c>
      <c r="J94" s="67">
        <f>+G94/60</f>
        <v>0</v>
      </c>
      <c r="K94" s="61">
        <f>+(M94-L94)+(O94-N94)</f>
        <v>0</v>
      </c>
      <c r="L94" s="327"/>
      <c r="M94" s="328"/>
      <c r="N94" s="328"/>
      <c r="O94" s="329"/>
      <c r="P94" s="9"/>
      <c r="S94" s="12">
        <f>HOUR(K94)</f>
        <v>0</v>
      </c>
      <c r="T94" s="12">
        <f>MINUTE(K94)</f>
        <v>0</v>
      </c>
      <c r="U94" s="621">
        <f>+(S94*60)+T94</f>
        <v>0</v>
      </c>
    </row>
    <row r="95" spans="1:21" ht="20.100000000000001" customHeight="1" thickBot="1" x14ac:dyDescent="0.3">
      <c r="A95" s="6">
        <v>31</v>
      </c>
      <c r="B95" s="323"/>
      <c r="C95" s="324"/>
      <c r="D95" s="324"/>
      <c r="E95" s="324"/>
      <c r="F95" s="63">
        <f>SUM(B95:D95)</f>
        <v>0</v>
      </c>
      <c r="G95" s="69">
        <f>+((B95*Setup_and_Criteria!$F$13)+(C95*Setup_and_Criteria!$F$15)+(D95*Setup_and_Criteria!$F$14)+(E95*Setup_and_Criteria!$F$16))</f>
        <v>0</v>
      </c>
      <c r="H95" s="69">
        <f>+U95</f>
        <v>0</v>
      </c>
      <c r="I95" s="70">
        <f>+G95-U95</f>
        <v>0</v>
      </c>
      <c r="J95" s="67">
        <f>+G95/60</f>
        <v>0</v>
      </c>
      <c r="K95" s="61">
        <f>+(M95-L95)+(O95-N95)</f>
        <v>0</v>
      </c>
      <c r="L95" s="327"/>
      <c r="M95" s="328"/>
      <c r="N95" s="328"/>
      <c r="O95" s="330"/>
      <c r="P95" s="9"/>
      <c r="S95" s="12">
        <f>HOUR(K95)</f>
        <v>0</v>
      </c>
      <c r="T95" s="12">
        <f>MINUTE(K95)</f>
        <v>0</v>
      </c>
      <c r="U95" s="621">
        <f>+(S95*60)+T95</f>
        <v>0</v>
      </c>
    </row>
    <row r="96" spans="1:21" ht="20.100000000000001" customHeight="1" thickTop="1" thickBot="1" x14ac:dyDescent="0.3">
      <c r="A96" s="25"/>
      <c r="B96" s="990" t="s">
        <v>212</v>
      </c>
      <c r="C96" s="990"/>
      <c r="D96" s="990"/>
      <c r="E96" s="297" t="e">
        <f>+H96/(F93+F94+F95)</f>
        <v>#DIV/0!</v>
      </c>
      <c r="F96" s="28">
        <f t="shared" ref="F96:K96" si="48">SUM(F93:F95)</f>
        <v>0</v>
      </c>
      <c r="G96" s="26">
        <f t="shared" si="48"/>
        <v>0</v>
      </c>
      <c r="H96" s="26">
        <f t="shared" si="48"/>
        <v>0</v>
      </c>
      <c r="I96" s="26">
        <f t="shared" si="48"/>
        <v>0</v>
      </c>
      <c r="J96" s="27">
        <f t="shared" si="48"/>
        <v>0</v>
      </c>
      <c r="K96" s="46">
        <f t="shared" si="48"/>
        <v>0</v>
      </c>
      <c r="L96" s="991" t="s">
        <v>213</v>
      </c>
      <c r="M96" s="992"/>
      <c r="N96" s="992"/>
      <c r="O96" s="993"/>
      <c r="P96" s="9"/>
      <c r="S96" s="12">
        <f>HOUR(K96)</f>
        <v>0</v>
      </c>
      <c r="T96" s="12">
        <f>MINUTE(K96)</f>
        <v>0</v>
      </c>
      <c r="U96" s="621">
        <f>+(S96*60)+T96</f>
        <v>0</v>
      </c>
    </row>
    <row r="97" spans="1:16" ht="32.25" thickBot="1" x14ac:dyDescent="0.3">
      <c r="A97" s="987" t="s">
        <v>214</v>
      </c>
      <c r="B97" s="985"/>
      <c r="C97" s="985"/>
      <c r="D97" s="985"/>
      <c r="E97" s="985"/>
      <c r="F97" s="985"/>
      <c r="G97" s="985"/>
      <c r="H97" s="985"/>
      <c r="I97" s="985"/>
      <c r="J97" s="985"/>
      <c r="K97" s="985"/>
      <c r="L97" s="988" t="s">
        <v>215</v>
      </c>
      <c r="M97" s="988"/>
      <c r="N97" s="988"/>
      <c r="O97" s="989"/>
      <c r="P97" s="9"/>
    </row>
    <row r="98" spans="1:16" ht="31.5" x14ac:dyDescent="0.25">
      <c r="A98" s="301" t="str">
        <f>+A91</f>
        <v>Q2</v>
      </c>
      <c r="B98" s="31" t="str">
        <f>+Corrections!$C$8</f>
        <v>Vanity</v>
      </c>
      <c r="C98" s="31" t="str">
        <f>+Corrections!$I$8</f>
        <v>Toilet</v>
      </c>
      <c r="D98" s="32" t="str">
        <f>+Corrections!$O$8</f>
        <v>Bed/Pillows</v>
      </c>
      <c r="E98" s="31" t="str">
        <f>+Corrections!$U$8</f>
        <v>Floor</v>
      </c>
      <c r="F98" s="33" t="str">
        <f>+Corrections!$AA$8</f>
        <v>Dusting</v>
      </c>
      <c r="G98" s="33" t="str">
        <f>+Corrections!$AG$8</f>
        <v>Fridge/Micro</v>
      </c>
      <c r="H98" s="33" t="str">
        <f>+Corrections!$AM$8</f>
        <v>Tub</v>
      </c>
      <c r="I98" s="33" t="str">
        <f>+Corrections!$AS$8</f>
        <v>Mirrors/Glass</v>
      </c>
      <c r="J98" s="34" t="str">
        <f>+Corrections!$AY$8</f>
        <v>Stocking</v>
      </c>
      <c r="K98" s="35" t="str">
        <f>+Corrections!$BE$8</f>
        <v>Other</v>
      </c>
      <c r="L98" s="37" t="s">
        <v>216</v>
      </c>
      <c r="M98" s="59" t="s">
        <v>217</v>
      </c>
      <c r="N98" s="5"/>
      <c r="O98" s="72"/>
      <c r="P98" s="9"/>
    </row>
    <row r="99" spans="1:16" ht="21.95" customHeight="1" x14ac:dyDescent="0.25">
      <c r="A99" s="6">
        <v>29</v>
      </c>
      <c r="B99" s="47"/>
      <c r="C99" s="47"/>
      <c r="D99" s="47"/>
      <c r="E99" s="48"/>
      <c r="F99" s="49"/>
      <c r="G99" s="49"/>
      <c r="H99" s="50"/>
      <c r="I99" s="51"/>
      <c r="J99" s="49"/>
      <c r="K99" s="52"/>
      <c r="L99" s="43">
        <f>SUM(B99:K99)</f>
        <v>0</v>
      </c>
      <c r="M99" s="39" t="e">
        <f>+L99/(B93+C93+D93)</f>
        <v>#DIV/0!</v>
      </c>
      <c r="N99" s="5"/>
      <c r="O99" s="72"/>
      <c r="P99" s="9"/>
    </row>
    <row r="100" spans="1:16" ht="21.95" customHeight="1" x14ac:dyDescent="0.25">
      <c r="A100" s="6">
        <v>30</v>
      </c>
      <c r="B100" s="50"/>
      <c r="C100" s="49"/>
      <c r="D100" s="49"/>
      <c r="E100" s="49"/>
      <c r="F100" s="49"/>
      <c r="G100" s="49"/>
      <c r="H100" s="49"/>
      <c r="I100" s="51"/>
      <c r="J100" s="49"/>
      <c r="K100" s="52"/>
      <c r="L100" s="43">
        <f>SUM(B100:K100)</f>
        <v>0</v>
      </c>
      <c r="M100" s="39" t="e">
        <f>+L100/(B94+C94+D94)</f>
        <v>#DIV/0!</v>
      </c>
      <c r="N100" s="5"/>
      <c r="O100" s="72"/>
      <c r="P100" s="9"/>
    </row>
    <row r="101" spans="1:16" ht="21.95" customHeight="1" x14ac:dyDescent="0.25">
      <c r="A101" s="6">
        <v>31</v>
      </c>
      <c r="B101" s="50"/>
      <c r="C101" s="49"/>
      <c r="D101" s="49"/>
      <c r="E101" s="49"/>
      <c r="F101" s="49"/>
      <c r="G101" s="49"/>
      <c r="H101" s="49"/>
      <c r="I101" s="51"/>
      <c r="J101" s="49"/>
      <c r="K101" s="52"/>
      <c r="L101" s="43">
        <f>SUM(B101:K101)</f>
        <v>0</v>
      </c>
      <c r="M101" s="39" t="e">
        <f>+L101/(B95+C95+D95)</f>
        <v>#DIV/0!</v>
      </c>
      <c r="N101" s="5"/>
      <c r="O101" s="72"/>
      <c r="P101" s="9"/>
    </row>
    <row r="102" spans="1:16" ht="21.95" customHeight="1" thickBot="1" x14ac:dyDescent="0.3">
      <c r="A102" s="25"/>
      <c r="B102" s="38">
        <f t="shared" ref="B102:L102" si="49">SUM(B99:B101)</f>
        <v>0</v>
      </c>
      <c r="C102" s="38">
        <f t="shared" si="49"/>
        <v>0</v>
      </c>
      <c r="D102" s="38">
        <f t="shared" si="49"/>
        <v>0</v>
      </c>
      <c r="E102" s="36">
        <f t="shared" si="49"/>
        <v>0</v>
      </c>
      <c r="F102" s="36">
        <f t="shared" si="49"/>
        <v>0</v>
      </c>
      <c r="G102" s="36">
        <f t="shared" si="49"/>
        <v>0</v>
      </c>
      <c r="H102" s="36">
        <f t="shared" si="49"/>
        <v>0</v>
      </c>
      <c r="I102" s="36">
        <f t="shared" si="49"/>
        <v>0</v>
      </c>
      <c r="J102" s="36">
        <f t="shared" si="49"/>
        <v>0</v>
      </c>
      <c r="K102" s="41">
        <f t="shared" si="49"/>
        <v>0</v>
      </c>
      <c r="L102" s="45">
        <f t="shared" si="49"/>
        <v>0</v>
      </c>
      <c r="M102" s="42" t="e">
        <f>+L102/(F96)</f>
        <v>#DIV/0!</v>
      </c>
      <c r="N102" s="73"/>
      <c r="O102" s="74"/>
      <c r="P102" s="9"/>
    </row>
    <row r="103" spans="1:16" ht="15.75" x14ac:dyDescent="0.25">
      <c r="A103" s="8"/>
      <c r="B103" s="8"/>
      <c r="C103" s="8"/>
      <c r="D103" s="1005"/>
      <c r="E103" s="1005"/>
      <c r="F103" s="4"/>
      <c r="G103" s="4"/>
      <c r="H103" s="4"/>
      <c r="I103" s="4"/>
      <c r="J103" s="4"/>
      <c r="K103" s="4"/>
      <c r="L103" s="4"/>
      <c r="M103" s="4"/>
      <c r="N103" s="4"/>
      <c r="O103" s="790"/>
      <c r="P103" s="790"/>
    </row>
    <row r="104" spans="1:16" ht="15.75" x14ac:dyDescent="0.25">
      <c r="A104" s="1006"/>
      <c r="B104" s="1006"/>
      <c r="C104" s="1006"/>
      <c r="D104" s="1005"/>
      <c r="E104" s="1005"/>
      <c r="F104" s="634"/>
      <c r="G104" s="634"/>
      <c r="H104" s="634"/>
      <c r="I104" s="634"/>
      <c r="J104" s="634"/>
      <c r="K104" s="634"/>
      <c r="L104" s="634"/>
      <c r="M104" s="634"/>
      <c r="N104" s="634"/>
      <c r="O104" s="790"/>
      <c r="P104" s="790"/>
    </row>
    <row r="105" spans="1:16" ht="15.75" x14ac:dyDescent="0.25">
      <c r="A105" s="1006"/>
      <c r="B105" s="1006"/>
      <c r="C105" s="1006"/>
      <c r="D105" s="1005"/>
      <c r="E105" s="1005"/>
      <c r="F105" s="4"/>
      <c r="G105" s="4"/>
      <c r="H105" s="4"/>
      <c r="I105" s="4"/>
      <c r="J105" s="1005"/>
      <c r="K105" s="1005"/>
      <c r="L105" s="1005"/>
      <c r="M105" s="1005"/>
      <c r="N105" s="1005"/>
      <c r="O105" s="790"/>
      <c r="P105" s="790"/>
    </row>
    <row r="106" spans="1:16" ht="26.25" x14ac:dyDescent="0.25">
      <c r="A106" s="4"/>
      <c r="B106" s="4"/>
      <c r="C106" s="4"/>
      <c r="D106" s="4"/>
      <c r="E106" s="4"/>
      <c r="F106" s="4"/>
      <c r="G106" s="634"/>
      <c r="H106" s="634"/>
      <c r="I106" s="634"/>
      <c r="J106" s="634"/>
      <c r="K106" s="634"/>
      <c r="L106" s="633"/>
      <c r="M106" s="633"/>
      <c r="N106" s="4"/>
      <c r="O106" s="1007"/>
      <c r="P106" s="1008"/>
    </row>
    <row r="107" spans="1:16" ht="15.75" x14ac:dyDescent="0.25">
      <c r="A107" s="4"/>
      <c r="B107" s="4"/>
      <c r="C107" s="4"/>
      <c r="D107" s="4"/>
      <c r="E107" s="4"/>
      <c r="F107" s="1009"/>
      <c r="G107" s="1009"/>
      <c r="H107" s="1009"/>
      <c r="I107" s="1009"/>
      <c r="J107" s="1009"/>
      <c r="K107" s="1009"/>
      <c r="L107" s="1009"/>
      <c r="M107" s="1009"/>
      <c r="N107" s="1009"/>
      <c r="O107" s="790"/>
      <c r="P107" s="790"/>
    </row>
    <row r="108" spans="1:16" ht="15" customHeight="1" x14ac:dyDescent="0.25">
      <c r="A108" s="4"/>
      <c r="B108" s="4"/>
      <c r="C108" s="4"/>
      <c r="D108" s="4"/>
      <c r="E108" s="4"/>
      <c r="P108" s="10"/>
    </row>
  </sheetData>
  <protectedRanges>
    <protectedRange algorithmName="SHA-512" hashValue="Iv3Bn+plL8GTxYDd8ieLbJptC2gxlJT1rDUemyR0/uPJvrmT4k2O+JzScVtRZBInVKGfksG7/Kd8t6aXYjRhUQ==" saltValue="BAVojDMzZB00P9C6d+gOcA==" spinCount="100000" sqref="B99:K101" name="CorrWk5"/>
    <protectedRange algorithmName="SHA-512" hashValue="nxYPZtYe6goUDLxQ/l3c51BR1xp00Ctk9xBsIQodF8grmjR0MtUqvmZ9XlHtar5HecPhudPrhn8+djmhNmzHgg==" saltValue="1HGbB0ipOPOwER3bJP1CUw==" spinCount="100000" sqref="B93:E95" name="Roomswk5"/>
    <protectedRange algorithmName="SHA-512" hashValue="gtdY+xS4/ajOJNP0N5UlDNSu8uMSN7NDupgNKtqL7bp+6aTHdfpMYgYx4dKKCqbw/Dh2qVdHipnkrpzGooB8WQ==" saltValue="4CSPsMkuPAB4h+u7VMNzbA==" spinCount="100000" sqref="L72:O77 N71:O71" name="Timeswk4"/>
    <protectedRange algorithmName="SHA-512" hashValue="ACDMkhOy9Pdj+U4E1+ZpTsaIL+5x2D01OowyZc+myl4K8cVd6AeKREUwVk/zQcmmNMGjDU7CjAe3yWy/M4cYoQ==" saltValue="RXwlGIrGB07gjnBd9tRxEQ==" spinCount="100000" sqref="L50:O55 N49:O49" name="TimesWk3"/>
    <protectedRange algorithmName="SHA-512" hashValue="F8H8G7YX4zWyk3tO22WrOElDrLoS2a40ylZxOkfgNDVu65QNzwx0vk5uq6xJxii5x5opi8O1K3XEQVYqRt4JTA==" saltValue="hrPFGz6NkG3PFVN8M8+zgA==" spinCount="100000" sqref="B37:K43" name="CorrWk2"/>
    <protectedRange algorithmName="SHA-512" hashValue="FZTgeIQtSm48u+PXKalwYT6GZZCV8zKQYO6Aj6HWns5pd6S806bUtLATs6vHayhF+IpqYGdRxEhCpUbKmFOYCQ==" saltValue="EFfUxyJ1CQ7xapjVbjCeJg==" spinCount="100000" sqref="B27:E33" name="Wk2Rms"/>
    <protectedRange algorithmName="SHA-512" hashValue="N8plT1jPOUWNxgL0ywKVvBLho5t2yOHmRzDuEtQXefsV7Z+FH3AEDAJHKiVnGV9l051H5J7L2+0t1uwjy4Ew5A==" saltValue="zHA/zmHT6wiB3YMfSSlZRg==" spinCount="100000" sqref="B5:E11 B27:E33 B49:E55 B71:E77 B93:E95" name="RoomsCleaned_1"/>
    <protectedRange algorithmName="SHA-512" hashValue="AtwNwpOr1GZdpSv/9Z//Ko3vgGgOn/BjT04jzZyE2xYrKdzqnkYepo3/hztkG2cZEUgAX3FL8xf7hhwlpPxkMw==" saltValue="96hS6uLz3oE9Tt1NOdd0QQ==" spinCount="100000" sqref="L5:O11 L27:O33 L49:O55 L71:O77 L93:O95" name="Hours_1"/>
    <protectedRange algorithmName="SHA-512" hashValue="kTXWmc1wcyaH0u6+8bXOuqDRWnwSyTpF8SfRFtIKYSrG8k7mnYJRvlXJmsexGOdemcqbQ1b5HTfqp7o3rFVr0w==" saltValue="sP7KGraU6qYLJHRzADCnVw==" spinCount="100000" sqref="B15:K21 B37:K43 B59:K65 B81:K87 B99:K101" name="Corrections_1"/>
    <protectedRange algorithmName="SHA-512" hashValue="zob/oSV10SteakDr2L9WiUjo/OLktK5SD+ISKdWnR1S5D7LHoBHzyCP8yK1YIwMJmnQm3At1MHNbhVG8e+u20w==" saltValue="UPwwIT6obpJDjKwTxmKIFw==" spinCount="100000" sqref="L28:O33 N27:O27" name="timeswk2"/>
    <protectedRange algorithmName="SHA-512" hashValue="2p7I4cbJvOG1DxVvZfrhne+PSMFHFKlKRCkFwqqusvaZfHpA1v4zw8Iqax9s0MXcQOOxoSlRc2MtqoVGw3YGdQ==" saltValue="jIyqP7s+PhPmX8DkM4+sXg==" spinCount="100000" sqref="B49:E55" name="RmsWk3"/>
    <protectedRange algorithmName="SHA-512" hashValue="euNeBxHUPiTYc/xJHY0lrmq/gdP6AxEQoRjWd+77EdLrj2a8fOj/P/uQIZxq1Vs1sL7ENzWj9YPj0x4kkNqXXA==" saltValue="JkOKS8EwaNNTak5J66nYSg==" spinCount="100000" sqref="B59:K65" name="CorrWk3"/>
    <protectedRange algorithmName="SHA-512" hashValue="y3Tg4DC56laJNlgFQL7lO5FrZGntQ81qeYyfMgCTfNqUTSDqyp70L0sJzB0ZWddljHyWeuIPQoVaYYS/SjpXrw==" saltValue="3Symqigx8sozARCCaF9G9w==" spinCount="100000" sqref="B81:K87" name="CorrWk4"/>
    <protectedRange algorithmName="SHA-512" hashValue="xY6bfhiwIbvuOiSkvJvRKaHvs7h5XWW1QykZGyeamzK8aNZVdCv5y+TtYsLt4Ep5wHIuW1H4gmVPOk39+iATjg==" saltValue="1uIyvualypu40axBul51pw==" spinCount="100000" sqref="N93:O93 L94:O95" name="TimesWk5"/>
  </protectedRanges>
  <mergeCells count="57">
    <mergeCell ref="O106:P106"/>
    <mergeCell ref="F107:N107"/>
    <mergeCell ref="O107:P107"/>
    <mergeCell ref="O105:P105"/>
    <mergeCell ref="B2:F2"/>
    <mergeCell ref="A104:C104"/>
    <mergeCell ref="D104:E104"/>
    <mergeCell ref="O104:P104"/>
    <mergeCell ref="L2:O2"/>
    <mergeCell ref="L12:O12"/>
    <mergeCell ref="A13:K13"/>
    <mergeCell ref="L13:O13"/>
    <mergeCell ref="B24:F24"/>
    <mergeCell ref="L24:O24"/>
    <mergeCell ref="B90:F90"/>
    <mergeCell ref="L90:O90"/>
    <mergeCell ref="B96:D96"/>
    <mergeCell ref="L96:O96"/>
    <mergeCell ref="H90:I90"/>
    <mergeCell ref="J90:K90"/>
    <mergeCell ref="A97:K97"/>
    <mergeCell ref="L97:O97"/>
    <mergeCell ref="D103:E103"/>
    <mergeCell ref="O103:P103"/>
    <mergeCell ref="A105:C105"/>
    <mergeCell ref="D105:E105"/>
    <mergeCell ref="J105:N105"/>
    <mergeCell ref="B68:F68"/>
    <mergeCell ref="L68:O68"/>
    <mergeCell ref="B46:F46"/>
    <mergeCell ref="L46:O46"/>
    <mergeCell ref="B56:D56"/>
    <mergeCell ref="L56:O56"/>
    <mergeCell ref="H46:I46"/>
    <mergeCell ref="J46:K46"/>
    <mergeCell ref="H68:I68"/>
    <mergeCell ref="J68:K68"/>
    <mergeCell ref="A89:O89"/>
    <mergeCell ref="B78:D78"/>
    <mergeCell ref="L78:O78"/>
    <mergeCell ref="A79:K79"/>
    <mergeCell ref="L79:O79"/>
    <mergeCell ref="A1:O1"/>
    <mergeCell ref="A23:O23"/>
    <mergeCell ref="A45:O45"/>
    <mergeCell ref="A67:O67"/>
    <mergeCell ref="A57:K57"/>
    <mergeCell ref="L57:O57"/>
    <mergeCell ref="B34:D34"/>
    <mergeCell ref="L34:O34"/>
    <mergeCell ref="A35:K35"/>
    <mergeCell ref="L35:O35"/>
    <mergeCell ref="N36:O36"/>
    <mergeCell ref="H2:I2"/>
    <mergeCell ref="J2:K2"/>
    <mergeCell ref="H24:I24"/>
    <mergeCell ref="J24:K24"/>
  </mergeCells>
  <conditionalFormatting sqref="E12">
    <cfRule type="cellIs" dxfId="9" priority="5" operator="greaterThan">
      <formula>28</formula>
    </cfRule>
  </conditionalFormatting>
  <conditionalFormatting sqref="E34">
    <cfRule type="cellIs" dxfId="8" priority="4" operator="greaterThan">
      <formula>28</formula>
    </cfRule>
  </conditionalFormatting>
  <conditionalFormatting sqref="E56">
    <cfRule type="cellIs" dxfId="7" priority="3" operator="greaterThan">
      <formula>28</formula>
    </cfRule>
  </conditionalFormatting>
  <conditionalFormatting sqref="E78">
    <cfRule type="cellIs" dxfId="6" priority="2" operator="greaterThan">
      <formula>28</formula>
    </cfRule>
  </conditionalFormatting>
  <conditionalFormatting sqref="E96">
    <cfRule type="cellIs" dxfId="5" priority="1" operator="greaterThan">
      <formula>28</formula>
    </cfRule>
  </conditionalFormatting>
  <pageMargins left="0.7" right="0.7" top="0.75" bottom="0.75" header="0.3" footer="0.3"/>
  <pageSetup orientation="landscape"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516E52-3D42-41C7-9D9A-A43BA145F62F}">
  <sheetPr codeName="Sheet21">
    <tabColor rgb="FFFF0000"/>
  </sheetPr>
  <dimension ref="A1:AC108"/>
  <sheetViews>
    <sheetView topLeftCell="A86" zoomScale="200" workbookViewId="0">
      <selection activeCell="L49" sqref="L49:M50"/>
    </sheetView>
  </sheetViews>
  <sheetFormatPr defaultRowHeight="15" x14ac:dyDescent="0.25"/>
  <cols>
    <col min="1" max="1" width="7.85546875" customWidth="1"/>
    <col min="2" max="2" width="6.42578125" customWidth="1"/>
    <col min="3" max="3" width="7.7109375" customWidth="1"/>
    <col min="4" max="4" width="7.140625" customWidth="1"/>
    <col min="5" max="5" width="8.28515625" customWidth="1"/>
    <col min="6" max="6" width="8.85546875" customWidth="1"/>
    <col min="7" max="7" width="9.140625" customWidth="1"/>
    <col min="8" max="8" width="9" customWidth="1"/>
    <col min="9" max="9" width="9.85546875" customWidth="1"/>
    <col min="10" max="10" width="9.42578125" customWidth="1"/>
    <col min="11" max="11" width="9.28515625" customWidth="1"/>
    <col min="12" max="12" width="7.28515625" customWidth="1"/>
    <col min="13" max="13" width="9" customWidth="1"/>
    <col min="14" max="14" width="6.85546875" customWidth="1"/>
    <col min="15" max="15" width="7.7109375" customWidth="1"/>
    <col min="16" max="16" width="1.5703125" customWidth="1"/>
    <col min="17" max="17" width="1.85546875" customWidth="1"/>
    <col min="19" max="20" width="8.42578125" style="1" hidden="1" customWidth="1"/>
    <col min="21" max="21" width="9.140625" hidden="1" customWidth="1"/>
  </cols>
  <sheetData>
    <row r="1" spans="1:29" ht="23.25" x14ac:dyDescent="0.25">
      <c r="A1" s="985" t="s">
        <v>198</v>
      </c>
      <c r="B1" s="985"/>
      <c r="C1" s="985"/>
      <c r="D1" s="985"/>
      <c r="E1" s="985"/>
      <c r="F1" s="985"/>
      <c r="G1" s="985"/>
      <c r="H1" s="985"/>
      <c r="I1" s="985"/>
      <c r="J1" s="985"/>
      <c r="K1" s="985"/>
      <c r="L1" s="985"/>
      <c r="M1" s="985"/>
      <c r="N1" s="985"/>
      <c r="O1" s="985"/>
      <c r="P1" s="20"/>
    </row>
    <row r="2" spans="1:29" ht="21.75" customHeight="1" thickBot="1" x14ac:dyDescent="0.4">
      <c r="A2" s="302" t="s">
        <v>199</v>
      </c>
      <c r="B2" s="998" t="str" cm="1">
        <f t="array" aca="1" ref="B2" ca="1">RIGHT(CELL("filename",A1),LEN(CELL("filename",A1))-SEARCH("]",CELL("filename",A1)))</f>
        <v>TeamMember 2</v>
      </c>
      <c r="C2" s="999"/>
      <c r="D2" s="999"/>
      <c r="E2" s="999"/>
      <c r="F2" s="1000"/>
      <c r="G2" s="262"/>
      <c r="H2" s="996"/>
      <c r="I2" s="996"/>
      <c r="J2" s="997"/>
      <c r="K2" s="997"/>
      <c r="L2" s="787" t="s">
        <v>69</v>
      </c>
      <c r="M2" s="787"/>
      <c r="N2" s="787"/>
      <c r="O2" s="787"/>
    </row>
    <row r="3" spans="1:29" ht="44.25" customHeight="1" x14ac:dyDescent="0.25">
      <c r="A3" s="301" t="str">
        <f>+Setup_and_Criteria!$J$6</f>
        <v>Q2</v>
      </c>
      <c r="B3" s="633" t="s">
        <v>200</v>
      </c>
      <c r="C3" s="298" t="s">
        <v>201</v>
      </c>
      <c r="D3" s="633" t="s">
        <v>202</v>
      </c>
      <c r="E3" s="303" t="s">
        <v>203</v>
      </c>
      <c r="F3" s="299" t="s">
        <v>204</v>
      </c>
      <c r="G3" s="298" t="s">
        <v>137</v>
      </c>
      <c r="H3" s="298" t="s">
        <v>138</v>
      </c>
      <c r="I3" s="298" t="s">
        <v>205</v>
      </c>
      <c r="J3" s="299" t="s">
        <v>206</v>
      </c>
      <c r="K3" s="300" t="s">
        <v>207</v>
      </c>
      <c r="L3" s="57" t="s">
        <v>208</v>
      </c>
      <c r="M3" s="29" t="s">
        <v>209</v>
      </c>
      <c r="N3" s="29" t="s">
        <v>210</v>
      </c>
      <c r="O3" s="30" t="s">
        <v>211</v>
      </c>
    </row>
    <row r="4" spans="1:29" ht="21" hidden="1" x14ac:dyDescent="0.35">
      <c r="A4" s="23"/>
      <c r="B4" s="13">
        <v>30</v>
      </c>
      <c r="C4" s="13">
        <v>45</v>
      </c>
      <c r="D4" s="13">
        <v>20</v>
      </c>
      <c r="E4" s="13">
        <v>0</v>
      </c>
      <c r="F4" s="14"/>
      <c r="G4" s="15"/>
      <c r="H4" s="15"/>
      <c r="I4" s="15"/>
      <c r="J4" s="16"/>
      <c r="K4" s="24"/>
      <c r="L4" s="58"/>
      <c r="O4" s="24"/>
    </row>
    <row r="5" spans="1:29" ht="20.100000000000001" customHeight="1" x14ac:dyDescent="0.25">
      <c r="A5" s="6">
        <v>1</v>
      </c>
      <c r="B5" s="323"/>
      <c r="C5" s="323"/>
      <c r="D5" s="323"/>
      <c r="E5" s="324"/>
      <c r="F5" s="63">
        <f>SUM(B5:E5)</f>
        <v>0</v>
      </c>
      <c r="G5" s="63">
        <f>+((B5*Setup_and_Criteria!$F$13)+(C5*Setup_and_Criteria!$F$15)+(D5*Setup_and_Criteria!$F$14)+(E5*Setup_and_Criteria!$F$16))</f>
        <v>0</v>
      </c>
      <c r="H5" s="64">
        <f>+U5</f>
        <v>0</v>
      </c>
      <c r="I5" s="65">
        <f t="shared" ref="I5:I11" si="0">+G5-U5</f>
        <v>0</v>
      </c>
      <c r="J5" s="66">
        <f t="shared" ref="J5:J11" si="1">+G5/60</f>
        <v>0</v>
      </c>
      <c r="K5" s="61">
        <f t="shared" ref="K5:K11" si="2">+(M5-L5)+(O5-N5)</f>
        <v>0</v>
      </c>
      <c r="L5" s="327"/>
      <c r="M5" s="328"/>
      <c r="N5" s="328"/>
      <c r="O5" s="329"/>
      <c r="P5" s="4"/>
      <c r="S5" s="12">
        <f t="shared" ref="S5:S12" si="3">HOUR(K5)</f>
        <v>0</v>
      </c>
      <c r="T5" s="12">
        <f t="shared" ref="T5:T12" si="4">MINUTE(K5)</f>
        <v>0</v>
      </c>
      <c r="U5" s="621">
        <f>+(S5*60)+T5</f>
        <v>0</v>
      </c>
      <c r="W5" s="11"/>
    </row>
    <row r="6" spans="1:29" ht="20.100000000000001" customHeight="1" x14ac:dyDescent="0.25">
      <c r="A6" s="6">
        <v>2</v>
      </c>
      <c r="B6" s="323"/>
      <c r="C6" s="324"/>
      <c r="D6" s="324"/>
      <c r="E6" s="324"/>
      <c r="F6" s="63">
        <f t="shared" ref="F6:F11" si="5">SUM(B6:E6)</f>
        <v>0</v>
      </c>
      <c r="G6" s="63">
        <f>+((B6*Setup_and_Criteria!$F$13)+(C6*Setup_and_Criteria!$F$15)+(D6*Setup_and_Criteria!$F$14)+(E6*Setup_and_Criteria!$F$16))</f>
        <v>0</v>
      </c>
      <c r="H6" s="63">
        <f t="shared" ref="H6:H11" si="6">+U6</f>
        <v>0</v>
      </c>
      <c r="I6" s="65">
        <f t="shared" si="0"/>
        <v>0</v>
      </c>
      <c r="J6" s="67">
        <f t="shared" si="1"/>
        <v>0</v>
      </c>
      <c r="K6" s="61">
        <f t="shared" si="2"/>
        <v>0</v>
      </c>
      <c r="L6" s="327"/>
      <c r="M6" s="328"/>
      <c r="N6" s="328"/>
      <c r="O6" s="329"/>
      <c r="P6" s="3"/>
      <c r="Q6" s="7"/>
      <c r="S6" s="12">
        <f t="shared" si="3"/>
        <v>0</v>
      </c>
      <c r="T6" s="12">
        <f t="shared" si="4"/>
        <v>0</v>
      </c>
      <c r="U6" s="621">
        <f t="shared" ref="U6:U12" si="7">+(S6*60)+T6</f>
        <v>0</v>
      </c>
    </row>
    <row r="7" spans="1:29" ht="20.100000000000001" customHeight="1" x14ac:dyDescent="0.25">
      <c r="A7" s="6">
        <v>3</v>
      </c>
      <c r="B7" s="323"/>
      <c r="C7" s="324"/>
      <c r="D7" s="324"/>
      <c r="E7" s="324"/>
      <c r="F7" s="63">
        <f t="shared" si="5"/>
        <v>0</v>
      </c>
      <c r="G7" s="63">
        <f>+((B7*Setup_and_Criteria!$F$13)+(C7*Setup_and_Criteria!$F$15)+(D7*Setup_and_Criteria!$F$14)+(E7*Setup_and_Criteria!$F$16))</f>
        <v>0</v>
      </c>
      <c r="H7" s="63">
        <f t="shared" si="6"/>
        <v>0</v>
      </c>
      <c r="I7" s="65">
        <f t="shared" si="0"/>
        <v>0</v>
      </c>
      <c r="J7" s="67">
        <f t="shared" si="1"/>
        <v>0</v>
      </c>
      <c r="K7" s="61">
        <f t="shared" si="2"/>
        <v>0</v>
      </c>
      <c r="L7" s="327"/>
      <c r="M7" s="328"/>
      <c r="N7" s="328"/>
      <c r="O7" s="330"/>
      <c r="P7" s="19"/>
      <c r="S7" s="12">
        <f t="shared" si="3"/>
        <v>0</v>
      </c>
      <c r="T7" s="12">
        <f t="shared" si="4"/>
        <v>0</v>
      </c>
      <c r="U7" s="621">
        <f t="shared" si="7"/>
        <v>0</v>
      </c>
    </row>
    <row r="8" spans="1:29" ht="20.100000000000001" customHeight="1" x14ac:dyDescent="0.25">
      <c r="A8" s="6">
        <v>4</v>
      </c>
      <c r="B8" s="323"/>
      <c r="C8" s="324"/>
      <c r="D8" s="324"/>
      <c r="E8" s="324"/>
      <c r="F8" s="63">
        <f t="shared" si="5"/>
        <v>0</v>
      </c>
      <c r="G8" s="63">
        <f>+((B8*Setup_and_Criteria!$F$13)+(C8*Setup_and_Criteria!$F$15)+(D8*Setup_and_Criteria!$F$14)+(E8*Setup_and_Criteria!$F$16))</f>
        <v>0</v>
      </c>
      <c r="H8" s="63">
        <f t="shared" si="6"/>
        <v>0</v>
      </c>
      <c r="I8" s="65">
        <f t="shared" si="0"/>
        <v>0</v>
      </c>
      <c r="J8" s="67">
        <f t="shared" si="1"/>
        <v>0</v>
      </c>
      <c r="K8" s="61">
        <f t="shared" si="2"/>
        <v>0</v>
      </c>
      <c r="L8" s="327"/>
      <c r="M8" s="328"/>
      <c r="N8" s="328"/>
      <c r="O8" s="330"/>
      <c r="P8" s="9"/>
      <c r="S8" s="12">
        <f t="shared" si="3"/>
        <v>0</v>
      </c>
      <c r="T8" s="12">
        <f t="shared" si="4"/>
        <v>0</v>
      </c>
      <c r="U8" s="621">
        <f t="shared" si="7"/>
        <v>0</v>
      </c>
    </row>
    <row r="9" spans="1:29" ht="20.100000000000001" customHeight="1" x14ac:dyDescent="0.4">
      <c r="A9" s="6">
        <v>5</v>
      </c>
      <c r="B9" s="323"/>
      <c r="C9" s="324"/>
      <c r="D9" s="324"/>
      <c r="E9" s="324"/>
      <c r="F9" s="63">
        <f t="shared" si="5"/>
        <v>0</v>
      </c>
      <c r="G9" s="63">
        <f>+((B9*Setup_and_Criteria!$F$13)+(C9*Setup_and_Criteria!$F$15)+(D9*Setup_and_Criteria!$F$14)+(E9*Setup_and_Criteria!$F$16))</f>
        <v>0</v>
      </c>
      <c r="H9" s="63">
        <f t="shared" si="6"/>
        <v>0</v>
      </c>
      <c r="I9" s="65">
        <f t="shared" si="0"/>
        <v>0</v>
      </c>
      <c r="J9" s="67">
        <f t="shared" si="1"/>
        <v>0</v>
      </c>
      <c r="K9" s="61">
        <f t="shared" si="2"/>
        <v>0</v>
      </c>
      <c r="L9" s="327"/>
      <c r="M9" s="328"/>
      <c r="N9" s="328"/>
      <c r="O9" s="330"/>
      <c r="P9" s="9"/>
      <c r="S9" s="12">
        <f t="shared" si="3"/>
        <v>0</v>
      </c>
      <c r="T9" s="12">
        <f t="shared" si="4"/>
        <v>0</v>
      </c>
      <c r="U9" s="621">
        <f t="shared" si="7"/>
        <v>0</v>
      </c>
      <c r="X9" s="268"/>
      <c r="Y9" s="268"/>
      <c r="Z9" s="268"/>
      <c r="AA9" s="268"/>
      <c r="AB9" s="268"/>
      <c r="AC9" s="268"/>
    </row>
    <row r="10" spans="1:29" ht="20.100000000000001" customHeight="1" x14ac:dyDescent="0.4">
      <c r="A10" s="6">
        <v>6</v>
      </c>
      <c r="B10" s="323"/>
      <c r="C10" s="324"/>
      <c r="D10" s="324"/>
      <c r="E10" s="324"/>
      <c r="F10" s="63">
        <f t="shared" si="5"/>
        <v>0</v>
      </c>
      <c r="G10" s="63">
        <f>+((B10*Setup_and_Criteria!$F$13)+(C10*Setup_and_Criteria!$F$15)+(D10*Setup_and_Criteria!$F$14)+(E10*Setup_and_Criteria!$F$16))</f>
        <v>0</v>
      </c>
      <c r="H10" s="63">
        <f t="shared" si="6"/>
        <v>0</v>
      </c>
      <c r="I10" s="65">
        <f t="shared" si="0"/>
        <v>0</v>
      </c>
      <c r="J10" s="67">
        <f t="shared" si="1"/>
        <v>0</v>
      </c>
      <c r="K10" s="61">
        <f t="shared" si="2"/>
        <v>0</v>
      </c>
      <c r="L10" s="327"/>
      <c r="M10" s="328"/>
      <c r="N10" s="328"/>
      <c r="O10" s="330"/>
      <c r="P10" s="9"/>
      <c r="S10" s="12">
        <f t="shared" si="3"/>
        <v>0</v>
      </c>
      <c r="T10" s="12">
        <f t="shared" si="4"/>
        <v>0</v>
      </c>
      <c r="U10" s="621">
        <f t="shared" si="7"/>
        <v>0</v>
      </c>
      <c r="V10" t="s">
        <v>42</v>
      </c>
      <c r="X10" s="268"/>
      <c r="Y10" s="268"/>
      <c r="Z10" s="268"/>
      <c r="AA10" s="268"/>
      <c r="AB10" s="268"/>
      <c r="AC10" s="268"/>
    </row>
    <row r="11" spans="1:29" ht="20.100000000000001" customHeight="1" thickBot="1" x14ac:dyDescent="0.45">
      <c r="A11" s="6">
        <v>7</v>
      </c>
      <c r="B11" s="325"/>
      <c r="C11" s="326"/>
      <c r="D11" s="326"/>
      <c r="E11" s="326"/>
      <c r="F11" s="63">
        <f t="shared" si="5"/>
        <v>0</v>
      </c>
      <c r="G11" s="69">
        <f>+((B11*Setup_and_Criteria!$F$13)+(C11*Setup_and_Criteria!$F$15)+(D11*Setup_and_Criteria!$F$14)+(E11*Setup_and_Criteria!$F$16))</f>
        <v>0</v>
      </c>
      <c r="H11" s="69">
        <f t="shared" si="6"/>
        <v>0</v>
      </c>
      <c r="I11" s="70">
        <f t="shared" si="0"/>
        <v>0</v>
      </c>
      <c r="J11" s="71">
        <f t="shared" si="1"/>
        <v>0</v>
      </c>
      <c r="K11" s="62">
        <f t="shared" si="2"/>
        <v>0</v>
      </c>
      <c r="L11" s="331"/>
      <c r="M11" s="332"/>
      <c r="N11" s="332"/>
      <c r="O11" s="333"/>
      <c r="P11" s="9"/>
      <c r="S11" s="12">
        <f t="shared" si="3"/>
        <v>0</v>
      </c>
      <c r="T11" s="12">
        <f t="shared" si="4"/>
        <v>0</v>
      </c>
      <c r="U11" s="621">
        <f t="shared" si="7"/>
        <v>0</v>
      </c>
      <c r="X11" s="268"/>
      <c r="Y11" s="268"/>
      <c r="Z11" s="268"/>
      <c r="AA11" s="268"/>
      <c r="AB11" s="268"/>
      <c r="AC11" s="268"/>
    </row>
    <row r="12" spans="1:29" ht="33" thickTop="1" thickBot="1" x14ac:dyDescent="0.45">
      <c r="A12" s="25"/>
      <c r="B12" s="76" t="s">
        <v>212</v>
      </c>
      <c r="C12" s="76"/>
      <c r="D12" s="76"/>
      <c r="E12" s="60" t="e">
        <f>+H12/(F5+F6+F7+F8+F9+F10+F11)</f>
        <v>#DIV/0!</v>
      </c>
      <c r="F12" s="28">
        <f t="shared" ref="F12:K12" si="8">SUM(F5:F11)</f>
        <v>0</v>
      </c>
      <c r="G12" s="26">
        <f t="shared" si="8"/>
        <v>0</v>
      </c>
      <c r="H12" s="26">
        <f t="shared" si="8"/>
        <v>0</v>
      </c>
      <c r="I12" s="26">
        <f t="shared" si="8"/>
        <v>0</v>
      </c>
      <c r="J12" s="27">
        <f t="shared" si="8"/>
        <v>0</v>
      </c>
      <c r="K12" s="46">
        <f t="shared" si="8"/>
        <v>0</v>
      </c>
      <c r="L12" s="991" t="s">
        <v>213</v>
      </c>
      <c r="M12" s="992"/>
      <c r="N12" s="992"/>
      <c r="O12" s="993"/>
      <c r="P12" s="9"/>
      <c r="S12" s="12">
        <f t="shared" si="3"/>
        <v>0</v>
      </c>
      <c r="T12" s="12">
        <f t="shared" si="4"/>
        <v>0</v>
      </c>
      <c r="U12" s="621">
        <f t="shared" si="7"/>
        <v>0</v>
      </c>
      <c r="X12" s="268"/>
      <c r="Y12" s="268"/>
      <c r="Z12" s="268"/>
      <c r="AA12" s="268"/>
      <c r="AB12" s="268"/>
      <c r="AC12" s="268"/>
    </row>
    <row r="13" spans="1:29" ht="22.5" customHeight="1" thickBot="1" x14ac:dyDescent="0.45">
      <c r="A13" s="987" t="s">
        <v>214</v>
      </c>
      <c r="B13" s="985"/>
      <c r="C13" s="985"/>
      <c r="D13" s="985"/>
      <c r="E13" s="985"/>
      <c r="F13" s="985"/>
      <c r="G13" s="985"/>
      <c r="H13" s="985"/>
      <c r="I13" s="985"/>
      <c r="J13" s="985"/>
      <c r="K13" s="985"/>
      <c r="L13" s="988" t="s">
        <v>215</v>
      </c>
      <c r="M13" s="988"/>
      <c r="N13" s="988"/>
      <c r="O13" s="989"/>
      <c r="P13" s="9"/>
      <c r="X13" s="268"/>
      <c r="Y13" s="268"/>
      <c r="Z13" s="268"/>
      <c r="AA13" s="268"/>
      <c r="AB13" s="268"/>
      <c r="AC13" s="268"/>
    </row>
    <row r="14" spans="1:29" ht="31.5" x14ac:dyDescent="0.4">
      <c r="A14" s="301" t="str">
        <f>+Setup_and_Criteria!$J$6</f>
        <v>Q2</v>
      </c>
      <c r="B14" s="31" t="str">
        <f>+Corrections!$C$8</f>
        <v>Vanity</v>
      </c>
      <c r="C14" s="31" t="str">
        <f>+Corrections!$I$8</f>
        <v>Toilet</v>
      </c>
      <c r="D14" s="32" t="str">
        <f>+Corrections!$O$8</f>
        <v>Bed/Pillows</v>
      </c>
      <c r="E14" s="31" t="str">
        <f>+Corrections!$U$8</f>
        <v>Floor</v>
      </c>
      <c r="F14" s="33" t="str">
        <f>+Corrections!$AA$8</f>
        <v>Dusting</v>
      </c>
      <c r="G14" s="33" t="str">
        <f>+Corrections!$AG$8</f>
        <v>Fridge/Micro</v>
      </c>
      <c r="H14" s="33" t="str">
        <f>+Corrections!$AM$8</f>
        <v>Tub</v>
      </c>
      <c r="I14" s="33" t="str">
        <f>+Corrections!$AS$8</f>
        <v>Mirrors/Glass</v>
      </c>
      <c r="J14" s="34" t="str">
        <f>+Corrections!$AY$8</f>
        <v>Stocking</v>
      </c>
      <c r="K14" s="35" t="str">
        <f>+Corrections!$BE$8</f>
        <v>Other</v>
      </c>
      <c r="L14" s="37" t="s">
        <v>216</v>
      </c>
      <c r="M14" s="59" t="s">
        <v>217</v>
      </c>
      <c r="N14" s="5"/>
      <c r="O14" s="72"/>
      <c r="P14" s="9"/>
      <c r="X14" s="268"/>
      <c r="Y14" s="268"/>
      <c r="Z14" s="268"/>
      <c r="AA14" s="268"/>
      <c r="AB14" s="268"/>
      <c r="AC14" s="268"/>
    </row>
    <row r="15" spans="1:29" ht="21.95" customHeight="1" x14ac:dyDescent="0.4">
      <c r="A15" s="6">
        <v>1</v>
      </c>
      <c r="B15" s="47"/>
      <c r="C15" s="47"/>
      <c r="D15" s="47"/>
      <c r="E15" s="48"/>
      <c r="F15" s="49"/>
      <c r="G15" s="49"/>
      <c r="H15" s="50"/>
      <c r="I15" s="51"/>
      <c r="J15" s="49"/>
      <c r="K15" s="52"/>
      <c r="L15" s="43">
        <f>SUM(B15:K15)</f>
        <v>0</v>
      </c>
      <c r="M15" s="39" t="e">
        <f t="shared" ref="M15:M21" si="9">+L15/(B5+C5+D5)</f>
        <v>#DIV/0!</v>
      </c>
      <c r="N15" s="5"/>
      <c r="O15" s="72"/>
      <c r="P15" s="9"/>
      <c r="X15" s="268"/>
      <c r="Y15" s="268"/>
      <c r="Z15" s="268"/>
      <c r="AA15" s="268"/>
      <c r="AB15" s="268"/>
      <c r="AC15" s="268"/>
    </row>
    <row r="16" spans="1:29" ht="21.95" customHeight="1" x14ac:dyDescent="0.4">
      <c r="A16" s="6">
        <v>2</v>
      </c>
      <c r="B16" s="50"/>
      <c r="C16" s="49"/>
      <c r="D16" s="49"/>
      <c r="E16" s="49"/>
      <c r="F16" s="49"/>
      <c r="G16" s="49"/>
      <c r="H16" s="49"/>
      <c r="I16" s="51"/>
      <c r="J16" s="49"/>
      <c r="K16" s="52"/>
      <c r="L16" s="43">
        <f t="shared" ref="L16:L21" si="10">SUM(B16:K16)</f>
        <v>0</v>
      </c>
      <c r="M16" s="39" t="e">
        <f t="shared" si="9"/>
        <v>#DIV/0!</v>
      </c>
      <c r="N16" s="5"/>
      <c r="O16" s="72"/>
      <c r="P16" s="9"/>
      <c r="X16" s="268"/>
      <c r="Y16" s="268"/>
      <c r="Z16" s="268"/>
      <c r="AA16" s="268"/>
      <c r="AB16" s="268"/>
      <c r="AC16" s="268"/>
    </row>
    <row r="17" spans="1:29" ht="21.95" customHeight="1" x14ac:dyDescent="0.4">
      <c r="A17" s="6">
        <v>3</v>
      </c>
      <c r="B17" s="50"/>
      <c r="C17" s="49"/>
      <c r="D17" s="49"/>
      <c r="E17" s="49"/>
      <c r="F17" s="49"/>
      <c r="G17" s="49"/>
      <c r="H17" s="49"/>
      <c r="I17" s="51"/>
      <c r="J17" s="49"/>
      <c r="K17" s="52"/>
      <c r="L17" s="43">
        <f t="shared" si="10"/>
        <v>0</v>
      </c>
      <c r="M17" s="39" t="e">
        <f t="shared" si="9"/>
        <v>#DIV/0!</v>
      </c>
      <c r="N17" s="5"/>
      <c r="O17" s="72"/>
      <c r="P17" s="9"/>
      <c r="X17" s="268"/>
      <c r="Y17" s="268"/>
      <c r="Z17" s="268"/>
      <c r="AA17" s="268"/>
      <c r="AB17" s="268"/>
      <c r="AC17" s="268"/>
    </row>
    <row r="18" spans="1:29" ht="21.95" customHeight="1" x14ac:dyDescent="0.4">
      <c r="A18" s="6">
        <v>4</v>
      </c>
      <c r="B18" s="50"/>
      <c r="C18" s="49"/>
      <c r="D18" s="49"/>
      <c r="E18" s="49"/>
      <c r="F18" s="49"/>
      <c r="G18" s="49"/>
      <c r="H18" s="49"/>
      <c r="I18" s="51"/>
      <c r="J18" s="49"/>
      <c r="K18" s="52"/>
      <c r="L18" s="43">
        <f t="shared" si="10"/>
        <v>0</v>
      </c>
      <c r="M18" s="39" t="e">
        <f t="shared" si="9"/>
        <v>#DIV/0!</v>
      </c>
      <c r="N18" s="5"/>
      <c r="O18" s="72"/>
      <c r="P18" s="9"/>
      <c r="X18" s="268"/>
      <c r="Y18" s="268"/>
      <c r="Z18" s="268"/>
      <c r="AA18" s="268"/>
      <c r="AB18" s="268"/>
      <c r="AC18" s="268"/>
    </row>
    <row r="19" spans="1:29" ht="21.95" customHeight="1" x14ac:dyDescent="0.25">
      <c r="A19" s="6">
        <v>5</v>
      </c>
      <c r="B19" s="50"/>
      <c r="C19" s="49"/>
      <c r="D19" s="49"/>
      <c r="E19" s="49"/>
      <c r="F19" s="49"/>
      <c r="G19" s="49"/>
      <c r="H19" s="49"/>
      <c r="I19" s="51"/>
      <c r="J19" s="49"/>
      <c r="K19" s="52"/>
      <c r="L19" s="43">
        <f t="shared" si="10"/>
        <v>0</v>
      </c>
      <c r="M19" s="39" t="e">
        <f t="shared" si="9"/>
        <v>#DIV/0!</v>
      </c>
      <c r="N19" s="5"/>
      <c r="O19" s="72"/>
      <c r="P19" s="9"/>
    </row>
    <row r="20" spans="1:29" ht="21.95" customHeight="1" x14ac:dyDescent="0.25">
      <c r="A20" s="6">
        <v>6</v>
      </c>
      <c r="B20" s="50"/>
      <c r="C20" s="49"/>
      <c r="D20" s="49"/>
      <c r="E20" s="49"/>
      <c r="F20" s="49"/>
      <c r="G20" s="49"/>
      <c r="H20" s="49"/>
      <c r="I20" s="51"/>
      <c r="J20" s="49"/>
      <c r="K20" s="52"/>
      <c r="L20" s="43">
        <f t="shared" si="10"/>
        <v>0</v>
      </c>
      <c r="M20" s="39" t="e">
        <f t="shared" si="9"/>
        <v>#DIV/0!</v>
      </c>
      <c r="N20" s="5"/>
      <c r="O20" s="72"/>
      <c r="P20" s="9"/>
    </row>
    <row r="21" spans="1:29" ht="21.95" customHeight="1" thickBot="1" x14ac:dyDescent="0.3">
      <c r="A21" s="6">
        <v>7</v>
      </c>
      <c r="B21" s="53"/>
      <c r="C21" s="54"/>
      <c r="D21" s="54"/>
      <c r="E21" s="54"/>
      <c r="F21" s="54"/>
      <c r="G21" s="54"/>
      <c r="H21" s="54"/>
      <c r="I21" s="55"/>
      <c r="J21" s="54"/>
      <c r="K21" s="56"/>
      <c r="L21" s="44">
        <f t="shared" si="10"/>
        <v>0</v>
      </c>
      <c r="M21" s="40" t="e">
        <f t="shared" si="9"/>
        <v>#DIV/0!</v>
      </c>
      <c r="N21" s="5"/>
      <c r="O21" s="72"/>
      <c r="P21" s="9"/>
    </row>
    <row r="22" spans="1:29" ht="21.95" customHeight="1" thickTop="1" thickBot="1" x14ac:dyDescent="0.3">
      <c r="A22" s="25"/>
      <c r="B22" s="38">
        <f>SUM(B15:B21)</f>
        <v>0</v>
      </c>
      <c r="C22" s="38">
        <f t="shared" ref="C22:K22" si="11">SUM(C15:C21)</f>
        <v>0</v>
      </c>
      <c r="D22" s="38">
        <f t="shared" si="11"/>
        <v>0</v>
      </c>
      <c r="E22" s="36">
        <f t="shared" si="11"/>
        <v>0</v>
      </c>
      <c r="F22" s="36">
        <f t="shared" si="11"/>
        <v>0</v>
      </c>
      <c r="G22" s="36">
        <f t="shared" si="11"/>
        <v>0</v>
      </c>
      <c r="H22" s="36">
        <f t="shared" si="11"/>
        <v>0</v>
      </c>
      <c r="I22" s="36">
        <f t="shared" si="11"/>
        <v>0</v>
      </c>
      <c r="J22" s="36">
        <f t="shared" si="11"/>
        <v>0</v>
      </c>
      <c r="K22" s="41">
        <f t="shared" si="11"/>
        <v>0</v>
      </c>
      <c r="L22" s="45">
        <f>SUM(L15:L21)</f>
        <v>0</v>
      </c>
      <c r="M22" s="42" t="e">
        <f>+L22/(F12)</f>
        <v>#DIV/0!</v>
      </c>
      <c r="N22" s="73"/>
      <c r="O22" s="74"/>
      <c r="P22" s="9"/>
    </row>
    <row r="23" spans="1:29" ht="28.5" customHeight="1" thickBot="1" x14ac:dyDescent="0.3">
      <c r="A23" s="986" t="s">
        <v>198</v>
      </c>
      <c r="B23" s="986"/>
      <c r="C23" s="986"/>
      <c r="D23" s="986"/>
      <c r="E23" s="986"/>
      <c r="F23" s="986"/>
      <c r="G23" s="986"/>
      <c r="H23" s="986"/>
      <c r="I23" s="986"/>
      <c r="J23" s="986"/>
      <c r="K23" s="986"/>
      <c r="L23" s="986"/>
      <c r="M23" s="986"/>
      <c r="N23" s="986"/>
      <c r="O23" s="986"/>
      <c r="P23" s="9"/>
    </row>
    <row r="24" spans="1:29" ht="27.75" customHeight="1" thickBot="1" x14ac:dyDescent="0.4">
      <c r="A24" s="302" t="s">
        <v>199</v>
      </c>
      <c r="B24" s="998" t="str">
        <f ca="1">+B2</f>
        <v>TeamMember 2</v>
      </c>
      <c r="C24" s="999"/>
      <c r="D24" s="999"/>
      <c r="E24" s="999"/>
      <c r="F24" s="1000"/>
      <c r="G24" s="262"/>
      <c r="H24" s="996"/>
      <c r="I24" s="996"/>
      <c r="J24" s="997"/>
      <c r="K24" s="997"/>
      <c r="L24" s="1002" t="s">
        <v>71</v>
      </c>
      <c r="M24" s="1003"/>
      <c r="N24" s="1003"/>
      <c r="O24" s="1004"/>
      <c r="P24" s="9"/>
    </row>
    <row r="25" spans="1:29" ht="51" x14ac:dyDescent="0.25">
      <c r="A25" s="301" t="str">
        <f>+Setup_and_Criteria!$J$6</f>
        <v>Q2</v>
      </c>
      <c r="B25" s="633" t="s">
        <v>200</v>
      </c>
      <c r="C25" s="298" t="s">
        <v>201</v>
      </c>
      <c r="D25" s="633" t="s">
        <v>202</v>
      </c>
      <c r="E25" s="303" t="s">
        <v>203</v>
      </c>
      <c r="F25" s="299" t="s">
        <v>204</v>
      </c>
      <c r="G25" s="298" t="s">
        <v>137</v>
      </c>
      <c r="H25" s="298" t="s">
        <v>138</v>
      </c>
      <c r="I25" s="298" t="s">
        <v>205</v>
      </c>
      <c r="J25" s="299" t="s">
        <v>206</v>
      </c>
      <c r="K25" s="300" t="s">
        <v>207</v>
      </c>
      <c r="L25" s="57" t="s">
        <v>208</v>
      </c>
      <c r="M25" s="29" t="s">
        <v>209</v>
      </c>
      <c r="N25" s="29" t="s">
        <v>210</v>
      </c>
      <c r="O25" s="30" t="s">
        <v>211</v>
      </c>
      <c r="P25" s="9"/>
    </row>
    <row r="26" spans="1:29" ht="20.100000000000001" hidden="1" customHeight="1" x14ac:dyDescent="0.35">
      <c r="A26" s="23"/>
      <c r="B26" s="13">
        <v>30</v>
      </c>
      <c r="C26" s="13">
        <v>45</v>
      </c>
      <c r="D26" s="13">
        <v>20</v>
      </c>
      <c r="E26" s="13">
        <v>0</v>
      </c>
      <c r="F26" s="14"/>
      <c r="G26" s="15"/>
      <c r="H26" s="15"/>
      <c r="I26" s="15"/>
      <c r="J26" s="16"/>
      <c r="K26" s="24"/>
      <c r="L26" s="58"/>
      <c r="O26" s="24"/>
      <c r="P26" s="9"/>
    </row>
    <row r="27" spans="1:29" ht="20.100000000000001" customHeight="1" x14ac:dyDescent="0.25">
      <c r="A27" s="6">
        <v>8</v>
      </c>
      <c r="B27" s="321"/>
      <c r="C27" s="321"/>
      <c r="D27" s="321"/>
      <c r="E27" s="322"/>
      <c r="F27" s="63">
        <f>SUM(B27:E27)</f>
        <v>0</v>
      </c>
      <c r="G27" s="63">
        <f>+((B27*Setup_and_Criteria!$F$13)+(C27*Setup_and_Criteria!$F$15)+(D27*Setup_and_Criteria!$F$14)+(E27*Setup_and_Criteria!$F$16))</f>
        <v>0</v>
      </c>
      <c r="H27" s="64">
        <f>+U27</f>
        <v>0</v>
      </c>
      <c r="I27" s="65">
        <f t="shared" ref="I27:I33" si="12">+G27-U27</f>
        <v>0</v>
      </c>
      <c r="J27" s="66">
        <f t="shared" ref="J27:J33" si="13">+G27/60</f>
        <v>0</v>
      </c>
      <c r="K27" s="61">
        <f t="shared" ref="K27:K33" si="14">+(M27-L27)+(O27-N27)</f>
        <v>0</v>
      </c>
      <c r="L27" s="327"/>
      <c r="M27" s="328"/>
      <c r="N27" s="328"/>
      <c r="O27" s="329"/>
      <c r="P27" s="9"/>
      <c r="S27" s="12">
        <f t="shared" ref="S27:S34" si="15">HOUR(K27)</f>
        <v>0</v>
      </c>
      <c r="T27" s="12">
        <f t="shared" ref="T27:T34" si="16">MINUTE(K27)</f>
        <v>0</v>
      </c>
      <c r="U27" s="621">
        <f>+(S27*60)+T27</f>
        <v>0</v>
      </c>
    </row>
    <row r="28" spans="1:29" ht="20.100000000000001" customHeight="1" x14ac:dyDescent="0.25">
      <c r="A28" s="6">
        <v>9</v>
      </c>
      <c r="B28" s="323"/>
      <c r="C28" s="324"/>
      <c r="D28" s="324"/>
      <c r="E28" s="324"/>
      <c r="F28" s="63">
        <f t="shared" ref="F28:F33" si="17">SUM(B28:E28)</f>
        <v>0</v>
      </c>
      <c r="G28" s="63">
        <f>+((B28*Setup_and_Criteria!$F$13)+(C28*Setup_and_Criteria!$F$15)+(D28*Setup_and_Criteria!$F$14)+(E28*Setup_and_Criteria!$F$16))</f>
        <v>0</v>
      </c>
      <c r="H28" s="63">
        <f t="shared" ref="H28:H33" si="18">+U28</f>
        <v>0</v>
      </c>
      <c r="I28" s="65">
        <f t="shared" si="12"/>
        <v>0</v>
      </c>
      <c r="J28" s="67">
        <f t="shared" si="13"/>
        <v>0</v>
      </c>
      <c r="K28" s="61">
        <f t="shared" si="14"/>
        <v>0</v>
      </c>
      <c r="L28" s="327"/>
      <c r="M28" s="328"/>
      <c r="N28" s="328"/>
      <c r="O28" s="329"/>
      <c r="P28" s="9"/>
      <c r="S28" s="12">
        <f t="shared" si="15"/>
        <v>0</v>
      </c>
      <c r="T28" s="12">
        <f t="shared" si="16"/>
        <v>0</v>
      </c>
      <c r="U28" s="621">
        <f t="shared" ref="U28:U34" si="19">+(S28*60)+T28</f>
        <v>0</v>
      </c>
    </row>
    <row r="29" spans="1:29" ht="20.100000000000001" customHeight="1" x14ac:dyDescent="0.25">
      <c r="A29" s="6">
        <v>10</v>
      </c>
      <c r="B29" s="323"/>
      <c r="C29" s="324"/>
      <c r="D29" s="324"/>
      <c r="E29" s="324"/>
      <c r="F29" s="63">
        <f t="shared" si="17"/>
        <v>0</v>
      </c>
      <c r="G29" s="63">
        <f>+((B29*Setup_and_Criteria!$F$13)+(C29*Setup_and_Criteria!$F$15)+(D29*Setup_and_Criteria!$F$14)+(E29*Setup_and_Criteria!$F$16))</f>
        <v>0</v>
      </c>
      <c r="H29" s="63">
        <f t="shared" si="18"/>
        <v>0</v>
      </c>
      <c r="I29" s="65">
        <f t="shared" si="12"/>
        <v>0</v>
      </c>
      <c r="J29" s="67">
        <f t="shared" si="13"/>
        <v>0</v>
      </c>
      <c r="K29" s="61">
        <f t="shared" si="14"/>
        <v>0</v>
      </c>
      <c r="L29" s="327"/>
      <c r="M29" s="328"/>
      <c r="N29" s="328"/>
      <c r="O29" s="330"/>
      <c r="P29" s="9"/>
      <c r="S29" s="12">
        <f t="shared" si="15"/>
        <v>0</v>
      </c>
      <c r="T29" s="12">
        <f t="shared" si="16"/>
        <v>0</v>
      </c>
      <c r="U29" s="621">
        <f t="shared" si="19"/>
        <v>0</v>
      </c>
    </row>
    <row r="30" spans="1:29" ht="20.100000000000001" customHeight="1" x14ac:dyDescent="0.25">
      <c r="A30" s="6">
        <v>11</v>
      </c>
      <c r="B30" s="323"/>
      <c r="C30" s="324"/>
      <c r="D30" s="324"/>
      <c r="E30" s="324"/>
      <c r="F30" s="63">
        <f t="shared" si="17"/>
        <v>0</v>
      </c>
      <c r="G30" s="63">
        <f>+((B30*Setup_and_Criteria!$F$13)+(C30*Setup_and_Criteria!$F$15)+(D30*Setup_and_Criteria!$F$14)+(E30*Setup_and_Criteria!$F$16))</f>
        <v>0</v>
      </c>
      <c r="H30" s="63">
        <f t="shared" si="18"/>
        <v>0</v>
      </c>
      <c r="I30" s="65">
        <f t="shared" si="12"/>
        <v>0</v>
      </c>
      <c r="J30" s="67">
        <f t="shared" si="13"/>
        <v>0</v>
      </c>
      <c r="K30" s="61">
        <f t="shared" si="14"/>
        <v>0</v>
      </c>
      <c r="L30" s="327"/>
      <c r="M30" s="328"/>
      <c r="N30" s="328"/>
      <c r="O30" s="330"/>
      <c r="P30" s="9"/>
      <c r="S30" s="12">
        <f t="shared" si="15"/>
        <v>0</v>
      </c>
      <c r="T30" s="12">
        <f t="shared" si="16"/>
        <v>0</v>
      </c>
      <c r="U30" s="621">
        <f t="shared" si="19"/>
        <v>0</v>
      </c>
    </row>
    <row r="31" spans="1:29" ht="20.100000000000001" customHeight="1" x14ac:dyDescent="0.25">
      <c r="A31" s="6">
        <v>12</v>
      </c>
      <c r="B31" s="323"/>
      <c r="C31" s="324"/>
      <c r="D31" s="324"/>
      <c r="E31" s="324"/>
      <c r="F31" s="63">
        <f t="shared" si="17"/>
        <v>0</v>
      </c>
      <c r="G31" s="63">
        <f>+((B31*Setup_and_Criteria!$F$13)+(C31*Setup_and_Criteria!$F$15)+(D31*Setup_and_Criteria!$F$14)+(E31*Setup_and_Criteria!$F$16))</f>
        <v>0</v>
      </c>
      <c r="H31" s="63">
        <f t="shared" si="18"/>
        <v>0</v>
      </c>
      <c r="I31" s="65">
        <f t="shared" si="12"/>
        <v>0</v>
      </c>
      <c r="J31" s="67">
        <f t="shared" si="13"/>
        <v>0</v>
      </c>
      <c r="K31" s="61">
        <f t="shared" si="14"/>
        <v>0</v>
      </c>
      <c r="L31" s="327"/>
      <c r="M31" s="328"/>
      <c r="N31" s="328"/>
      <c r="O31" s="330"/>
      <c r="P31" s="9"/>
      <c r="S31" s="12">
        <f t="shared" si="15"/>
        <v>0</v>
      </c>
      <c r="T31" s="12">
        <f t="shared" si="16"/>
        <v>0</v>
      </c>
      <c r="U31" s="621">
        <f t="shared" si="19"/>
        <v>0</v>
      </c>
    </row>
    <row r="32" spans="1:29" ht="20.100000000000001" customHeight="1" x14ac:dyDescent="0.25">
      <c r="A32" s="6">
        <v>13</v>
      </c>
      <c r="B32" s="323"/>
      <c r="C32" s="324"/>
      <c r="D32" s="324"/>
      <c r="E32" s="324"/>
      <c r="F32" s="63">
        <f t="shared" si="17"/>
        <v>0</v>
      </c>
      <c r="G32" s="63">
        <f>+((B32*Setup_and_Criteria!$F$13)+(C32*Setup_and_Criteria!$F$15)+(D32*Setup_and_Criteria!$F$14)+(E32*Setup_and_Criteria!$F$16))</f>
        <v>0</v>
      </c>
      <c r="H32" s="63">
        <f t="shared" si="18"/>
        <v>0</v>
      </c>
      <c r="I32" s="65">
        <f t="shared" si="12"/>
        <v>0</v>
      </c>
      <c r="J32" s="67">
        <f t="shared" si="13"/>
        <v>0</v>
      </c>
      <c r="K32" s="61">
        <f t="shared" si="14"/>
        <v>0</v>
      </c>
      <c r="L32" s="327"/>
      <c r="M32" s="328"/>
      <c r="N32" s="328"/>
      <c r="O32" s="330"/>
      <c r="P32" s="9"/>
      <c r="S32" s="12">
        <f t="shared" si="15"/>
        <v>0</v>
      </c>
      <c r="T32" s="12">
        <f t="shared" si="16"/>
        <v>0</v>
      </c>
      <c r="U32" s="621">
        <f t="shared" si="19"/>
        <v>0</v>
      </c>
    </row>
    <row r="33" spans="1:21" ht="20.100000000000001" customHeight="1" thickBot="1" x14ac:dyDescent="0.3">
      <c r="A33" s="6">
        <v>14</v>
      </c>
      <c r="B33" s="325"/>
      <c r="C33" s="326"/>
      <c r="D33" s="326"/>
      <c r="E33" s="326"/>
      <c r="F33" s="68">
        <f t="shared" si="17"/>
        <v>0</v>
      </c>
      <c r="G33" s="69">
        <f>+((B33*Setup_and_Criteria!$F$13)+(C33*Setup_and_Criteria!$F$15)+(D33*Setup_and_Criteria!$F$14)+(E33*Setup_and_Criteria!$F$16))</f>
        <v>0</v>
      </c>
      <c r="H33" s="69">
        <f t="shared" si="18"/>
        <v>0</v>
      </c>
      <c r="I33" s="70">
        <f t="shared" si="12"/>
        <v>0</v>
      </c>
      <c r="J33" s="71">
        <f t="shared" si="13"/>
        <v>0</v>
      </c>
      <c r="K33" s="62">
        <f t="shared" si="14"/>
        <v>0</v>
      </c>
      <c r="L33" s="331"/>
      <c r="M33" s="332"/>
      <c r="N33" s="332"/>
      <c r="O33" s="333"/>
      <c r="P33" s="9"/>
      <c r="S33" s="12">
        <f t="shared" si="15"/>
        <v>0</v>
      </c>
      <c r="T33" s="12">
        <f t="shared" si="16"/>
        <v>0</v>
      </c>
      <c r="U33" s="621">
        <f t="shared" si="19"/>
        <v>0</v>
      </c>
    </row>
    <row r="34" spans="1:21" ht="20.100000000000001" customHeight="1" thickTop="1" thickBot="1" x14ac:dyDescent="0.3">
      <c r="A34" s="25"/>
      <c r="B34" s="990" t="s">
        <v>212</v>
      </c>
      <c r="C34" s="990"/>
      <c r="D34" s="990"/>
      <c r="E34" s="60" t="e">
        <f>+H34/(F27+F28+F29+F30+F31+F32+F33)</f>
        <v>#DIV/0!</v>
      </c>
      <c r="F34" s="28">
        <f t="shared" ref="F34:K34" si="20">SUM(F27:F33)</f>
        <v>0</v>
      </c>
      <c r="G34" s="26">
        <f t="shared" si="20"/>
        <v>0</v>
      </c>
      <c r="H34" s="26">
        <f t="shared" si="20"/>
        <v>0</v>
      </c>
      <c r="I34" s="26">
        <f t="shared" si="20"/>
        <v>0</v>
      </c>
      <c r="J34" s="27">
        <f t="shared" si="20"/>
        <v>0</v>
      </c>
      <c r="K34" s="46">
        <f t="shared" si="20"/>
        <v>0</v>
      </c>
      <c r="L34" s="991" t="s">
        <v>213</v>
      </c>
      <c r="M34" s="992"/>
      <c r="N34" s="992"/>
      <c r="O34" s="993"/>
      <c r="P34" s="9"/>
      <c r="S34" s="12">
        <f t="shared" si="15"/>
        <v>0</v>
      </c>
      <c r="T34" s="12">
        <f t="shared" si="16"/>
        <v>0</v>
      </c>
      <c r="U34" s="621">
        <f t="shared" si="19"/>
        <v>0</v>
      </c>
    </row>
    <row r="35" spans="1:21" ht="26.25" customHeight="1" thickBot="1" x14ac:dyDescent="0.3">
      <c r="A35" s="987" t="s">
        <v>214</v>
      </c>
      <c r="B35" s="985"/>
      <c r="C35" s="985"/>
      <c r="D35" s="985"/>
      <c r="E35" s="985"/>
      <c r="F35" s="985"/>
      <c r="G35" s="985"/>
      <c r="H35" s="985"/>
      <c r="I35" s="985"/>
      <c r="J35" s="985"/>
      <c r="K35" s="985"/>
      <c r="L35" s="988" t="s">
        <v>215</v>
      </c>
      <c r="M35" s="988"/>
      <c r="N35" s="988"/>
      <c r="O35" s="989"/>
      <c r="P35" s="9"/>
    </row>
    <row r="36" spans="1:21" ht="31.5" x14ac:dyDescent="0.25">
      <c r="A36" s="301" t="str">
        <f>+Setup_and_Criteria!$J$6</f>
        <v>Q2</v>
      </c>
      <c r="B36" s="31" t="str">
        <f>+Corrections!$C$8</f>
        <v>Vanity</v>
      </c>
      <c r="C36" s="31" t="str">
        <f>+Corrections!$I$8</f>
        <v>Toilet</v>
      </c>
      <c r="D36" s="32" t="str">
        <f>+Corrections!$O$8</f>
        <v>Bed/Pillows</v>
      </c>
      <c r="E36" s="31" t="str">
        <f>+Corrections!$U$8</f>
        <v>Floor</v>
      </c>
      <c r="F36" s="33" t="str">
        <f>+Corrections!$AA$8</f>
        <v>Dusting</v>
      </c>
      <c r="G36" s="33" t="str">
        <f>+Corrections!$AG$8</f>
        <v>Fridge/Micro</v>
      </c>
      <c r="H36" s="33" t="str">
        <f>+Corrections!$AM$8</f>
        <v>Tub</v>
      </c>
      <c r="I36" s="33" t="str">
        <f>+Corrections!$AS$8</f>
        <v>Mirrors/Glass</v>
      </c>
      <c r="J36" s="34" t="str">
        <f>+Corrections!$AY$8</f>
        <v>Stocking</v>
      </c>
      <c r="K36" s="35" t="str">
        <f>+Corrections!$BE$8</f>
        <v>Other</v>
      </c>
      <c r="L36" s="37" t="s">
        <v>216</v>
      </c>
      <c r="M36" s="59" t="s">
        <v>217</v>
      </c>
      <c r="N36" s="994"/>
      <c r="O36" s="995"/>
      <c r="P36" s="9"/>
    </row>
    <row r="37" spans="1:21" ht="20.100000000000001" customHeight="1" x14ac:dyDescent="0.25">
      <c r="A37" s="6">
        <v>8</v>
      </c>
      <c r="B37" s="47"/>
      <c r="C37" s="47"/>
      <c r="D37" s="47"/>
      <c r="E37" s="48"/>
      <c r="F37" s="49"/>
      <c r="G37" s="49"/>
      <c r="H37" s="50"/>
      <c r="I37" s="51"/>
      <c r="J37" s="49"/>
      <c r="K37" s="52"/>
      <c r="L37" s="43">
        <f>SUM(B37:K37)</f>
        <v>0</v>
      </c>
      <c r="M37" s="39" t="e">
        <f t="shared" ref="M37:M43" si="21">+L37/(B27+C27+D27)</f>
        <v>#DIV/0!</v>
      </c>
      <c r="N37" s="5"/>
      <c r="O37" s="72"/>
      <c r="P37" s="9"/>
    </row>
    <row r="38" spans="1:21" ht="20.100000000000001" customHeight="1" x14ac:dyDescent="0.25">
      <c r="A38" s="6">
        <v>9</v>
      </c>
      <c r="B38" s="50"/>
      <c r="C38" s="49"/>
      <c r="D38" s="49"/>
      <c r="E38" s="49"/>
      <c r="F38" s="49"/>
      <c r="G38" s="49"/>
      <c r="H38" s="49"/>
      <c r="I38" s="51"/>
      <c r="J38" s="49"/>
      <c r="K38" s="52"/>
      <c r="L38" s="43">
        <f t="shared" ref="L38:L43" si="22">SUM(B38:K38)</f>
        <v>0</v>
      </c>
      <c r="M38" s="39" t="e">
        <f t="shared" si="21"/>
        <v>#DIV/0!</v>
      </c>
      <c r="N38" s="5"/>
      <c r="O38" s="72"/>
      <c r="P38" s="9"/>
    </row>
    <row r="39" spans="1:21" ht="20.100000000000001" customHeight="1" x14ac:dyDescent="0.25">
      <c r="A39" s="6">
        <v>10</v>
      </c>
      <c r="B39" s="50"/>
      <c r="C39" s="49"/>
      <c r="D39" s="49"/>
      <c r="E39" s="49"/>
      <c r="F39" s="49"/>
      <c r="G39" s="49"/>
      <c r="H39" s="49"/>
      <c r="I39" s="51"/>
      <c r="J39" s="49"/>
      <c r="K39" s="52"/>
      <c r="L39" s="43">
        <f t="shared" si="22"/>
        <v>0</v>
      </c>
      <c r="M39" s="39" t="e">
        <f t="shared" si="21"/>
        <v>#DIV/0!</v>
      </c>
      <c r="N39" s="5"/>
      <c r="O39" s="72"/>
      <c r="P39" s="9"/>
    </row>
    <row r="40" spans="1:21" ht="20.100000000000001" customHeight="1" x14ac:dyDescent="0.25">
      <c r="A40" s="6">
        <v>11</v>
      </c>
      <c r="B40" s="50"/>
      <c r="C40" s="49"/>
      <c r="D40" s="49"/>
      <c r="E40" s="49"/>
      <c r="F40" s="49"/>
      <c r="G40" s="49"/>
      <c r="H40" s="49"/>
      <c r="I40" s="51"/>
      <c r="J40" s="49"/>
      <c r="K40" s="52"/>
      <c r="L40" s="43">
        <f t="shared" si="22"/>
        <v>0</v>
      </c>
      <c r="M40" s="39" t="e">
        <f t="shared" si="21"/>
        <v>#DIV/0!</v>
      </c>
      <c r="N40" s="5"/>
      <c r="O40" s="72"/>
      <c r="P40" s="9"/>
    </row>
    <row r="41" spans="1:21" ht="20.100000000000001" customHeight="1" x14ac:dyDescent="0.25">
      <c r="A41" s="6">
        <v>12</v>
      </c>
      <c r="B41" s="50"/>
      <c r="C41" s="49"/>
      <c r="D41" s="49"/>
      <c r="E41" s="49"/>
      <c r="F41" s="49"/>
      <c r="G41" s="49"/>
      <c r="H41" s="49"/>
      <c r="I41" s="51"/>
      <c r="J41" s="49"/>
      <c r="K41" s="52"/>
      <c r="L41" s="43">
        <f t="shared" si="22"/>
        <v>0</v>
      </c>
      <c r="M41" s="39" t="e">
        <f t="shared" si="21"/>
        <v>#DIV/0!</v>
      </c>
      <c r="N41" s="5"/>
      <c r="O41" s="72"/>
      <c r="P41" s="9"/>
    </row>
    <row r="42" spans="1:21" ht="20.100000000000001" customHeight="1" x14ac:dyDescent="0.25">
      <c r="A42" s="6">
        <v>13</v>
      </c>
      <c r="B42" s="50"/>
      <c r="C42" s="49"/>
      <c r="D42" s="49"/>
      <c r="E42" s="49"/>
      <c r="F42" s="49"/>
      <c r="G42" s="49"/>
      <c r="H42" s="49"/>
      <c r="I42" s="51"/>
      <c r="J42" s="49"/>
      <c r="K42" s="52"/>
      <c r="L42" s="43">
        <f t="shared" si="22"/>
        <v>0</v>
      </c>
      <c r="M42" s="39" t="e">
        <f t="shared" si="21"/>
        <v>#DIV/0!</v>
      </c>
      <c r="N42" s="5"/>
      <c r="O42" s="72"/>
      <c r="P42" s="9"/>
    </row>
    <row r="43" spans="1:21" ht="20.100000000000001" customHeight="1" thickBot="1" x14ac:dyDescent="0.3">
      <c r="A43" s="6">
        <v>14</v>
      </c>
      <c r="B43" s="53"/>
      <c r="C43" s="54"/>
      <c r="D43" s="54"/>
      <c r="E43" s="54"/>
      <c r="F43" s="54"/>
      <c r="G43" s="54"/>
      <c r="H43" s="54"/>
      <c r="I43" s="55"/>
      <c r="J43" s="54"/>
      <c r="K43" s="56"/>
      <c r="L43" s="44">
        <f t="shared" si="22"/>
        <v>0</v>
      </c>
      <c r="M43" s="40" t="e">
        <f t="shared" si="21"/>
        <v>#DIV/0!</v>
      </c>
      <c r="N43" s="5"/>
      <c r="O43" s="72"/>
      <c r="P43" s="9"/>
    </row>
    <row r="44" spans="1:21" ht="20.100000000000001" customHeight="1" thickTop="1" thickBot="1" x14ac:dyDescent="0.3">
      <c r="A44" s="25"/>
      <c r="B44" s="38">
        <f>SUM(B37:B43)</f>
        <v>0</v>
      </c>
      <c r="C44" s="38">
        <f t="shared" ref="C44:K44" si="23">SUM(C37:C43)</f>
        <v>0</v>
      </c>
      <c r="D44" s="38">
        <f t="shared" si="23"/>
        <v>0</v>
      </c>
      <c r="E44" s="36">
        <f t="shared" si="23"/>
        <v>0</v>
      </c>
      <c r="F44" s="36">
        <f t="shared" si="23"/>
        <v>0</v>
      </c>
      <c r="G44" s="36">
        <f t="shared" si="23"/>
        <v>0</v>
      </c>
      <c r="H44" s="36">
        <f t="shared" si="23"/>
        <v>0</v>
      </c>
      <c r="I44" s="36">
        <f t="shared" si="23"/>
        <v>0</v>
      </c>
      <c r="J44" s="36">
        <f t="shared" si="23"/>
        <v>0</v>
      </c>
      <c r="K44" s="41">
        <f t="shared" si="23"/>
        <v>0</v>
      </c>
      <c r="L44" s="45">
        <f>SUM(L37:L43)</f>
        <v>0</v>
      </c>
      <c r="M44" s="42" t="e">
        <f>+L44/(F34)</f>
        <v>#DIV/0!</v>
      </c>
      <c r="N44" s="73"/>
      <c r="O44" s="74"/>
      <c r="P44" s="9"/>
    </row>
    <row r="45" spans="1:21" ht="32.25" thickBot="1" x14ac:dyDescent="0.3">
      <c r="A45" s="986" t="s">
        <v>198</v>
      </c>
      <c r="B45" s="986"/>
      <c r="C45" s="986"/>
      <c r="D45" s="986"/>
      <c r="E45" s="986"/>
      <c r="F45" s="986"/>
      <c r="G45" s="986"/>
      <c r="H45" s="986"/>
      <c r="I45" s="986"/>
      <c r="J45" s="986"/>
      <c r="K45" s="986"/>
      <c r="L45" s="986"/>
      <c r="M45" s="986"/>
      <c r="N45" s="986"/>
      <c r="O45" s="986"/>
      <c r="P45" s="9"/>
    </row>
    <row r="46" spans="1:21" ht="25.5" customHeight="1" thickBot="1" x14ac:dyDescent="0.4">
      <c r="A46" s="302" t="s">
        <v>199</v>
      </c>
      <c r="B46" s="998" t="str">
        <f ca="1">+B24</f>
        <v>TeamMember 2</v>
      </c>
      <c r="C46" s="999"/>
      <c r="D46" s="999"/>
      <c r="E46" s="999"/>
      <c r="F46" s="1000"/>
      <c r="G46" s="262"/>
      <c r="H46" s="996"/>
      <c r="I46" s="996"/>
      <c r="J46" s="997"/>
      <c r="K46" s="997"/>
      <c r="L46" s="1002" t="s">
        <v>72</v>
      </c>
      <c r="M46" s="1003"/>
      <c r="N46" s="1003"/>
      <c r="O46" s="1004"/>
      <c r="P46" s="9"/>
    </row>
    <row r="47" spans="1:21" ht="51" x14ac:dyDescent="0.25">
      <c r="A47" s="301" t="str">
        <f>+Setup_and_Criteria!$J$6</f>
        <v>Q2</v>
      </c>
      <c r="B47" s="633" t="s">
        <v>200</v>
      </c>
      <c r="C47" s="298" t="s">
        <v>201</v>
      </c>
      <c r="D47" s="633" t="s">
        <v>202</v>
      </c>
      <c r="E47" s="303" t="s">
        <v>203</v>
      </c>
      <c r="F47" s="299" t="s">
        <v>204</v>
      </c>
      <c r="G47" s="298" t="s">
        <v>137</v>
      </c>
      <c r="H47" s="298" t="s">
        <v>138</v>
      </c>
      <c r="I47" s="298" t="s">
        <v>205</v>
      </c>
      <c r="J47" s="299" t="s">
        <v>206</v>
      </c>
      <c r="K47" s="300" t="s">
        <v>207</v>
      </c>
      <c r="L47" s="57" t="s">
        <v>208</v>
      </c>
      <c r="M47" s="29" t="s">
        <v>209</v>
      </c>
      <c r="N47" s="29" t="s">
        <v>210</v>
      </c>
      <c r="O47" s="30" t="s">
        <v>211</v>
      </c>
      <c r="P47" s="9"/>
    </row>
    <row r="48" spans="1:21" ht="20.100000000000001" hidden="1" customHeight="1" x14ac:dyDescent="0.35">
      <c r="A48" s="23"/>
      <c r="B48" s="13">
        <v>30</v>
      </c>
      <c r="C48" s="13">
        <v>45</v>
      </c>
      <c r="D48" s="13">
        <v>20</v>
      </c>
      <c r="E48" s="13">
        <v>0</v>
      </c>
      <c r="F48" s="14"/>
      <c r="G48" s="15"/>
      <c r="H48" s="15"/>
      <c r="I48" s="15"/>
      <c r="J48" s="16"/>
      <c r="K48" s="24"/>
      <c r="L48" s="58"/>
      <c r="O48" s="24"/>
      <c r="P48" s="9"/>
    </row>
    <row r="49" spans="1:21" ht="20.100000000000001" customHeight="1" x14ac:dyDescent="0.25">
      <c r="A49" s="6">
        <v>15</v>
      </c>
      <c r="B49" s="323"/>
      <c r="C49" s="323"/>
      <c r="D49" s="323"/>
      <c r="E49" s="324"/>
      <c r="F49" s="63">
        <f t="shared" ref="F49:F55" si="24">SUM(B49:E49)</f>
        <v>0</v>
      </c>
      <c r="G49" s="63">
        <f>+((B49*Setup_and_Criteria!$F$13)+(C49*Setup_and_Criteria!$F$15)+(D49*Setup_and_Criteria!$F$14)+(E49*Setup_and_Criteria!$F$16))</f>
        <v>0</v>
      </c>
      <c r="H49" s="64">
        <f>+U49</f>
        <v>0</v>
      </c>
      <c r="I49" s="65">
        <f t="shared" ref="I49:I55" si="25">+G49-U49</f>
        <v>0</v>
      </c>
      <c r="J49" s="66">
        <f t="shared" ref="J49:J55" si="26">+G49/60</f>
        <v>0</v>
      </c>
      <c r="K49" s="61">
        <f t="shared" ref="K49:K55" si="27">+(M49-L49)+(O49-N49)</f>
        <v>0</v>
      </c>
      <c r="L49" s="327"/>
      <c r="M49" s="328"/>
      <c r="N49" s="328"/>
      <c r="O49" s="329"/>
      <c r="P49" s="9"/>
      <c r="S49" s="12">
        <f t="shared" ref="S49:S56" si="28">HOUR(K49)</f>
        <v>0</v>
      </c>
      <c r="T49" s="12">
        <f t="shared" ref="T49:T56" si="29">MINUTE(K49)</f>
        <v>0</v>
      </c>
      <c r="U49" s="621">
        <f>+(S49*60)+T49</f>
        <v>0</v>
      </c>
    </row>
    <row r="50" spans="1:21" ht="20.100000000000001" customHeight="1" x14ac:dyDescent="0.25">
      <c r="A50" s="6">
        <v>16</v>
      </c>
      <c r="B50" s="323"/>
      <c r="C50" s="324"/>
      <c r="D50" s="324"/>
      <c r="E50" s="324"/>
      <c r="F50" s="63">
        <f t="shared" si="24"/>
        <v>0</v>
      </c>
      <c r="G50" s="63">
        <f>+((B50*Setup_and_Criteria!$F$13)+(C50*Setup_and_Criteria!$F$15)+(D50*Setup_and_Criteria!$F$14)+(E50*Setup_and_Criteria!$F$16))</f>
        <v>0</v>
      </c>
      <c r="H50" s="63">
        <f t="shared" ref="H50:H55" si="30">+U50</f>
        <v>0</v>
      </c>
      <c r="I50" s="65">
        <f t="shared" si="25"/>
        <v>0</v>
      </c>
      <c r="J50" s="67">
        <f t="shared" si="26"/>
        <v>0</v>
      </c>
      <c r="K50" s="61">
        <f t="shared" si="27"/>
        <v>0</v>
      </c>
      <c r="L50" s="327"/>
      <c r="M50" s="328"/>
      <c r="N50" s="328"/>
      <c r="O50" s="329"/>
      <c r="P50" s="9"/>
      <c r="S50" s="12">
        <f t="shared" si="28"/>
        <v>0</v>
      </c>
      <c r="T50" s="12">
        <f t="shared" si="29"/>
        <v>0</v>
      </c>
      <c r="U50" s="621">
        <f t="shared" ref="U50:U56" si="31">+(S50*60)+T50</f>
        <v>0</v>
      </c>
    </row>
    <row r="51" spans="1:21" ht="20.100000000000001" customHeight="1" x14ac:dyDescent="0.25">
      <c r="A51" s="6">
        <v>17</v>
      </c>
      <c r="B51" s="323"/>
      <c r="C51" s="324"/>
      <c r="D51" s="324"/>
      <c r="E51" s="324"/>
      <c r="F51" s="63">
        <f t="shared" si="24"/>
        <v>0</v>
      </c>
      <c r="G51" s="63">
        <f>+((B51*Setup_and_Criteria!$F$13)+(C51*Setup_and_Criteria!$F$15)+(D51*Setup_and_Criteria!$F$14)+(E51*Setup_and_Criteria!$F$16))</f>
        <v>0</v>
      </c>
      <c r="H51" s="63">
        <f t="shared" si="30"/>
        <v>0</v>
      </c>
      <c r="I51" s="65">
        <f t="shared" si="25"/>
        <v>0</v>
      </c>
      <c r="J51" s="67">
        <f t="shared" si="26"/>
        <v>0</v>
      </c>
      <c r="K51" s="61">
        <f t="shared" si="27"/>
        <v>0</v>
      </c>
      <c r="L51" s="327"/>
      <c r="M51" s="328"/>
      <c r="N51" s="328"/>
      <c r="O51" s="330"/>
      <c r="P51" s="9"/>
      <c r="S51" s="12">
        <f t="shared" si="28"/>
        <v>0</v>
      </c>
      <c r="T51" s="12">
        <f t="shared" si="29"/>
        <v>0</v>
      </c>
      <c r="U51" s="621">
        <f t="shared" si="31"/>
        <v>0</v>
      </c>
    </row>
    <row r="52" spans="1:21" ht="20.100000000000001" customHeight="1" x14ac:dyDescent="0.25">
      <c r="A52" s="6">
        <v>18</v>
      </c>
      <c r="B52" s="323"/>
      <c r="C52" s="324"/>
      <c r="D52" s="324"/>
      <c r="E52" s="324"/>
      <c r="F52" s="63">
        <f t="shared" si="24"/>
        <v>0</v>
      </c>
      <c r="G52" s="63">
        <f>+((B52*Setup_and_Criteria!$F$13)+(C52*Setup_and_Criteria!$F$15)+(D52*Setup_and_Criteria!$F$14)+(E52*Setup_and_Criteria!$F$16))</f>
        <v>0</v>
      </c>
      <c r="H52" s="63">
        <f t="shared" si="30"/>
        <v>0</v>
      </c>
      <c r="I52" s="65">
        <f t="shared" si="25"/>
        <v>0</v>
      </c>
      <c r="J52" s="67">
        <f t="shared" si="26"/>
        <v>0</v>
      </c>
      <c r="K52" s="61">
        <f t="shared" si="27"/>
        <v>0</v>
      </c>
      <c r="L52" s="327"/>
      <c r="M52" s="328"/>
      <c r="N52" s="328"/>
      <c r="O52" s="330"/>
      <c r="P52" s="9"/>
      <c r="S52" s="12">
        <f t="shared" si="28"/>
        <v>0</v>
      </c>
      <c r="T52" s="12">
        <f t="shared" si="29"/>
        <v>0</v>
      </c>
      <c r="U52" s="621">
        <f t="shared" si="31"/>
        <v>0</v>
      </c>
    </row>
    <row r="53" spans="1:21" ht="20.100000000000001" customHeight="1" x14ac:dyDescent="0.25">
      <c r="A53" s="6">
        <v>19</v>
      </c>
      <c r="B53" s="323"/>
      <c r="C53" s="324"/>
      <c r="D53" s="324"/>
      <c r="E53" s="324"/>
      <c r="F53" s="63">
        <f t="shared" si="24"/>
        <v>0</v>
      </c>
      <c r="G53" s="63">
        <f>+((B53*Setup_and_Criteria!$F$13)+(C53*Setup_and_Criteria!$F$15)+(D53*Setup_and_Criteria!$F$14)+(E53*Setup_and_Criteria!$F$16))</f>
        <v>0</v>
      </c>
      <c r="H53" s="63">
        <f t="shared" si="30"/>
        <v>0</v>
      </c>
      <c r="I53" s="65">
        <f t="shared" si="25"/>
        <v>0</v>
      </c>
      <c r="J53" s="67">
        <f t="shared" si="26"/>
        <v>0</v>
      </c>
      <c r="K53" s="61">
        <f t="shared" si="27"/>
        <v>0</v>
      </c>
      <c r="L53" s="327"/>
      <c r="M53" s="328"/>
      <c r="N53" s="328"/>
      <c r="O53" s="330"/>
      <c r="P53" s="9"/>
      <c r="S53" s="12">
        <f t="shared" si="28"/>
        <v>0</v>
      </c>
      <c r="T53" s="12">
        <f t="shared" si="29"/>
        <v>0</v>
      </c>
      <c r="U53" s="621">
        <f t="shared" si="31"/>
        <v>0</v>
      </c>
    </row>
    <row r="54" spans="1:21" ht="20.100000000000001" customHeight="1" x14ac:dyDescent="0.25">
      <c r="A54" s="6">
        <v>20</v>
      </c>
      <c r="B54" s="323"/>
      <c r="C54" s="324"/>
      <c r="D54" s="324"/>
      <c r="E54" s="324"/>
      <c r="F54" s="63">
        <f t="shared" si="24"/>
        <v>0</v>
      </c>
      <c r="G54" s="63">
        <f>+((B54*Setup_and_Criteria!$F$13)+(C54*Setup_and_Criteria!$F$15)+(D54*Setup_and_Criteria!$F$14)+(E54*Setup_and_Criteria!$F$16))</f>
        <v>0</v>
      </c>
      <c r="H54" s="63">
        <f t="shared" si="30"/>
        <v>0</v>
      </c>
      <c r="I54" s="65">
        <f t="shared" si="25"/>
        <v>0</v>
      </c>
      <c r="J54" s="67">
        <f t="shared" si="26"/>
        <v>0</v>
      </c>
      <c r="K54" s="61">
        <f t="shared" si="27"/>
        <v>0</v>
      </c>
      <c r="L54" s="327"/>
      <c r="M54" s="328"/>
      <c r="N54" s="328"/>
      <c r="O54" s="330"/>
      <c r="P54" s="9"/>
      <c r="S54" s="12">
        <f t="shared" si="28"/>
        <v>0</v>
      </c>
      <c r="T54" s="12">
        <f t="shared" si="29"/>
        <v>0</v>
      </c>
      <c r="U54" s="621">
        <f t="shared" si="31"/>
        <v>0</v>
      </c>
    </row>
    <row r="55" spans="1:21" ht="20.100000000000001" customHeight="1" thickBot="1" x14ac:dyDescent="0.3">
      <c r="A55" s="6">
        <v>21</v>
      </c>
      <c r="B55" s="325"/>
      <c r="C55" s="326"/>
      <c r="D55" s="326"/>
      <c r="E55" s="326"/>
      <c r="F55" s="68">
        <f t="shared" si="24"/>
        <v>0</v>
      </c>
      <c r="G55" s="69">
        <f>+((B55*Setup_and_Criteria!$F$13)+(C55*Setup_and_Criteria!$F$15)+(D55*Setup_and_Criteria!$F$14)+(E55*Setup_and_Criteria!$F$16))</f>
        <v>0</v>
      </c>
      <c r="H55" s="69">
        <f t="shared" si="30"/>
        <v>0</v>
      </c>
      <c r="I55" s="70">
        <f t="shared" si="25"/>
        <v>0</v>
      </c>
      <c r="J55" s="71">
        <f t="shared" si="26"/>
        <v>0</v>
      </c>
      <c r="K55" s="62">
        <f t="shared" si="27"/>
        <v>0</v>
      </c>
      <c r="L55" s="331"/>
      <c r="M55" s="332"/>
      <c r="N55" s="332"/>
      <c r="O55" s="333"/>
      <c r="P55" s="9"/>
      <c r="S55" s="12">
        <f t="shared" si="28"/>
        <v>0</v>
      </c>
      <c r="T55" s="12">
        <f t="shared" si="29"/>
        <v>0</v>
      </c>
      <c r="U55" s="621">
        <f t="shared" si="31"/>
        <v>0</v>
      </c>
    </row>
    <row r="56" spans="1:21" ht="20.100000000000001" customHeight="1" thickTop="1" thickBot="1" x14ac:dyDescent="0.3">
      <c r="A56" s="25"/>
      <c r="B56" s="990" t="s">
        <v>212</v>
      </c>
      <c r="C56" s="990"/>
      <c r="D56" s="990"/>
      <c r="E56" s="60" t="e">
        <f>+H56/(F49+F50+F51+F52+F53+F54+F55)</f>
        <v>#DIV/0!</v>
      </c>
      <c r="F56" s="28">
        <f t="shared" ref="F56:K56" si="32">SUM(F49:F55)</f>
        <v>0</v>
      </c>
      <c r="G56" s="26">
        <f t="shared" si="32"/>
        <v>0</v>
      </c>
      <c r="H56" s="26">
        <f t="shared" si="32"/>
        <v>0</v>
      </c>
      <c r="I56" s="26">
        <f t="shared" si="32"/>
        <v>0</v>
      </c>
      <c r="J56" s="27">
        <f t="shared" si="32"/>
        <v>0</v>
      </c>
      <c r="K56" s="46">
        <f t="shared" si="32"/>
        <v>0</v>
      </c>
      <c r="L56" s="991" t="s">
        <v>213</v>
      </c>
      <c r="M56" s="992"/>
      <c r="N56" s="992"/>
      <c r="O56" s="993"/>
      <c r="P56" s="9"/>
      <c r="S56" s="12">
        <f t="shared" si="28"/>
        <v>0</v>
      </c>
      <c r="T56" s="12">
        <f t="shared" si="29"/>
        <v>0</v>
      </c>
      <c r="U56" s="621">
        <f t="shared" si="31"/>
        <v>0</v>
      </c>
    </row>
    <row r="57" spans="1:21" ht="23.25" customHeight="1" thickBot="1" x14ac:dyDescent="0.3">
      <c r="A57" s="987" t="s">
        <v>214</v>
      </c>
      <c r="B57" s="985"/>
      <c r="C57" s="985"/>
      <c r="D57" s="985"/>
      <c r="E57" s="985"/>
      <c r="F57" s="985"/>
      <c r="G57" s="985"/>
      <c r="H57" s="985"/>
      <c r="I57" s="985"/>
      <c r="J57" s="985"/>
      <c r="K57" s="985"/>
      <c r="L57" s="988" t="s">
        <v>215</v>
      </c>
      <c r="M57" s="988"/>
      <c r="N57" s="988"/>
      <c r="O57" s="989"/>
      <c r="P57" s="9"/>
    </row>
    <row r="58" spans="1:21" ht="31.5" x14ac:dyDescent="0.35">
      <c r="A58" s="23"/>
      <c r="B58" s="31" t="str">
        <f>+Corrections!$C$8</f>
        <v>Vanity</v>
      </c>
      <c r="C58" s="31" t="str">
        <f>+Corrections!$I$8</f>
        <v>Toilet</v>
      </c>
      <c r="D58" s="32" t="str">
        <f>+Corrections!$O$8</f>
        <v>Bed/Pillows</v>
      </c>
      <c r="E58" s="31" t="str">
        <f>+Corrections!$U$8</f>
        <v>Floor</v>
      </c>
      <c r="F58" s="33" t="str">
        <f>+Corrections!$AA$8</f>
        <v>Dusting</v>
      </c>
      <c r="G58" s="33" t="str">
        <f>+Corrections!$AG$8</f>
        <v>Fridge/Micro</v>
      </c>
      <c r="H58" s="33" t="str">
        <f>+Corrections!$AM$8</f>
        <v>Tub</v>
      </c>
      <c r="I58" s="33" t="str">
        <f>+Corrections!$AS$8</f>
        <v>Mirrors/Glass</v>
      </c>
      <c r="J58" s="34" t="str">
        <f>+Corrections!$AY$8</f>
        <v>Stocking</v>
      </c>
      <c r="K58" s="35" t="str">
        <f>+Corrections!$BE$8</f>
        <v>Other</v>
      </c>
      <c r="L58" s="37" t="s">
        <v>216</v>
      </c>
      <c r="M58" s="59" t="s">
        <v>217</v>
      </c>
      <c r="N58" s="5"/>
      <c r="O58" s="72"/>
      <c r="P58" s="9"/>
    </row>
    <row r="59" spans="1:21" ht="20.100000000000001" customHeight="1" x14ac:dyDescent="0.25">
      <c r="A59" s="6">
        <v>15</v>
      </c>
      <c r="B59" s="47"/>
      <c r="C59" s="47"/>
      <c r="D59" s="47"/>
      <c r="E59" s="48"/>
      <c r="F59" s="49"/>
      <c r="G59" s="49"/>
      <c r="H59" s="50"/>
      <c r="I59" s="51"/>
      <c r="J59" s="49"/>
      <c r="K59" s="52"/>
      <c r="L59" s="43">
        <f>SUM(B59:K59)</f>
        <v>0</v>
      </c>
      <c r="M59" s="39" t="e">
        <f t="shared" ref="M59:M65" si="33">+L59/(B49+C49+D49)</f>
        <v>#DIV/0!</v>
      </c>
      <c r="N59" s="5"/>
      <c r="O59" s="72"/>
      <c r="P59" s="9"/>
    </row>
    <row r="60" spans="1:21" ht="20.100000000000001" customHeight="1" x14ac:dyDescent="0.25">
      <c r="A60" s="6">
        <v>16</v>
      </c>
      <c r="B60" s="50"/>
      <c r="C60" s="49"/>
      <c r="D60" s="49"/>
      <c r="E60" s="49"/>
      <c r="F60" s="49"/>
      <c r="G60" s="49"/>
      <c r="H60" s="49"/>
      <c r="I60" s="51"/>
      <c r="J60" s="49"/>
      <c r="K60" s="52"/>
      <c r="L60" s="43">
        <f t="shared" ref="L60:L65" si="34">SUM(B60:K60)</f>
        <v>0</v>
      </c>
      <c r="M60" s="39" t="e">
        <f t="shared" si="33"/>
        <v>#DIV/0!</v>
      </c>
      <c r="N60" s="5"/>
      <c r="O60" s="72"/>
      <c r="P60" s="9"/>
    </row>
    <row r="61" spans="1:21" ht="20.100000000000001" customHeight="1" x14ac:dyDescent="0.25">
      <c r="A61" s="6">
        <v>17</v>
      </c>
      <c r="B61" s="50"/>
      <c r="C61" s="49"/>
      <c r="D61" s="49"/>
      <c r="E61" s="49"/>
      <c r="F61" s="49"/>
      <c r="G61" s="49"/>
      <c r="H61" s="49"/>
      <c r="I61" s="51"/>
      <c r="J61" s="49"/>
      <c r="K61" s="52"/>
      <c r="L61" s="43">
        <f t="shared" si="34"/>
        <v>0</v>
      </c>
      <c r="M61" s="39" t="e">
        <f t="shared" si="33"/>
        <v>#DIV/0!</v>
      </c>
      <c r="N61" s="5"/>
      <c r="O61" s="72"/>
      <c r="P61" s="9"/>
    </row>
    <row r="62" spans="1:21" ht="20.100000000000001" customHeight="1" x14ac:dyDescent="0.25">
      <c r="A62" s="6">
        <v>18</v>
      </c>
      <c r="B62" s="50"/>
      <c r="C62" s="49"/>
      <c r="D62" s="49"/>
      <c r="E62" s="49"/>
      <c r="F62" s="49"/>
      <c r="G62" s="49"/>
      <c r="H62" s="49"/>
      <c r="I62" s="51"/>
      <c r="J62" s="49"/>
      <c r="K62" s="52"/>
      <c r="L62" s="43">
        <f t="shared" si="34"/>
        <v>0</v>
      </c>
      <c r="M62" s="39" t="e">
        <f t="shared" si="33"/>
        <v>#DIV/0!</v>
      </c>
      <c r="N62" s="5"/>
      <c r="O62" s="72"/>
      <c r="P62" s="9"/>
    </row>
    <row r="63" spans="1:21" ht="20.100000000000001" customHeight="1" x14ac:dyDescent="0.25">
      <c r="A63" s="6">
        <v>19</v>
      </c>
      <c r="B63" s="50"/>
      <c r="C63" s="49"/>
      <c r="D63" s="49"/>
      <c r="E63" s="49"/>
      <c r="F63" s="49"/>
      <c r="G63" s="49"/>
      <c r="H63" s="49"/>
      <c r="I63" s="51"/>
      <c r="J63" s="49"/>
      <c r="K63" s="52"/>
      <c r="L63" s="43">
        <f t="shared" si="34"/>
        <v>0</v>
      </c>
      <c r="M63" s="39" t="e">
        <f t="shared" si="33"/>
        <v>#DIV/0!</v>
      </c>
      <c r="N63" s="5"/>
      <c r="O63" s="72"/>
      <c r="P63" s="9"/>
    </row>
    <row r="64" spans="1:21" ht="20.100000000000001" customHeight="1" x14ac:dyDescent="0.25">
      <c r="A64" s="6">
        <v>20</v>
      </c>
      <c r="B64" s="50"/>
      <c r="C64" s="49"/>
      <c r="D64" s="49"/>
      <c r="E64" s="49"/>
      <c r="F64" s="49"/>
      <c r="G64" s="49"/>
      <c r="H64" s="49"/>
      <c r="I64" s="51"/>
      <c r="J64" s="49"/>
      <c r="K64" s="52"/>
      <c r="L64" s="43">
        <f t="shared" si="34"/>
        <v>0</v>
      </c>
      <c r="M64" s="39" t="e">
        <f t="shared" si="33"/>
        <v>#DIV/0!</v>
      </c>
      <c r="N64" s="5"/>
      <c r="O64" s="72"/>
      <c r="P64" s="9"/>
    </row>
    <row r="65" spans="1:21" ht="20.100000000000001" customHeight="1" thickBot="1" x14ac:dyDescent="0.3">
      <c r="A65" s="6">
        <v>21</v>
      </c>
      <c r="B65" s="53"/>
      <c r="C65" s="54"/>
      <c r="D65" s="54"/>
      <c r="E65" s="54"/>
      <c r="F65" s="54"/>
      <c r="G65" s="54"/>
      <c r="H65" s="54"/>
      <c r="I65" s="55"/>
      <c r="J65" s="54"/>
      <c r="K65" s="56"/>
      <c r="L65" s="44">
        <f t="shared" si="34"/>
        <v>0</v>
      </c>
      <c r="M65" s="40" t="e">
        <f t="shared" si="33"/>
        <v>#DIV/0!</v>
      </c>
      <c r="N65" s="5"/>
      <c r="O65" s="72"/>
      <c r="P65" s="9"/>
    </row>
    <row r="66" spans="1:21" ht="20.100000000000001" customHeight="1" thickTop="1" thickBot="1" x14ac:dyDescent="0.3">
      <c r="A66" s="25"/>
      <c r="B66" s="38">
        <f>SUM(B59:B65)</f>
        <v>0</v>
      </c>
      <c r="C66" s="38">
        <f t="shared" ref="C66:K66" si="35">SUM(C59:C65)</f>
        <v>0</v>
      </c>
      <c r="D66" s="38">
        <f t="shared" si="35"/>
        <v>0</v>
      </c>
      <c r="E66" s="36">
        <f t="shared" si="35"/>
        <v>0</v>
      </c>
      <c r="F66" s="36">
        <f t="shared" si="35"/>
        <v>0</v>
      </c>
      <c r="G66" s="36">
        <f t="shared" si="35"/>
        <v>0</v>
      </c>
      <c r="H66" s="36">
        <f t="shared" si="35"/>
        <v>0</v>
      </c>
      <c r="I66" s="36">
        <f t="shared" si="35"/>
        <v>0</v>
      </c>
      <c r="J66" s="36">
        <f t="shared" si="35"/>
        <v>0</v>
      </c>
      <c r="K66" s="41">
        <f t="shared" si="35"/>
        <v>0</v>
      </c>
      <c r="L66" s="45">
        <f>SUM(L59:L65)</f>
        <v>0</v>
      </c>
      <c r="M66" s="42" t="e">
        <f>+L66/(F56)</f>
        <v>#DIV/0!</v>
      </c>
      <c r="N66" s="73"/>
      <c r="O66" s="74"/>
      <c r="P66" s="9"/>
    </row>
    <row r="67" spans="1:21" ht="32.25" thickBot="1" x14ac:dyDescent="0.3">
      <c r="A67" s="986" t="s">
        <v>198</v>
      </c>
      <c r="B67" s="986"/>
      <c r="C67" s="986"/>
      <c r="D67" s="986"/>
      <c r="E67" s="986"/>
      <c r="F67" s="986"/>
      <c r="G67" s="986"/>
      <c r="H67" s="986"/>
      <c r="I67" s="986"/>
      <c r="J67" s="986"/>
      <c r="K67" s="986"/>
      <c r="L67" s="986"/>
      <c r="M67" s="986"/>
      <c r="N67" s="986"/>
      <c r="O67" s="986"/>
      <c r="P67" s="9"/>
    </row>
    <row r="68" spans="1:21" s="3" customFormat="1" ht="24.75" customHeight="1" thickBot="1" x14ac:dyDescent="0.4">
      <c r="A68" s="302" t="s">
        <v>199</v>
      </c>
      <c r="B68" s="998" t="str">
        <f ca="1">+B46</f>
        <v>TeamMember 2</v>
      </c>
      <c r="C68" s="999"/>
      <c r="D68" s="999"/>
      <c r="E68" s="999"/>
      <c r="F68" s="1000"/>
      <c r="G68" s="262"/>
      <c r="H68" s="996"/>
      <c r="I68" s="996"/>
      <c r="J68" s="997"/>
      <c r="K68" s="997"/>
      <c r="L68" s="826" t="s">
        <v>73</v>
      </c>
      <c r="M68" s="1001"/>
      <c r="N68" s="1001"/>
      <c r="O68" s="827"/>
      <c r="P68" s="9"/>
      <c r="S68" s="621"/>
      <c r="T68" s="621"/>
    </row>
    <row r="69" spans="1:21" ht="51" x14ac:dyDescent="0.25">
      <c r="A69" s="301" t="str">
        <f>+Setup_and_Criteria!$J$6</f>
        <v>Q2</v>
      </c>
      <c r="B69" s="633" t="s">
        <v>200</v>
      </c>
      <c r="C69" s="298" t="s">
        <v>201</v>
      </c>
      <c r="D69" s="633" t="s">
        <v>202</v>
      </c>
      <c r="E69" s="303" t="s">
        <v>203</v>
      </c>
      <c r="F69" s="299" t="s">
        <v>204</v>
      </c>
      <c r="G69" s="298" t="s">
        <v>137</v>
      </c>
      <c r="H69" s="298" t="s">
        <v>138</v>
      </c>
      <c r="I69" s="298" t="s">
        <v>205</v>
      </c>
      <c r="J69" s="299" t="s">
        <v>206</v>
      </c>
      <c r="K69" s="300" t="s">
        <v>207</v>
      </c>
      <c r="L69" s="57" t="s">
        <v>208</v>
      </c>
      <c r="M69" s="29" t="s">
        <v>209</v>
      </c>
      <c r="N69" s="29" t="s">
        <v>210</v>
      </c>
      <c r="O69" s="30" t="s">
        <v>211</v>
      </c>
      <c r="P69" s="9"/>
    </row>
    <row r="70" spans="1:21" ht="20.100000000000001" hidden="1" customHeight="1" x14ac:dyDescent="0.35">
      <c r="A70" s="23"/>
      <c r="B70" s="13">
        <v>30</v>
      </c>
      <c r="C70" s="13">
        <v>45</v>
      </c>
      <c r="D70" s="13">
        <v>20</v>
      </c>
      <c r="E70" s="13">
        <v>0</v>
      </c>
      <c r="F70" s="14"/>
      <c r="G70" s="15"/>
      <c r="H70" s="15"/>
      <c r="I70" s="15"/>
      <c r="J70" s="16"/>
      <c r="K70" s="24"/>
      <c r="L70" s="58"/>
      <c r="O70" s="24"/>
      <c r="P70" s="9"/>
    </row>
    <row r="71" spans="1:21" ht="20.100000000000001" customHeight="1" x14ac:dyDescent="0.25">
      <c r="A71" s="6">
        <v>22</v>
      </c>
      <c r="B71" s="321"/>
      <c r="C71" s="321"/>
      <c r="D71" s="321"/>
      <c r="E71" s="322"/>
      <c r="F71" s="63">
        <f t="shared" ref="F71:F77" si="36">SUM(B71:E71)</f>
        <v>0</v>
      </c>
      <c r="G71" s="63">
        <f>+((B71*Setup_and_Criteria!$F$13)+(C71*Setup_and_Criteria!$F$15)+(D71*Setup_and_Criteria!$F$14)+(E71*Setup_and_Criteria!$F$16))</f>
        <v>0</v>
      </c>
      <c r="H71" s="64">
        <f>+U71</f>
        <v>0</v>
      </c>
      <c r="I71" s="65">
        <f t="shared" ref="I71:I77" si="37">+G71-U71</f>
        <v>0</v>
      </c>
      <c r="J71" s="66">
        <f t="shared" ref="J71:J77" si="38">+G71/60</f>
        <v>0</v>
      </c>
      <c r="K71" s="61">
        <f t="shared" ref="K71:K77" si="39">+(M71-L71)+(O71-N71)</f>
        <v>0</v>
      </c>
      <c r="L71" s="327"/>
      <c r="M71" s="328"/>
      <c r="N71" s="328"/>
      <c r="O71" s="329"/>
      <c r="P71" s="9"/>
      <c r="S71" s="12">
        <f t="shared" ref="S71:S78" si="40">HOUR(K71)</f>
        <v>0</v>
      </c>
      <c r="T71" s="12">
        <f t="shared" ref="T71:T78" si="41">MINUTE(K71)</f>
        <v>0</v>
      </c>
      <c r="U71" s="621">
        <f>+(S71*60)+T71</f>
        <v>0</v>
      </c>
    </row>
    <row r="72" spans="1:21" ht="20.100000000000001" customHeight="1" x14ac:dyDescent="0.25">
      <c r="A72" s="6">
        <v>23</v>
      </c>
      <c r="B72" s="323"/>
      <c r="C72" s="324"/>
      <c r="D72" s="324"/>
      <c r="E72" s="324"/>
      <c r="F72" s="63">
        <f t="shared" si="36"/>
        <v>0</v>
      </c>
      <c r="G72" s="63">
        <f>+((B72*Setup_and_Criteria!$F$13)+(C72*Setup_and_Criteria!$F$15)+(D72*Setup_and_Criteria!$F$14)+(E72*Setup_and_Criteria!$F$16))</f>
        <v>0</v>
      </c>
      <c r="H72" s="63">
        <f t="shared" ref="H72:H77" si="42">+U72</f>
        <v>0</v>
      </c>
      <c r="I72" s="65">
        <f t="shared" si="37"/>
        <v>0</v>
      </c>
      <c r="J72" s="67">
        <f t="shared" si="38"/>
        <v>0</v>
      </c>
      <c r="K72" s="61">
        <f t="shared" si="39"/>
        <v>0</v>
      </c>
      <c r="L72" s="327"/>
      <c r="M72" s="328"/>
      <c r="N72" s="328"/>
      <c r="O72" s="329"/>
      <c r="P72" s="9"/>
      <c r="S72" s="12">
        <f t="shared" si="40"/>
        <v>0</v>
      </c>
      <c r="T72" s="12">
        <f t="shared" si="41"/>
        <v>0</v>
      </c>
      <c r="U72" s="621">
        <f t="shared" ref="U72:U78" si="43">+(S72*60)+T72</f>
        <v>0</v>
      </c>
    </row>
    <row r="73" spans="1:21" ht="20.100000000000001" customHeight="1" x14ac:dyDescent="0.25">
      <c r="A73" s="6">
        <v>24</v>
      </c>
      <c r="B73" s="323"/>
      <c r="C73" s="324"/>
      <c r="D73" s="324"/>
      <c r="E73" s="324"/>
      <c r="F73" s="63">
        <f t="shared" si="36"/>
        <v>0</v>
      </c>
      <c r="G73" s="63">
        <f>+((B73*Setup_and_Criteria!$F$13)+(C73*Setup_and_Criteria!$F$15)+(D73*Setup_and_Criteria!$F$14)+(E73*Setup_and_Criteria!$F$16))</f>
        <v>0</v>
      </c>
      <c r="H73" s="63">
        <f t="shared" si="42"/>
        <v>0</v>
      </c>
      <c r="I73" s="65">
        <f t="shared" si="37"/>
        <v>0</v>
      </c>
      <c r="J73" s="67">
        <f t="shared" si="38"/>
        <v>0</v>
      </c>
      <c r="K73" s="61">
        <f t="shared" si="39"/>
        <v>0</v>
      </c>
      <c r="L73" s="327"/>
      <c r="M73" s="328"/>
      <c r="N73" s="328"/>
      <c r="O73" s="330"/>
      <c r="P73" s="9"/>
      <c r="S73" s="12">
        <f t="shared" si="40"/>
        <v>0</v>
      </c>
      <c r="T73" s="12">
        <f t="shared" si="41"/>
        <v>0</v>
      </c>
      <c r="U73" s="621">
        <f t="shared" si="43"/>
        <v>0</v>
      </c>
    </row>
    <row r="74" spans="1:21" ht="20.100000000000001" customHeight="1" x14ac:dyDescent="0.25">
      <c r="A74" s="6">
        <v>25</v>
      </c>
      <c r="B74" s="323"/>
      <c r="C74" s="324"/>
      <c r="D74" s="324"/>
      <c r="E74" s="324"/>
      <c r="F74" s="63">
        <f t="shared" si="36"/>
        <v>0</v>
      </c>
      <c r="G74" s="63">
        <f>+((B74*Setup_and_Criteria!$F$13)+(C74*Setup_and_Criteria!$F$15)+(D74*Setup_and_Criteria!$F$14)+(E74*Setup_and_Criteria!$F$16))</f>
        <v>0</v>
      </c>
      <c r="H74" s="63">
        <f t="shared" si="42"/>
        <v>0</v>
      </c>
      <c r="I74" s="65">
        <f t="shared" si="37"/>
        <v>0</v>
      </c>
      <c r="J74" s="67">
        <f t="shared" si="38"/>
        <v>0</v>
      </c>
      <c r="K74" s="61">
        <f t="shared" si="39"/>
        <v>0</v>
      </c>
      <c r="L74" s="327"/>
      <c r="M74" s="328"/>
      <c r="N74" s="328"/>
      <c r="O74" s="330"/>
      <c r="P74" s="9"/>
      <c r="S74" s="12">
        <f t="shared" si="40"/>
        <v>0</v>
      </c>
      <c r="T74" s="12">
        <f t="shared" si="41"/>
        <v>0</v>
      </c>
      <c r="U74" s="621">
        <f t="shared" si="43"/>
        <v>0</v>
      </c>
    </row>
    <row r="75" spans="1:21" ht="20.100000000000001" customHeight="1" x14ac:dyDescent="0.25">
      <c r="A75" s="6">
        <v>26</v>
      </c>
      <c r="B75" s="323"/>
      <c r="C75" s="324"/>
      <c r="D75" s="324"/>
      <c r="E75" s="324"/>
      <c r="F75" s="63">
        <f t="shared" si="36"/>
        <v>0</v>
      </c>
      <c r="G75" s="63">
        <f>+((B75*Setup_and_Criteria!$F$13)+(C75*Setup_and_Criteria!$F$15)+(D75*Setup_and_Criteria!$F$14)+(E75*Setup_and_Criteria!$F$16))</f>
        <v>0</v>
      </c>
      <c r="H75" s="63">
        <f t="shared" si="42"/>
        <v>0</v>
      </c>
      <c r="I75" s="65">
        <f t="shared" si="37"/>
        <v>0</v>
      </c>
      <c r="J75" s="67">
        <f t="shared" si="38"/>
        <v>0</v>
      </c>
      <c r="K75" s="61">
        <f t="shared" si="39"/>
        <v>0</v>
      </c>
      <c r="L75" s="327"/>
      <c r="M75" s="328"/>
      <c r="N75" s="328"/>
      <c r="O75" s="330"/>
      <c r="P75" s="9"/>
      <c r="S75" s="12">
        <f t="shared" si="40"/>
        <v>0</v>
      </c>
      <c r="T75" s="12">
        <f t="shared" si="41"/>
        <v>0</v>
      </c>
      <c r="U75" s="621">
        <f t="shared" si="43"/>
        <v>0</v>
      </c>
    </row>
    <row r="76" spans="1:21" ht="20.100000000000001" customHeight="1" x14ac:dyDescent="0.25">
      <c r="A76" s="6">
        <v>27</v>
      </c>
      <c r="B76" s="323"/>
      <c r="C76" s="324"/>
      <c r="D76" s="324"/>
      <c r="E76" s="324"/>
      <c r="F76" s="63">
        <f t="shared" si="36"/>
        <v>0</v>
      </c>
      <c r="G76" s="63">
        <f>+((B76*Setup_and_Criteria!$F$13)+(C76*Setup_and_Criteria!$F$15)+(D76*Setup_and_Criteria!$F$14)+(E76*Setup_and_Criteria!$F$16))</f>
        <v>0</v>
      </c>
      <c r="H76" s="63">
        <f t="shared" si="42"/>
        <v>0</v>
      </c>
      <c r="I76" s="65">
        <f t="shared" si="37"/>
        <v>0</v>
      </c>
      <c r="J76" s="67">
        <f t="shared" si="38"/>
        <v>0</v>
      </c>
      <c r="K76" s="61">
        <f t="shared" si="39"/>
        <v>0</v>
      </c>
      <c r="L76" s="327"/>
      <c r="M76" s="328"/>
      <c r="N76" s="328"/>
      <c r="O76" s="330"/>
      <c r="P76" s="9"/>
      <c r="S76" s="12">
        <f t="shared" si="40"/>
        <v>0</v>
      </c>
      <c r="T76" s="12">
        <f t="shared" si="41"/>
        <v>0</v>
      </c>
      <c r="U76" s="621">
        <f t="shared" si="43"/>
        <v>0</v>
      </c>
    </row>
    <row r="77" spans="1:21" ht="20.100000000000001" customHeight="1" thickBot="1" x14ac:dyDescent="0.3">
      <c r="A77" s="6">
        <v>28</v>
      </c>
      <c r="B77" s="325"/>
      <c r="C77" s="326"/>
      <c r="D77" s="326"/>
      <c r="E77" s="326"/>
      <c r="F77" s="68">
        <f t="shared" si="36"/>
        <v>0</v>
      </c>
      <c r="G77" s="69">
        <f>+((B77*Setup_and_Criteria!$F$13)+(C77*Setup_and_Criteria!$F$15)+(D77*Setup_and_Criteria!$F$14)+(E77*Setup_and_Criteria!$F$16))</f>
        <v>0</v>
      </c>
      <c r="H77" s="69">
        <f t="shared" si="42"/>
        <v>0</v>
      </c>
      <c r="I77" s="70">
        <f t="shared" si="37"/>
        <v>0</v>
      </c>
      <c r="J77" s="71">
        <f t="shared" si="38"/>
        <v>0</v>
      </c>
      <c r="K77" s="62">
        <f t="shared" si="39"/>
        <v>0</v>
      </c>
      <c r="L77" s="331"/>
      <c r="M77" s="332"/>
      <c r="N77" s="332"/>
      <c r="O77" s="333"/>
      <c r="P77" s="9"/>
      <c r="S77" s="12">
        <f t="shared" si="40"/>
        <v>0</v>
      </c>
      <c r="T77" s="12">
        <f t="shared" si="41"/>
        <v>0</v>
      </c>
      <c r="U77" s="621">
        <f t="shared" si="43"/>
        <v>0</v>
      </c>
    </row>
    <row r="78" spans="1:21" ht="20.100000000000001" customHeight="1" thickTop="1" thickBot="1" x14ac:dyDescent="0.3">
      <c r="A78" s="25"/>
      <c r="B78" s="990" t="s">
        <v>212</v>
      </c>
      <c r="C78" s="990"/>
      <c r="D78" s="990"/>
      <c r="E78" s="60" t="e">
        <f>+H78/(F71+F72+F73+F74+F75+F76+F77)</f>
        <v>#DIV/0!</v>
      </c>
      <c r="F78" s="28">
        <f t="shared" ref="F78:K78" si="44">SUM(F71:F77)</f>
        <v>0</v>
      </c>
      <c r="G78" s="26">
        <f t="shared" si="44"/>
        <v>0</v>
      </c>
      <c r="H78" s="26">
        <f t="shared" si="44"/>
        <v>0</v>
      </c>
      <c r="I78" s="26">
        <f t="shared" si="44"/>
        <v>0</v>
      </c>
      <c r="J78" s="27">
        <f t="shared" si="44"/>
        <v>0</v>
      </c>
      <c r="K78" s="46">
        <f t="shared" si="44"/>
        <v>0</v>
      </c>
      <c r="L78" s="991" t="s">
        <v>213</v>
      </c>
      <c r="M78" s="992"/>
      <c r="N78" s="992"/>
      <c r="O78" s="993"/>
      <c r="P78" s="9"/>
      <c r="S78" s="12">
        <f t="shared" si="40"/>
        <v>0</v>
      </c>
      <c r="T78" s="12">
        <f t="shared" si="41"/>
        <v>0</v>
      </c>
      <c r="U78" s="621">
        <f t="shared" si="43"/>
        <v>0</v>
      </c>
    </row>
    <row r="79" spans="1:21" ht="32.25" thickBot="1" x14ac:dyDescent="0.3">
      <c r="A79" s="987" t="s">
        <v>214</v>
      </c>
      <c r="B79" s="985"/>
      <c r="C79" s="985"/>
      <c r="D79" s="985"/>
      <c r="E79" s="985"/>
      <c r="F79" s="985"/>
      <c r="G79" s="985"/>
      <c r="H79" s="985"/>
      <c r="I79" s="985"/>
      <c r="J79" s="985"/>
      <c r="K79" s="985"/>
      <c r="L79" s="988" t="s">
        <v>215</v>
      </c>
      <c r="M79" s="988"/>
      <c r="N79" s="988"/>
      <c r="O79" s="989"/>
      <c r="P79" s="9"/>
    </row>
    <row r="80" spans="1:21" ht="31.5" x14ac:dyDescent="0.35">
      <c r="A80" s="23"/>
      <c r="B80" s="31" t="str">
        <f>+Corrections!$C$8</f>
        <v>Vanity</v>
      </c>
      <c r="C80" s="31" t="str">
        <f>+Corrections!$I$8</f>
        <v>Toilet</v>
      </c>
      <c r="D80" s="32" t="str">
        <f>+Corrections!$O$8</f>
        <v>Bed/Pillows</v>
      </c>
      <c r="E80" s="31" t="str">
        <f>+Corrections!$U$8</f>
        <v>Floor</v>
      </c>
      <c r="F80" s="33" t="str">
        <f>+Corrections!$AA$8</f>
        <v>Dusting</v>
      </c>
      <c r="G80" s="33" t="str">
        <f>+Corrections!$AG$8</f>
        <v>Fridge/Micro</v>
      </c>
      <c r="H80" s="33" t="str">
        <f>+Corrections!$AM$8</f>
        <v>Tub</v>
      </c>
      <c r="I80" s="33" t="str">
        <f>+Corrections!$AS$8</f>
        <v>Mirrors/Glass</v>
      </c>
      <c r="J80" s="34" t="str">
        <f>+Corrections!$AY$8</f>
        <v>Stocking</v>
      </c>
      <c r="K80" s="35" t="str">
        <f>+Corrections!$BE$8</f>
        <v>Other</v>
      </c>
      <c r="L80" s="37" t="s">
        <v>216</v>
      </c>
      <c r="M80" s="59" t="s">
        <v>217</v>
      </c>
      <c r="N80" s="5"/>
      <c r="O80" s="72"/>
      <c r="P80" s="9"/>
    </row>
    <row r="81" spans="1:21" ht="20.100000000000001" customHeight="1" x14ac:dyDescent="0.25">
      <c r="A81" s="6">
        <v>22</v>
      </c>
      <c r="B81" s="47"/>
      <c r="C81" s="47"/>
      <c r="D81" s="47"/>
      <c r="E81" s="48"/>
      <c r="F81" s="49"/>
      <c r="G81" s="49"/>
      <c r="H81" s="50"/>
      <c r="I81" s="51"/>
      <c r="J81" s="49"/>
      <c r="K81" s="52"/>
      <c r="L81" s="43">
        <f>SUM(B81:K81)</f>
        <v>0</v>
      </c>
      <c r="M81" s="39" t="e">
        <f t="shared" ref="M81:M87" si="45">+L81/(B71+C71+D71)</f>
        <v>#DIV/0!</v>
      </c>
      <c r="N81" s="5"/>
      <c r="O81" s="72"/>
      <c r="P81" s="9"/>
    </row>
    <row r="82" spans="1:21" ht="20.100000000000001" customHeight="1" x14ac:dyDescent="0.25">
      <c r="A82" s="6">
        <v>23</v>
      </c>
      <c r="B82" s="50"/>
      <c r="C82" s="49"/>
      <c r="D82" s="49"/>
      <c r="E82" s="49"/>
      <c r="F82" s="49"/>
      <c r="G82" s="49"/>
      <c r="H82" s="49"/>
      <c r="I82" s="51"/>
      <c r="J82" s="49"/>
      <c r="K82" s="52"/>
      <c r="L82" s="43">
        <f t="shared" ref="L82:L87" si="46">SUM(B82:K82)</f>
        <v>0</v>
      </c>
      <c r="M82" s="39" t="e">
        <f t="shared" si="45"/>
        <v>#DIV/0!</v>
      </c>
      <c r="N82" s="5"/>
      <c r="O82" s="72"/>
      <c r="P82" s="9"/>
    </row>
    <row r="83" spans="1:21" ht="20.100000000000001" customHeight="1" x14ac:dyDescent="0.25">
      <c r="A83" s="6">
        <v>24</v>
      </c>
      <c r="B83" s="50"/>
      <c r="C83" s="49"/>
      <c r="D83" s="49"/>
      <c r="E83" s="49"/>
      <c r="F83" s="49"/>
      <c r="G83" s="49"/>
      <c r="H83" s="49"/>
      <c r="I83" s="51"/>
      <c r="J83" s="49"/>
      <c r="K83" s="52"/>
      <c r="L83" s="43">
        <f t="shared" si="46"/>
        <v>0</v>
      </c>
      <c r="M83" s="39" t="e">
        <f t="shared" si="45"/>
        <v>#DIV/0!</v>
      </c>
      <c r="N83" s="5"/>
      <c r="O83" s="72"/>
      <c r="P83" s="9"/>
    </row>
    <row r="84" spans="1:21" ht="20.100000000000001" customHeight="1" x14ac:dyDescent="0.25">
      <c r="A84" s="6">
        <v>25</v>
      </c>
      <c r="B84" s="50"/>
      <c r="C84" s="49"/>
      <c r="D84" s="49"/>
      <c r="E84" s="49"/>
      <c r="F84" s="49"/>
      <c r="G84" s="49"/>
      <c r="H84" s="49"/>
      <c r="I84" s="51"/>
      <c r="J84" s="49"/>
      <c r="K84" s="52"/>
      <c r="L84" s="43">
        <f t="shared" si="46"/>
        <v>0</v>
      </c>
      <c r="M84" s="39" t="e">
        <f t="shared" si="45"/>
        <v>#DIV/0!</v>
      </c>
      <c r="N84" s="5"/>
      <c r="O84" s="72"/>
      <c r="P84" s="9"/>
    </row>
    <row r="85" spans="1:21" ht="20.100000000000001" customHeight="1" x14ac:dyDescent="0.25">
      <c r="A85" s="6">
        <v>26</v>
      </c>
      <c r="B85" s="50"/>
      <c r="C85" s="49"/>
      <c r="D85" s="49"/>
      <c r="E85" s="49"/>
      <c r="F85" s="49"/>
      <c r="G85" s="49"/>
      <c r="H85" s="49"/>
      <c r="I85" s="51"/>
      <c r="J85" s="49"/>
      <c r="K85" s="52"/>
      <c r="L85" s="43">
        <f t="shared" si="46"/>
        <v>0</v>
      </c>
      <c r="M85" s="39" t="e">
        <f t="shared" si="45"/>
        <v>#DIV/0!</v>
      </c>
      <c r="N85" s="5"/>
      <c r="O85" s="72"/>
      <c r="P85" s="9"/>
    </row>
    <row r="86" spans="1:21" ht="20.100000000000001" customHeight="1" x14ac:dyDescent="0.25">
      <c r="A86" s="6">
        <v>27</v>
      </c>
      <c r="B86" s="50"/>
      <c r="C86" s="49"/>
      <c r="D86" s="49"/>
      <c r="E86" s="49"/>
      <c r="F86" s="49"/>
      <c r="G86" s="49"/>
      <c r="H86" s="49"/>
      <c r="I86" s="51"/>
      <c r="J86" s="49"/>
      <c r="K86" s="52"/>
      <c r="L86" s="43">
        <f t="shared" si="46"/>
        <v>0</v>
      </c>
      <c r="M86" s="39" t="e">
        <f t="shared" si="45"/>
        <v>#DIV/0!</v>
      </c>
      <c r="N86" s="5"/>
      <c r="O86" s="72"/>
      <c r="P86" s="9"/>
    </row>
    <row r="87" spans="1:21" ht="20.100000000000001" customHeight="1" thickBot="1" x14ac:dyDescent="0.3">
      <c r="A87" s="6">
        <v>28</v>
      </c>
      <c r="B87" s="53"/>
      <c r="C87" s="54"/>
      <c r="D87" s="54"/>
      <c r="E87" s="54"/>
      <c r="F87" s="54"/>
      <c r="G87" s="54"/>
      <c r="H87" s="54"/>
      <c r="I87" s="55"/>
      <c r="J87" s="54"/>
      <c r="K87" s="56"/>
      <c r="L87" s="44">
        <f t="shared" si="46"/>
        <v>0</v>
      </c>
      <c r="M87" s="40" t="e">
        <f t="shared" si="45"/>
        <v>#DIV/0!</v>
      </c>
      <c r="N87" s="5"/>
      <c r="O87" s="72"/>
      <c r="P87" s="9"/>
    </row>
    <row r="88" spans="1:21" ht="20.100000000000001" customHeight="1" thickTop="1" thickBot="1" x14ac:dyDescent="0.3">
      <c r="A88" s="25"/>
      <c r="B88" s="38">
        <f>SUM(B81:B87)</f>
        <v>0</v>
      </c>
      <c r="C88" s="38">
        <f t="shared" ref="C88:K88" si="47">SUM(C81:C87)</f>
        <v>0</v>
      </c>
      <c r="D88" s="38">
        <f t="shared" si="47"/>
        <v>0</v>
      </c>
      <c r="E88" s="36">
        <f t="shared" si="47"/>
        <v>0</v>
      </c>
      <c r="F88" s="36">
        <f t="shared" si="47"/>
        <v>0</v>
      </c>
      <c r="G88" s="36">
        <f t="shared" si="47"/>
        <v>0</v>
      </c>
      <c r="H88" s="36">
        <f t="shared" si="47"/>
        <v>0</v>
      </c>
      <c r="I88" s="36">
        <f t="shared" si="47"/>
        <v>0</v>
      </c>
      <c r="J88" s="36">
        <f t="shared" si="47"/>
        <v>0</v>
      </c>
      <c r="K88" s="41">
        <f t="shared" si="47"/>
        <v>0</v>
      </c>
      <c r="L88" s="45">
        <f>SUM(L81:L87)</f>
        <v>0</v>
      </c>
      <c r="M88" s="42" t="e">
        <f>+L88/(F78)</f>
        <v>#DIV/0!</v>
      </c>
      <c r="N88" s="73"/>
      <c r="O88" s="74"/>
      <c r="P88" s="9"/>
    </row>
    <row r="89" spans="1:21" ht="32.25" thickBot="1" x14ac:dyDescent="0.3">
      <c r="A89" s="986" t="s">
        <v>198</v>
      </c>
      <c r="B89" s="986"/>
      <c r="C89" s="986"/>
      <c r="D89" s="986"/>
      <c r="E89" s="986"/>
      <c r="F89" s="986"/>
      <c r="G89" s="986"/>
      <c r="H89" s="986"/>
      <c r="I89" s="986"/>
      <c r="J89" s="986"/>
      <c r="K89" s="986"/>
      <c r="L89" s="986"/>
      <c r="M89" s="986"/>
      <c r="N89" s="986"/>
      <c r="O89" s="986"/>
      <c r="P89" s="9"/>
    </row>
    <row r="90" spans="1:21" s="3" customFormat="1" ht="24.75" customHeight="1" thickBot="1" x14ac:dyDescent="0.4">
      <c r="A90" s="302" t="s">
        <v>199</v>
      </c>
      <c r="B90" s="998" t="str">
        <f ca="1">+B68</f>
        <v>TeamMember 2</v>
      </c>
      <c r="C90" s="999"/>
      <c r="D90" s="999"/>
      <c r="E90" s="999"/>
      <c r="F90" s="1000"/>
      <c r="G90" s="262"/>
      <c r="H90" s="996"/>
      <c r="I90" s="996"/>
      <c r="J90" s="997"/>
      <c r="K90" s="997"/>
      <c r="L90" s="826" t="s">
        <v>218</v>
      </c>
      <c r="M90" s="1001"/>
      <c r="N90" s="1001"/>
      <c r="O90" s="827"/>
      <c r="P90" s="9"/>
      <c r="S90" s="621"/>
      <c r="T90" s="621"/>
    </row>
    <row r="91" spans="1:21" ht="51" x14ac:dyDescent="0.25">
      <c r="A91" s="301" t="str">
        <f>+Setup_and_Criteria!$J$6</f>
        <v>Q2</v>
      </c>
      <c r="B91" s="633" t="s">
        <v>200</v>
      </c>
      <c r="C91" s="298" t="s">
        <v>201</v>
      </c>
      <c r="D91" s="633" t="s">
        <v>202</v>
      </c>
      <c r="E91" s="303" t="s">
        <v>203</v>
      </c>
      <c r="F91" s="299" t="s">
        <v>204</v>
      </c>
      <c r="G91" s="298" t="s">
        <v>137</v>
      </c>
      <c r="H91" s="298" t="s">
        <v>138</v>
      </c>
      <c r="I91" s="298" t="s">
        <v>205</v>
      </c>
      <c r="J91" s="299" t="s">
        <v>206</v>
      </c>
      <c r="K91" s="300" t="s">
        <v>207</v>
      </c>
      <c r="L91" s="57" t="s">
        <v>208</v>
      </c>
      <c r="M91" s="29" t="s">
        <v>209</v>
      </c>
      <c r="N91" s="29" t="s">
        <v>210</v>
      </c>
      <c r="O91" s="30" t="s">
        <v>211</v>
      </c>
      <c r="P91" s="9"/>
    </row>
    <row r="92" spans="1:21" ht="20.100000000000001" hidden="1" customHeight="1" x14ac:dyDescent="0.35">
      <c r="A92" s="23"/>
      <c r="B92" s="13">
        <v>30</v>
      </c>
      <c r="C92" s="13">
        <v>45</v>
      </c>
      <c r="D92" s="13">
        <v>20</v>
      </c>
      <c r="E92" s="13">
        <v>0</v>
      </c>
      <c r="F92" s="14"/>
      <c r="G92" s="15"/>
      <c r="H92" s="15"/>
      <c r="I92" s="15"/>
      <c r="J92" s="16"/>
      <c r="K92" s="24"/>
      <c r="L92" s="58"/>
      <c r="O92" s="24"/>
      <c r="P92" s="9"/>
    </row>
    <row r="93" spans="1:21" ht="20.100000000000001" customHeight="1" x14ac:dyDescent="0.25">
      <c r="A93" s="6">
        <v>29</v>
      </c>
      <c r="B93" s="321"/>
      <c r="C93" s="321"/>
      <c r="D93" s="321"/>
      <c r="E93" s="322"/>
      <c r="F93" s="63">
        <f>SUM(B93:E93)</f>
        <v>0</v>
      </c>
      <c r="G93" s="63">
        <f>+((B93*Setup_and_Criteria!$F$13)+(C93*Setup_and_Criteria!$F$15)+(D93*Setup_and_Criteria!$F$14)+(E93*Setup_and_Criteria!$F$16))</f>
        <v>0</v>
      </c>
      <c r="H93" s="64">
        <f>+U93</f>
        <v>0</v>
      </c>
      <c r="I93" s="65">
        <f>+G93-U93</f>
        <v>0</v>
      </c>
      <c r="J93" s="66">
        <f>+G93/60</f>
        <v>0</v>
      </c>
      <c r="K93" s="61">
        <f>+(M93-L93)+(O93-N93)</f>
        <v>0</v>
      </c>
      <c r="L93" s="327"/>
      <c r="M93" s="328"/>
      <c r="N93" s="328"/>
      <c r="O93" s="329"/>
      <c r="P93" s="9"/>
      <c r="S93" s="12">
        <f>HOUR(K93)</f>
        <v>0</v>
      </c>
      <c r="T93" s="12">
        <f>MINUTE(K93)</f>
        <v>0</v>
      </c>
      <c r="U93" s="621">
        <f>+(S93*60)+T93</f>
        <v>0</v>
      </c>
    </row>
    <row r="94" spans="1:21" ht="20.100000000000001" customHeight="1" x14ac:dyDescent="0.25">
      <c r="A94" s="6">
        <v>30</v>
      </c>
      <c r="B94" s="323"/>
      <c r="C94" s="324"/>
      <c r="D94" s="324"/>
      <c r="E94" s="324"/>
      <c r="F94" s="63">
        <f>SUM(B94:E94)</f>
        <v>0</v>
      </c>
      <c r="G94" s="63">
        <f>+((B94*Setup_and_Criteria!$F$13)+(C94*Setup_and_Criteria!$F$15)+(D94*Setup_and_Criteria!$F$14)+(E94*Setup_and_Criteria!$F$16))</f>
        <v>0</v>
      </c>
      <c r="H94" s="63">
        <f>+U94</f>
        <v>0</v>
      </c>
      <c r="I94" s="65">
        <f>+G94-U94</f>
        <v>0</v>
      </c>
      <c r="J94" s="67">
        <f>+G94/60</f>
        <v>0</v>
      </c>
      <c r="K94" s="61">
        <f>+(M94-L94)+(O94-N94)</f>
        <v>0</v>
      </c>
      <c r="L94" s="327"/>
      <c r="M94" s="328"/>
      <c r="N94" s="328"/>
      <c r="O94" s="329"/>
      <c r="P94" s="9"/>
      <c r="S94" s="12">
        <f>HOUR(K94)</f>
        <v>0</v>
      </c>
      <c r="T94" s="12">
        <f>MINUTE(K94)</f>
        <v>0</v>
      </c>
      <c r="U94" s="621">
        <f>+(S94*60)+T94</f>
        <v>0</v>
      </c>
    </row>
    <row r="95" spans="1:21" ht="20.100000000000001" customHeight="1" thickBot="1" x14ac:dyDescent="0.3">
      <c r="A95" s="6">
        <v>31</v>
      </c>
      <c r="B95" s="323"/>
      <c r="C95" s="324"/>
      <c r="D95" s="324"/>
      <c r="E95" s="324"/>
      <c r="F95" s="63">
        <f>SUM(B95:E95)</f>
        <v>0</v>
      </c>
      <c r="G95" s="69">
        <f>+((B95*Setup_and_Criteria!$F$13)+(C95*Setup_and_Criteria!$F$15)+(D95*Setup_and_Criteria!$F$14)+(E95*Setup_and_Criteria!$F$16))</f>
        <v>0</v>
      </c>
      <c r="H95" s="69">
        <f>+U95</f>
        <v>0</v>
      </c>
      <c r="I95" s="70">
        <f>+G95-U95</f>
        <v>0</v>
      </c>
      <c r="J95" s="67">
        <f>+G95/60</f>
        <v>0</v>
      </c>
      <c r="K95" s="61">
        <f>+(M95-L95)+(O95-N95)</f>
        <v>0</v>
      </c>
      <c r="L95" s="327"/>
      <c r="M95" s="328"/>
      <c r="N95" s="328"/>
      <c r="O95" s="330"/>
      <c r="P95" s="9"/>
      <c r="S95" s="12">
        <f>HOUR(K95)</f>
        <v>0</v>
      </c>
      <c r="T95" s="12">
        <f>MINUTE(K95)</f>
        <v>0</v>
      </c>
      <c r="U95" s="621">
        <f>+(S95*60)+T95</f>
        <v>0</v>
      </c>
    </row>
    <row r="96" spans="1:21" ht="20.100000000000001" customHeight="1" thickTop="1" thickBot="1" x14ac:dyDescent="0.3">
      <c r="A96" s="25"/>
      <c r="B96" s="990" t="s">
        <v>212</v>
      </c>
      <c r="C96" s="990"/>
      <c r="D96" s="990"/>
      <c r="E96" s="297" t="e">
        <f>+H96/(F93+F94+F95)</f>
        <v>#DIV/0!</v>
      </c>
      <c r="F96" s="28">
        <f t="shared" ref="F96:K96" si="48">SUM(F93:F95)</f>
        <v>0</v>
      </c>
      <c r="G96" s="26">
        <f t="shared" si="48"/>
        <v>0</v>
      </c>
      <c r="H96" s="26">
        <f t="shared" si="48"/>
        <v>0</v>
      </c>
      <c r="I96" s="26">
        <f t="shared" si="48"/>
        <v>0</v>
      </c>
      <c r="J96" s="27">
        <f t="shared" si="48"/>
        <v>0</v>
      </c>
      <c r="K96" s="46">
        <f t="shared" si="48"/>
        <v>0</v>
      </c>
      <c r="L96" s="991" t="s">
        <v>213</v>
      </c>
      <c r="M96" s="992"/>
      <c r="N96" s="992"/>
      <c r="O96" s="993"/>
      <c r="P96" s="9"/>
      <c r="S96" s="12">
        <f>HOUR(K96)</f>
        <v>0</v>
      </c>
      <c r="T96" s="12">
        <f>MINUTE(K96)</f>
        <v>0</v>
      </c>
      <c r="U96" s="621">
        <f>+(S96*60)+T96</f>
        <v>0</v>
      </c>
    </row>
    <row r="97" spans="1:16" ht="32.25" thickBot="1" x14ac:dyDescent="0.3">
      <c r="A97" s="987" t="s">
        <v>214</v>
      </c>
      <c r="B97" s="985"/>
      <c r="C97" s="985"/>
      <c r="D97" s="985"/>
      <c r="E97" s="985"/>
      <c r="F97" s="985"/>
      <c r="G97" s="985"/>
      <c r="H97" s="985"/>
      <c r="I97" s="985"/>
      <c r="J97" s="985"/>
      <c r="K97" s="985"/>
      <c r="L97" s="988" t="s">
        <v>215</v>
      </c>
      <c r="M97" s="988"/>
      <c r="N97" s="988"/>
      <c r="O97" s="989"/>
      <c r="P97" s="9"/>
    </row>
    <row r="98" spans="1:16" ht="31.5" x14ac:dyDescent="0.25">
      <c r="A98" s="301" t="str">
        <f>+A91</f>
        <v>Q2</v>
      </c>
      <c r="B98" s="31" t="str">
        <f>+Corrections!$C$8</f>
        <v>Vanity</v>
      </c>
      <c r="C98" s="31" t="str">
        <f>+Corrections!$I$8</f>
        <v>Toilet</v>
      </c>
      <c r="D98" s="32" t="str">
        <f>+Corrections!$O$8</f>
        <v>Bed/Pillows</v>
      </c>
      <c r="E98" s="31" t="str">
        <f>+Corrections!$U$8</f>
        <v>Floor</v>
      </c>
      <c r="F98" s="33" t="str">
        <f>+Corrections!$AA$8</f>
        <v>Dusting</v>
      </c>
      <c r="G98" s="33" t="str">
        <f>+Corrections!$AG$8</f>
        <v>Fridge/Micro</v>
      </c>
      <c r="H98" s="33" t="str">
        <f>+Corrections!$AM$8</f>
        <v>Tub</v>
      </c>
      <c r="I98" s="33" t="str">
        <f>+Corrections!$AS$8</f>
        <v>Mirrors/Glass</v>
      </c>
      <c r="J98" s="34" t="str">
        <f>+Corrections!$AY$8</f>
        <v>Stocking</v>
      </c>
      <c r="K98" s="35" t="str">
        <f>+Corrections!$BE$8</f>
        <v>Other</v>
      </c>
      <c r="L98" s="37" t="s">
        <v>216</v>
      </c>
      <c r="M98" s="59" t="s">
        <v>217</v>
      </c>
      <c r="N98" s="5"/>
      <c r="O98" s="72"/>
      <c r="P98" s="9"/>
    </row>
    <row r="99" spans="1:16" ht="21.95" customHeight="1" x14ac:dyDescent="0.25">
      <c r="A99" s="6">
        <v>29</v>
      </c>
      <c r="B99" s="47"/>
      <c r="C99" s="47"/>
      <c r="D99" s="47"/>
      <c r="E99" s="48"/>
      <c r="F99" s="49"/>
      <c r="G99" s="49"/>
      <c r="H99" s="50"/>
      <c r="I99" s="51"/>
      <c r="J99" s="49"/>
      <c r="K99" s="52"/>
      <c r="L99" s="43">
        <f>SUM(B99:K99)</f>
        <v>0</v>
      </c>
      <c r="M99" s="39" t="e">
        <f>+L99/(B93+C93+D93)</f>
        <v>#DIV/0!</v>
      </c>
      <c r="N99" s="5"/>
      <c r="O99" s="72"/>
      <c r="P99" s="9"/>
    </row>
    <row r="100" spans="1:16" ht="21.95" customHeight="1" x14ac:dyDescent="0.25">
      <c r="A100" s="6">
        <v>30</v>
      </c>
      <c r="B100" s="50"/>
      <c r="C100" s="49"/>
      <c r="D100" s="49"/>
      <c r="E100" s="49"/>
      <c r="F100" s="49"/>
      <c r="G100" s="49"/>
      <c r="H100" s="49"/>
      <c r="I100" s="51"/>
      <c r="J100" s="49"/>
      <c r="K100" s="52"/>
      <c r="L100" s="43">
        <f>SUM(B100:K100)</f>
        <v>0</v>
      </c>
      <c r="M100" s="39" t="e">
        <f>+L100/(B94+C94+D94)</f>
        <v>#DIV/0!</v>
      </c>
      <c r="N100" s="5"/>
      <c r="O100" s="72"/>
      <c r="P100" s="9"/>
    </row>
    <row r="101" spans="1:16" ht="21.95" customHeight="1" x14ac:dyDescent="0.25">
      <c r="A101" s="6">
        <v>31</v>
      </c>
      <c r="B101" s="50"/>
      <c r="C101" s="49"/>
      <c r="D101" s="49"/>
      <c r="E101" s="49"/>
      <c r="F101" s="49"/>
      <c r="G101" s="49"/>
      <c r="H101" s="49"/>
      <c r="I101" s="51"/>
      <c r="J101" s="49"/>
      <c r="K101" s="52"/>
      <c r="L101" s="43">
        <f>SUM(B101:K101)</f>
        <v>0</v>
      </c>
      <c r="M101" s="39" t="e">
        <f>+L101/(B95+C95+D95)</f>
        <v>#DIV/0!</v>
      </c>
      <c r="N101" s="5"/>
      <c r="O101" s="72"/>
      <c r="P101" s="9"/>
    </row>
    <row r="102" spans="1:16" ht="21.95" customHeight="1" thickBot="1" x14ac:dyDescent="0.3">
      <c r="A102" s="25"/>
      <c r="B102" s="38">
        <f t="shared" ref="B102:L102" si="49">SUM(B99:B101)</f>
        <v>0</v>
      </c>
      <c r="C102" s="38">
        <f t="shared" si="49"/>
        <v>0</v>
      </c>
      <c r="D102" s="38">
        <f t="shared" si="49"/>
        <v>0</v>
      </c>
      <c r="E102" s="36">
        <f t="shared" si="49"/>
        <v>0</v>
      </c>
      <c r="F102" s="36">
        <f t="shared" si="49"/>
        <v>0</v>
      </c>
      <c r="G102" s="36">
        <f t="shared" si="49"/>
        <v>0</v>
      </c>
      <c r="H102" s="36">
        <f t="shared" si="49"/>
        <v>0</v>
      </c>
      <c r="I102" s="36">
        <f t="shared" si="49"/>
        <v>0</v>
      </c>
      <c r="J102" s="36">
        <f t="shared" si="49"/>
        <v>0</v>
      </c>
      <c r="K102" s="41">
        <f t="shared" si="49"/>
        <v>0</v>
      </c>
      <c r="L102" s="45">
        <f t="shared" si="49"/>
        <v>0</v>
      </c>
      <c r="M102" s="42" t="e">
        <f>+L102/(F96)</f>
        <v>#DIV/0!</v>
      </c>
      <c r="N102" s="73"/>
      <c r="O102" s="74"/>
      <c r="P102" s="9"/>
    </row>
    <row r="103" spans="1:16" ht="15.75" x14ac:dyDescent="0.25">
      <c r="A103" s="8"/>
      <c r="B103" s="8"/>
      <c r="C103" s="8"/>
      <c r="D103" s="1005"/>
      <c r="E103" s="1005"/>
      <c r="F103" s="4"/>
      <c r="G103" s="4"/>
      <c r="H103" s="4"/>
      <c r="I103" s="4"/>
      <c r="J103" s="4"/>
      <c r="K103" s="4"/>
      <c r="L103" s="4"/>
      <c r="M103" s="4"/>
      <c r="N103" s="4"/>
      <c r="O103" s="790"/>
      <c r="P103" s="790"/>
    </row>
    <row r="104" spans="1:16" ht="15.75" x14ac:dyDescent="0.25">
      <c r="A104" s="1006"/>
      <c r="B104" s="1006"/>
      <c r="C104" s="1006"/>
      <c r="D104" s="1005"/>
      <c r="E104" s="1005"/>
      <c r="F104" s="634"/>
      <c r="G104" s="634"/>
      <c r="H104" s="634"/>
      <c r="I104" s="634"/>
      <c r="J104" s="634"/>
      <c r="K104" s="634"/>
      <c r="L104" s="634"/>
      <c r="M104" s="634"/>
      <c r="N104" s="634"/>
      <c r="O104" s="790"/>
      <c r="P104" s="790"/>
    </row>
    <row r="105" spans="1:16" ht="15.75" x14ac:dyDescent="0.25">
      <c r="A105" s="1006"/>
      <c r="B105" s="1006"/>
      <c r="C105" s="1006"/>
      <c r="D105" s="1005"/>
      <c r="E105" s="1005"/>
      <c r="F105" s="4"/>
      <c r="G105" s="4"/>
      <c r="H105" s="4"/>
      <c r="I105" s="4"/>
      <c r="J105" s="1005"/>
      <c r="K105" s="1005"/>
      <c r="L105" s="1005"/>
      <c r="M105" s="1005"/>
      <c r="N105" s="1005"/>
      <c r="O105" s="790"/>
      <c r="P105" s="790"/>
    </row>
    <row r="106" spans="1:16" ht="26.25" x14ac:dyDescent="0.25">
      <c r="A106" s="4"/>
      <c r="B106" s="4"/>
      <c r="C106" s="4"/>
      <c r="D106" s="4"/>
      <c r="E106" s="4"/>
      <c r="F106" s="4"/>
      <c r="G106" s="634"/>
      <c r="H106" s="634"/>
      <c r="I106" s="634"/>
      <c r="J106" s="634"/>
      <c r="K106" s="634"/>
      <c r="L106" s="633"/>
      <c r="M106" s="633"/>
      <c r="N106" s="4"/>
      <c r="O106" s="1007"/>
      <c r="P106" s="1008"/>
    </row>
    <row r="107" spans="1:16" ht="15.75" x14ac:dyDescent="0.25">
      <c r="A107" s="4"/>
      <c r="B107" s="4"/>
      <c r="C107" s="4"/>
      <c r="D107" s="4"/>
      <c r="E107" s="4"/>
      <c r="F107" s="1009"/>
      <c r="G107" s="1009"/>
      <c r="H107" s="1009"/>
      <c r="I107" s="1009"/>
      <c r="J107" s="1009"/>
      <c r="K107" s="1009"/>
      <c r="L107" s="1009"/>
      <c r="M107" s="1009"/>
      <c r="N107" s="1009"/>
      <c r="O107" s="790"/>
      <c r="P107" s="790"/>
    </row>
    <row r="108" spans="1:16" ht="15" customHeight="1" x14ac:dyDescent="0.25">
      <c r="A108" s="4"/>
      <c r="B108" s="4"/>
      <c r="C108" s="4"/>
      <c r="D108" s="4"/>
      <c r="E108" s="4"/>
      <c r="P108" s="10"/>
    </row>
  </sheetData>
  <protectedRanges>
    <protectedRange algorithmName="SHA-512" hashValue="Iv3Bn+plL8GTxYDd8ieLbJptC2gxlJT1rDUemyR0/uPJvrmT4k2O+JzScVtRZBInVKGfksG7/Kd8t6aXYjRhUQ==" saltValue="BAVojDMzZB00P9C6d+gOcA==" spinCount="100000" sqref="B99:K101" name="CorrWk5_3"/>
    <protectedRange algorithmName="SHA-512" hashValue="nxYPZtYe6goUDLxQ/l3c51BR1xp00Ctk9xBsIQodF8grmjR0MtUqvmZ9XlHtar5HecPhudPrhn8+djmhNmzHgg==" saltValue="1HGbB0ipOPOwER3bJP1CUw==" spinCount="100000" sqref="B93:E95" name="Roomswk5_3"/>
    <protectedRange algorithmName="SHA-512" hashValue="gtdY+xS4/ajOJNP0N5UlDNSu8uMSN7NDupgNKtqL7bp+6aTHdfpMYgYx4dKKCqbw/Dh2qVdHipnkrpzGooB8WQ==" saltValue="4CSPsMkuPAB4h+u7VMNzbA==" spinCount="100000" sqref="L72:O77 N71:O71" name="Timeswk4_3"/>
    <protectedRange algorithmName="SHA-512" hashValue="ACDMkhOy9Pdj+U4E1+ZpTsaIL+5x2D01OowyZc+myl4K8cVd6AeKREUwVk/zQcmmNMGjDU7CjAe3yWy/M4cYoQ==" saltValue="RXwlGIrGB07gjnBd9tRxEQ==" spinCount="100000" sqref="L50:O55 N49:O49" name="TimesWk3_3"/>
    <protectedRange algorithmName="SHA-512" hashValue="F8H8G7YX4zWyk3tO22WrOElDrLoS2a40ylZxOkfgNDVu65QNzwx0vk5uq6xJxii5x5opi8O1K3XEQVYqRt4JTA==" saltValue="hrPFGz6NkG3PFVN8M8+zgA==" spinCount="100000" sqref="B37:K43" name="CorrWk2_3"/>
    <protectedRange algorithmName="SHA-512" hashValue="FZTgeIQtSm48u+PXKalwYT6GZZCV8zKQYO6Aj6HWns5pd6S806bUtLATs6vHayhF+IpqYGdRxEhCpUbKmFOYCQ==" saltValue="EFfUxyJ1CQ7xapjVbjCeJg==" spinCount="100000" sqref="B27:E33" name="Wk2Rms_3"/>
    <protectedRange algorithmName="SHA-512" hashValue="N8plT1jPOUWNxgL0ywKVvBLho5t2yOHmRzDuEtQXefsV7Z+FH3AEDAJHKiVnGV9l051H5J7L2+0t1uwjy4Ew5A==" saltValue="zHA/zmHT6wiB3YMfSSlZRg==" spinCount="100000" sqref="B5:E11 B27:E33 B49:E55 B71:E77 B93:E95" name="RoomsCleaned_1_3"/>
    <protectedRange algorithmName="SHA-512" hashValue="AtwNwpOr1GZdpSv/9Z//Ko3vgGgOn/BjT04jzZyE2xYrKdzqnkYepo3/hztkG2cZEUgAX3FL8xf7hhwlpPxkMw==" saltValue="96hS6uLz3oE9Tt1NOdd0QQ==" spinCount="100000" sqref="L5:O11 L27:O33 L49:O55 L71:O77 L93:O95" name="Hours_1_3"/>
    <protectedRange algorithmName="SHA-512" hashValue="kTXWmc1wcyaH0u6+8bXOuqDRWnwSyTpF8SfRFtIKYSrG8k7mnYJRvlXJmsexGOdemcqbQ1b5HTfqp7o3rFVr0w==" saltValue="sP7KGraU6qYLJHRzADCnVw==" spinCount="100000" sqref="B15:K21 B37:K43 B59:K65 B81:K87 B99:K101" name="Corrections_1_3"/>
    <protectedRange algorithmName="SHA-512" hashValue="zob/oSV10SteakDr2L9WiUjo/OLktK5SD+ISKdWnR1S5D7LHoBHzyCP8yK1YIwMJmnQm3At1MHNbhVG8e+u20w==" saltValue="UPwwIT6obpJDjKwTxmKIFw==" spinCount="100000" sqref="L28:O33 N27:O27" name="timeswk2_3"/>
    <protectedRange algorithmName="SHA-512" hashValue="2p7I4cbJvOG1DxVvZfrhne+PSMFHFKlKRCkFwqqusvaZfHpA1v4zw8Iqax9s0MXcQOOxoSlRc2MtqoVGw3YGdQ==" saltValue="jIyqP7s+PhPmX8DkM4+sXg==" spinCount="100000" sqref="B49:E55" name="RmsWk3_3"/>
    <protectedRange algorithmName="SHA-512" hashValue="euNeBxHUPiTYc/xJHY0lrmq/gdP6AxEQoRjWd+77EdLrj2a8fOj/P/uQIZxq1Vs1sL7ENzWj9YPj0x4kkNqXXA==" saltValue="JkOKS8EwaNNTak5J66nYSg==" spinCount="100000" sqref="B59:K65" name="CorrWk3_3"/>
    <protectedRange algorithmName="SHA-512" hashValue="y3Tg4DC56laJNlgFQL7lO5FrZGntQ81qeYyfMgCTfNqUTSDqyp70L0sJzB0ZWddljHyWeuIPQoVaYYS/SjpXrw==" saltValue="3Symqigx8sozARCCaF9G9w==" spinCount="100000" sqref="B81:K87" name="CorrWk4_3"/>
    <protectedRange algorithmName="SHA-512" hashValue="xY6bfhiwIbvuOiSkvJvRKaHvs7h5XWW1QykZGyeamzK8aNZVdCv5y+TtYsLt4Ep5wHIuW1H4gmVPOk39+iATjg==" saltValue="1uIyvualypu40axBul51pw==" spinCount="100000" sqref="N93:O93 L94:O95" name="TimesWk5_3"/>
  </protectedRanges>
  <mergeCells count="57">
    <mergeCell ref="F107:N107"/>
    <mergeCell ref="O106:P106"/>
    <mergeCell ref="O107:P107"/>
    <mergeCell ref="H2:I2"/>
    <mergeCell ref="J2:K2"/>
    <mergeCell ref="A13:K13"/>
    <mergeCell ref="L13:O13"/>
    <mergeCell ref="B24:F24"/>
    <mergeCell ref="L57:O57"/>
    <mergeCell ref="B68:F68"/>
    <mergeCell ref="B2:F2"/>
    <mergeCell ref="L2:O2"/>
    <mergeCell ref="L12:O12"/>
    <mergeCell ref="H24:I24"/>
    <mergeCell ref="J24:K24"/>
    <mergeCell ref="H46:I46"/>
    <mergeCell ref="J46:K46"/>
    <mergeCell ref="H68:I68"/>
    <mergeCell ref="J68:K68"/>
    <mergeCell ref="N36:O36"/>
    <mergeCell ref="B46:F46"/>
    <mergeCell ref="L46:O46"/>
    <mergeCell ref="B56:D56"/>
    <mergeCell ref="L56:O56"/>
    <mergeCell ref="B90:F90"/>
    <mergeCell ref="L90:O90"/>
    <mergeCell ref="H90:I90"/>
    <mergeCell ref="J90:K90"/>
    <mergeCell ref="B96:D96"/>
    <mergeCell ref="L96:O96"/>
    <mergeCell ref="A97:K97"/>
    <mergeCell ref="L97:O97"/>
    <mergeCell ref="D104:E104"/>
    <mergeCell ref="O104:P104"/>
    <mergeCell ref="A105:C105"/>
    <mergeCell ref="D105:E105"/>
    <mergeCell ref="O105:P105"/>
    <mergeCell ref="D103:E103"/>
    <mergeCell ref="O103:P103"/>
    <mergeCell ref="A104:C104"/>
    <mergeCell ref="J105:N105"/>
    <mergeCell ref="A1:O1"/>
    <mergeCell ref="A23:O23"/>
    <mergeCell ref="A45:O45"/>
    <mergeCell ref="A67:O67"/>
    <mergeCell ref="A89:O89"/>
    <mergeCell ref="L68:O68"/>
    <mergeCell ref="B78:D78"/>
    <mergeCell ref="L78:O78"/>
    <mergeCell ref="A79:K79"/>
    <mergeCell ref="L79:O79"/>
    <mergeCell ref="L24:O24"/>
    <mergeCell ref="B34:D34"/>
    <mergeCell ref="L34:O34"/>
    <mergeCell ref="A35:K35"/>
    <mergeCell ref="L35:O35"/>
    <mergeCell ref="A57:K57"/>
  </mergeCells>
  <conditionalFormatting sqref="E12">
    <cfRule type="cellIs" dxfId="4" priority="5" operator="greaterThan">
      <formula>28</formula>
    </cfRule>
  </conditionalFormatting>
  <conditionalFormatting sqref="E34">
    <cfRule type="cellIs" dxfId="3" priority="4" operator="greaterThan">
      <formula>28</formula>
    </cfRule>
  </conditionalFormatting>
  <conditionalFormatting sqref="E56">
    <cfRule type="cellIs" dxfId="2" priority="3" operator="greaterThan">
      <formula>28</formula>
    </cfRule>
  </conditionalFormatting>
  <conditionalFormatting sqref="E78">
    <cfRule type="cellIs" dxfId="1" priority="2" operator="greaterThan">
      <formula>28</formula>
    </cfRule>
  </conditionalFormatting>
  <conditionalFormatting sqref="E96">
    <cfRule type="cellIs" dxfId="0" priority="1" operator="greaterThan">
      <formula>28</formula>
    </cfRule>
  </conditionalFormatting>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9F18C806A80A094DBA32E0C7D0805B50" ma:contentTypeVersion="10" ma:contentTypeDescription="Create a new document." ma:contentTypeScope="" ma:versionID="0f6c00181ee747492c2c28a8a0e02071">
  <xsd:schema xmlns:xsd="http://www.w3.org/2001/XMLSchema" xmlns:xs="http://www.w3.org/2001/XMLSchema" xmlns:p="http://schemas.microsoft.com/office/2006/metadata/properties" xmlns:ns2="8356745f-be2b-4426-b37c-6796f5e9d124" xmlns:ns3="da0961b5-e0aa-4d26-8959-e6635ae3a8c8" targetNamespace="http://schemas.microsoft.com/office/2006/metadata/properties" ma:root="true" ma:fieldsID="b4de4089b8cb209ebc572f65e8ba74bb" ns2:_="" ns3:_="">
    <xsd:import namespace="8356745f-be2b-4426-b37c-6796f5e9d124"/>
    <xsd:import namespace="da0961b5-e0aa-4d26-8959-e6635ae3a8c8"/>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DateTaken" minOccurs="0"/>
                <xsd:element ref="ns2:lcf76f155ced4ddcb4097134ff3c332f" minOccurs="0"/>
                <xsd:element ref="ns3:TaxCatchAll" minOccurs="0"/>
                <xsd:element ref="ns2:MediaServiceOCR" minOccurs="0"/>
                <xsd:element ref="ns2:MediaServiceGenerationTime" minOccurs="0"/>
                <xsd:element ref="ns2:MediaServiceEventHashCode"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356745f-be2b-4426-b37c-6796f5e9d12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lcf76f155ced4ddcb4097134ff3c332f" ma:index="13" nillable="true" ma:taxonomy="true" ma:internalName="lcf76f155ced4ddcb4097134ff3c332f" ma:taxonomyFieldName="MediaServiceImageTags" ma:displayName="Image Tags" ma:readOnly="false" ma:fieldId="{5cf76f15-5ced-4ddc-b409-7134ff3c332f}" ma:taxonomyMulti="true" ma:sspId="56030a11-5023-496e-bf3f-f9e2f55d7b1c" ma:termSetId="09814cd3-568e-fe90-9814-8d621ff8fb84" ma:anchorId="fba54fb3-c3e1-fe81-a776-ca4b69148c4d" ma:open="true" ma:isKeyword="false">
      <xsd:complexType>
        <xsd:sequence>
          <xsd:element ref="pc:Terms" minOccurs="0" maxOccurs="1"/>
        </xsd:sequence>
      </xsd:complex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a0961b5-e0aa-4d26-8959-e6635ae3a8c8" elementFormDefault="qualified">
    <xsd:import namespace="http://schemas.microsoft.com/office/2006/documentManagement/types"/>
    <xsd:import namespace="http://schemas.microsoft.com/office/infopath/2007/PartnerControls"/>
    <xsd:element name="TaxCatchAll" ma:index="14" nillable="true" ma:displayName="Taxonomy Catch All Column" ma:hidden="true" ma:list="{6af416b9-1c76-4297-91b3-02c26f690cfc}" ma:internalName="TaxCatchAll" ma:showField="CatchAllData" ma:web="da0961b5-e0aa-4d26-8959-e6635ae3a8c8">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da0961b5-e0aa-4d26-8959-e6635ae3a8c8" xsi:nil="true"/>
    <lcf76f155ced4ddcb4097134ff3c332f xmlns="8356745f-be2b-4426-b37c-6796f5e9d124">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B893DF1-8142-485D-8069-D0F5C1A225FD}">
  <ds:schemaRefs>
    <ds:schemaRef ds:uri="http://schemas.microsoft.com/sharepoint/v3/contenttype/forms"/>
  </ds:schemaRefs>
</ds:datastoreItem>
</file>

<file path=customXml/itemProps2.xml><?xml version="1.0" encoding="utf-8"?>
<ds:datastoreItem xmlns:ds="http://schemas.openxmlformats.org/officeDocument/2006/customXml" ds:itemID="{ABEBFE35-B4CF-4D25-9A30-01ED31FE896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356745f-be2b-4426-b37c-6796f5e9d124"/>
    <ds:schemaRef ds:uri="da0961b5-e0aa-4d26-8959-e6635ae3a8c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57A03B3-BBB5-42F9-B87E-14D8BC079252}">
  <ds:schemaRefs>
    <ds:schemaRef ds:uri="http://schemas.microsoft.com/office/2006/metadata/properties"/>
    <ds:schemaRef ds:uri="http://schemas.microsoft.com/office/infopath/2007/PartnerControls"/>
    <ds:schemaRef ds:uri="da0961b5-e0aa-4d26-8959-e6635ae3a8c8"/>
    <ds:schemaRef ds:uri="8356745f-be2b-4426-b37c-6796f5e9d124"/>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4</vt:i4>
      </vt:variant>
    </vt:vector>
  </HeadingPairs>
  <TitlesOfParts>
    <vt:vector size="25" baseType="lpstr">
      <vt:lpstr>Attendant_Data</vt:lpstr>
      <vt:lpstr>Inspector_Data</vt:lpstr>
      <vt:lpstr>Setup_and_Criteria</vt:lpstr>
      <vt:lpstr>Attendant_Dashboard</vt:lpstr>
      <vt:lpstr>Inspector_Dashboard</vt:lpstr>
      <vt:lpstr>RA_DailySheet</vt:lpstr>
      <vt:lpstr>M1_1-15th</vt:lpstr>
      <vt:lpstr>M1_16-EOM</vt:lpstr>
      <vt:lpstr>M2_1-15th</vt:lpstr>
      <vt:lpstr>M2_16-EOM</vt:lpstr>
      <vt:lpstr>M3_1-15th</vt:lpstr>
      <vt:lpstr>M3_16-EOM</vt:lpstr>
      <vt:lpstr>Payroll_Reconciliation</vt:lpstr>
      <vt:lpstr>WeeklyPerformanceReport</vt:lpstr>
      <vt:lpstr>RoomAttendant_MTD_LeaderBoard</vt:lpstr>
      <vt:lpstr>WeeklyPerformanceChart</vt:lpstr>
      <vt:lpstr>LeaderBoard</vt:lpstr>
      <vt:lpstr>Corrections</vt:lpstr>
      <vt:lpstr>MonthlyReports</vt:lpstr>
      <vt:lpstr>TeamMember 1</vt:lpstr>
      <vt:lpstr>TeamMember 2</vt:lpstr>
      <vt:lpstr>Attendant_Dashboard!Print_Area</vt:lpstr>
      <vt:lpstr>Payroll_Reconciliation!Print_Area</vt:lpstr>
      <vt:lpstr>RoomAttendant_MTD_LeaderBoard!Print_Area</vt:lpstr>
      <vt:lpstr>WeeklyPerformanceReport!Print_Area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KS190-2</dc:creator>
  <cp:keywords/>
  <dc:description/>
  <cp:lastModifiedBy>Bill Michaud</cp:lastModifiedBy>
  <cp:revision/>
  <cp:lastPrinted>2026-04-10T20:15:35Z</cp:lastPrinted>
  <dcterms:created xsi:type="dcterms:W3CDTF">2014-11-15T14:13:18Z</dcterms:created>
  <dcterms:modified xsi:type="dcterms:W3CDTF">2026-09-02T15:46:14Z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0x0101009F18C806A80A094DBA32E0C7D0805B50</vt:lpwstr>
  </property>
  <property fmtid="{D5CDD505-2E9C-101B-9397-08002B2CF9AE}" pid="3" name="MediaServiceImageTags">
    <vt:lpwstr/>
  </property>
</Properties>
</file>