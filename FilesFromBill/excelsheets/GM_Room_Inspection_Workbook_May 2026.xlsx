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ajamgmt-my.sharepoint.com/personal/holidayinngm_bajamgmt_com/Documents/Desktop/"/>
    </mc:Choice>
  </mc:AlternateContent>
  <xr:revisionPtr revIDLastSave="30" documentId="8_{983F7E7F-41BD-46A2-AAC8-4D33F312425E}" xr6:coauthVersionLast="47" xr6:coauthVersionMax="47" xr10:uidLastSave="{663A7A41-5F9C-4D61-8343-68F3D0FBC7A3}"/>
  <workbookProtection workbookAlgorithmName="SHA-512" workbookHashValue="rJbFK8/ONMH8dz95uFfedLnFATxTdGWAKOuzySvX9mMDOU5BjZL/XVtNbrmwIfEXk++RVSZBaTBUAQYTRaWcYg==" workbookSaltValue="3jrXNdiQ2xTFZYaRv/sx0A==" workbookSpinCount="100000" lockStructure="1"/>
  <bookViews>
    <workbookView xWindow="28695" yWindow="120" windowWidth="29040" windowHeight="15480" activeTab="9" xr2:uid="{BA903246-B6ED-428D-984A-89CC15FC3CA6}"/>
  </bookViews>
  <sheets>
    <sheet name="Monthly Report" sheetId="17" r:id="rId1"/>
    <sheet name="Room 1" sheetId="1" r:id="rId2"/>
    <sheet name="Room 2" sheetId="18" r:id="rId3"/>
    <sheet name="Room 3" sheetId="4" r:id="rId4"/>
    <sheet name="Room 4" sheetId="5" r:id="rId5"/>
    <sheet name="Room 5" sheetId="6" r:id="rId6"/>
    <sheet name="Room 6" sheetId="7" r:id="rId7"/>
    <sheet name="Room 7" sheetId="8" r:id="rId8"/>
    <sheet name="Room 8" sheetId="9" r:id="rId9"/>
    <sheet name="Room 9" sheetId="10" r:id="rId10"/>
    <sheet name="Room 10" sheetId="11" r:id="rId11"/>
    <sheet name="Room 11" sheetId="2" r:id="rId12"/>
    <sheet name="Room 12" sheetId="12" r:id="rId13"/>
    <sheet name="Room 13" sheetId="13" r:id="rId14"/>
    <sheet name="Room 14" sheetId="14" r:id="rId15"/>
    <sheet name="Room 15" sheetId="15" r:id="rId16"/>
    <sheet name="Room 16" sheetId="16"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9" l="1"/>
  <c r="J9" i="9"/>
  <c r="B10" i="9"/>
  <c r="J10" i="9"/>
  <c r="B11" i="9"/>
  <c r="J11" i="9"/>
  <c r="B12" i="9"/>
  <c r="J12" i="9"/>
  <c r="B13" i="9"/>
  <c r="J13" i="9"/>
  <c r="B14" i="9"/>
  <c r="J14" i="9"/>
  <c r="B15" i="9"/>
  <c r="J15" i="9"/>
  <c r="B16" i="9"/>
  <c r="J16" i="9"/>
  <c r="B17" i="9"/>
  <c r="J17" i="9"/>
  <c r="B18" i="9"/>
  <c r="J18" i="9"/>
  <c r="B19" i="9"/>
  <c r="J19" i="9"/>
  <c r="B20" i="9"/>
  <c r="J20" i="9"/>
  <c r="B21" i="9"/>
  <c r="J21" i="9"/>
  <c r="B22" i="9"/>
  <c r="J22" i="9"/>
  <c r="B23" i="9"/>
  <c r="J23" i="9"/>
  <c r="B24" i="9"/>
  <c r="J24" i="9"/>
  <c r="B25" i="9"/>
  <c r="J25" i="9"/>
  <c r="B26" i="9"/>
  <c r="J26" i="9"/>
  <c r="B27" i="9"/>
  <c r="J27" i="9"/>
  <c r="B28" i="9"/>
  <c r="J28" i="9"/>
  <c r="B29" i="9"/>
  <c r="J29" i="9"/>
  <c r="B30" i="9"/>
  <c r="J30" i="9"/>
  <c r="B31" i="9"/>
  <c r="J31" i="9"/>
  <c r="B32" i="9"/>
  <c r="J32" i="9"/>
  <c r="B33" i="9"/>
  <c r="J33" i="9"/>
  <c r="B34" i="9"/>
  <c r="J34" i="9"/>
  <c r="B35" i="9"/>
  <c r="J35" i="9"/>
  <c r="B36" i="9"/>
  <c r="J36" i="9"/>
  <c r="B37" i="9"/>
  <c r="J37" i="9"/>
  <c r="B38" i="9"/>
  <c r="J38" i="9"/>
  <c r="B39" i="9"/>
  <c r="J39" i="9"/>
  <c r="B40" i="9"/>
  <c r="J40" i="9"/>
  <c r="B41" i="9"/>
  <c r="J41" i="9"/>
  <c r="B42" i="9"/>
  <c r="J42" i="9"/>
  <c r="B43" i="9"/>
  <c r="J43" i="9"/>
  <c r="B44" i="9"/>
  <c r="J44" i="9"/>
  <c r="B45" i="9"/>
  <c r="J45" i="9"/>
  <c r="B46" i="9"/>
  <c r="J46" i="9"/>
  <c r="B49" i="9"/>
  <c r="J49" i="9"/>
  <c r="B50" i="9"/>
  <c r="J50" i="9"/>
  <c r="B51" i="9"/>
  <c r="J51" i="9"/>
  <c r="B52" i="9"/>
  <c r="J52" i="9"/>
  <c r="B53" i="9"/>
  <c r="J53" i="9"/>
  <c r="B54" i="9"/>
  <c r="J54" i="9"/>
  <c r="B55" i="9"/>
  <c r="J55" i="9"/>
  <c r="B56" i="9"/>
  <c r="J56" i="9"/>
  <c r="B57" i="9"/>
  <c r="J57" i="9"/>
  <c r="B58" i="9"/>
  <c r="J58" i="9"/>
  <c r="B59" i="9"/>
  <c r="J59" i="9"/>
  <c r="B60" i="9"/>
  <c r="C60" i="9"/>
  <c r="K3" i="9" s="1"/>
  <c r="D60" i="9"/>
  <c r="B64" i="9"/>
  <c r="J64" i="9"/>
  <c r="B65" i="9"/>
  <c r="B90" i="9" s="1"/>
  <c r="J65" i="9"/>
  <c r="B66" i="9"/>
  <c r="J66" i="9"/>
  <c r="B67" i="9"/>
  <c r="J67" i="9"/>
  <c r="B68" i="9"/>
  <c r="J68" i="9"/>
  <c r="B69" i="9"/>
  <c r="J69" i="9"/>
  <c r="B70" i="9"/>
  <c r="J70" i="9"/>
  <c r="B71" i="9"/>
  <c r="J71" i="9"/>
  <c r="B72" i="9"/>
  <c r="J72" i="9"/>
  <c r="B73" i="9"/>
  <c r="J73" i="9"/>
  <c r="B74" i="9"/>
  <c r="J74" i="9"/>
  <c r="B75" i="9"/>
  <c r="J75" i="9"/>
  <c r="B76" i="9"/>
  <c r="J76" i="9"/>
  <c r="B77" i="9"/>
  <c r="J77" i="9"/>
  <c r="B78" i="9"/>
  <c r="J78" i="9"/>
  <c r="B79" i="9"/>
  <c r="J79" i="9"/>
  <c r="B80" i="9"/>
  <c r="J80" i="9"/>
  <c r="B81" i="9"/>
  <c r="J81" i="9"/>
  <c r="B82" i="9"/>
  <c r="J82" i="9"/>
  <c r="B83" i="9"/>
  <c r="J83" i="9"/>
  <c r="B84" i="9"/>
  <c r="J84" i="9"/>
  <c r="B85" i="9"/>
  <c r="J85" i="9"/>
  <c r="B86" i="9"/>
  <c r="J86" i="9"/>
  <c r="B87" i="9"/>
  <c r="J87" i="9"/>
  <c r="B88" i="9"/>
  <c r="J88" i="9"/>
  <c r="B89" i="9"/>
  <c r="J89" i="9"/>
  <c r="C90" i="9"/>
  <c r="D90" i="9"/>
  <c r="B94" i="9"/>
  <c r="B113" i="9" s="1"/>
  <c r="L5" i="9" s="1"/>
  <c r="J94" i="9"/>
  <c r="B95" i="9"/>
  <c r="J95" i="9"/>
  <c r="B96" i="9"/>
  <c r="J96" i="9"/>
  <c r="B97" i="9"/>
  <c r="J97" i="9"/>
  <c r="B98" i="9"/>
  <c r="J98" i="9"/>
  <c r="B99" i="9"/>
  <c r="J99" i="9"/>
  <c r="B100" i="9"/>
  <c r="J100" i="9"/>
  <c r="B101" i="9"/>
  <c r="J101" i="9"/>
  <c r="B102" i="9"/>
  <c r="J102" i="9"/>
  <c r="B103" i="9"/>
  <c r="J103" i="9"/>
  <c r="B104" i="9"/>
  <c r="J104" i="9"/>
  <c r="B105" i="9"/>
  <c r="J105" i="9"/>
  <c r="B106" i="9"/>
  <c r="J106" i="9"/>
  <c r="B107" i="9"/>
  <c r="J107" i="9"/>
  <c r="B108" i="9"/>
  <c r="J108" i="9"/>
  <c r="B109" i="9"/>
  <c r="J109" i="9"/>
  <c r="B110" i="9"/>
  <c r="J110" i="9"/>
  <c r="B111" i="9"/>
  <c r="J111" i="9"/>
  <c r="B112" i="9"/>
  <c r="J112" i="9"/>
  <c r="C113" i="9"/>
  <c r="K5" i="9" s="1"/>
  <c r="D113" i="9"/>
  <c r="D113" i="16"/>
  <c r="C113" i="16"/>
  <c r="J112" i="16"/>
  <c r="B112" i="16"/>
  <c r="J111" i="16"/>
  <c r="B111" i="16"/>
  <c r="J110" i="16"/>
  <c r="B110" i="16"/>
  <c r="J109" i="16"/>
  <c r="B109" i="16"/>
  <c r="J108" i="16"/>
  <c r="B108" i="16"/>
  <c r="J107" i="16"/>
  <c r="B107" i="16"/>
  <c r="J106" i="16"/>
  <c r="B106" i="16"/>
  <c r="J105" i="16"/>
  <c r="B105" i="16"/>
  <c r="J104" i="16"/>
  <c r="B104" i="16"/>
  <c r="J103" i="16"/>
  <c r="B103" i="16"/>
  <c r="J102" i="16"/>
  <c r="B102" i="16"/>
  <c r="J101" i="16"/>
  <c r="B101" i="16"/>
  <c r="J100" i="16"/>
  <c r="B100" i="16"/>
  <c r="J99" i="16"/>
  <c r="B99" i="16"/>
  <c r="J98" i="16"/>
  <c r="B98" i="16"/>
  <c r="J97" i="16"/>
  <c r="B97" i="16"/>
  <c r="J96" i="16"/>
  <c r="B96" i="16"/>
  <c r="J95" i="16"/>
  <c r="B95" i="16"/>
  <c r="J94" i="16"/>
  <c r="B94" i="16"/>
  <c r="B113" i="16" s="1"/>
  <c r="L5" i="16" s="1"/>
  <c r="N5" i="16" s="1"/>
  <c r="D90" i="16"/>
  <c r="C90" i="16"/>
  <c r="H29" i="17" s="1"/>
  <c r="J89" i="16"/>
  <c r="B89" i="16"/>
  <c r="J88" i="16"/>
  <c r="B88" i="16"/>
  <c r="J87" i="16"/>
  <c r="B87" i="16"/>
  <c r="J86" i="16"/>
  <c r="B86" i="16"/>
  <c r="J85" i="16"/>
  <c r="B85" i="16"/>
  <c r="J84" i="16"/>
  <c r="B84" i="16"/>
  <c r="J83" i="16"/>
  <c r="B83" i="16"/>
  <c r="J82" i="16"/>
  <c r="B82" i="16"/>
  <c r="J81" i="16"/>
  <c r="B81" i="16"/>
  <c r="J80" i="16"/>
  <c r="B80" i="16"/>
  <c r="J79" i="16"/>
  <c r="B79" i="16"/>
  <c r="J78" i="16"/>
  <c r="B78" i="16"/>
  <c r="J77" i="16"/>
  <c r="B77" i="16"/>
  <c r="J76" i="16"/>
  <c r="B76" i="16"/>
  <c r="J75" i="16"/>
  <c r="B75" i="16"/>
  <c r="J74" i="16"/>
  <c r="B74" i="16"/>
  <c r="J73" i="16"/>
  <c r="B73" i="16"/>
  <c r="J72" i="16"/>
  <c r="B72" i="16"/>
  <c r="J71" i="16"/>
  <c r="B71" i="16"/>
  <c r="J70" i="16"/>
  <c r="B70" i="16"/>
  <c r="J69" i="16"/>
  <c r="B69" i="16"/>
  <c r="J68" i="16"/>
  <c r="B68" i="16"/>
  <c r="J67" i="16"/>
  <c r="B67" i="16"/>
  <c r="J66" i="16"/>
  <c r="B66" i="16"/>
  <c r="B90" i="16" s="1"/>
  <c r="J65" i="16"/>
  <c r="B65" i="16"/>
  <c r="J64" i="16"/>
  <c r="B64" i="16"/>
  <c r="D60" i="16"/>
  <c r="C60" i="16"/>
  <c r="K3" i="16" s="1"/>
  <c r="J59" i="16"/>
  <c r="B59" i="16"/>
  <c r="J58" i="16"/>
  <c r="B58" i="16"/>
  <c r="J57" i="16"/>
  <c r="B57" i="16"/>
  <c r="J56" i="16"/>
  <c r="B56" i="16"/>
  <c r="J55" i="16"/>
  <c r="B55" i="16"/>
  <c r="J54" i="16"/>
  <c r="B54" i="16"/>
  <c r="J53" i="16"/>
  <c r="B53" i="16"/>
  <c r="J52" i="16"/>
  <c r="B52" i="16"/>
  <c r="J51" i="16"/>
  <c r="B51" i="16"/>
  <c r="J50" i="16"/>
  <c r="B50" i="16"/>
  <c r="J49" i="16"/>
  <c r="B49" i="16"/>
  <c r="J46" i="16"/>
  <c r="B46" i="16"/>
  <c r="J45" i="16"/>
  <c r="B45" i="16"/>
  <c r="J44" i="16"/>
  <c r="B44" i="16"/>
  <c r="J43" i="16"/>
  <c r="B43" i="16"/>
  <c r="J42" i="16"/>
  <c r="B42" i="16"/>
  <c r="J41" i="16"/>
  <c r="B41" i="16"/>
  <c r="J40" i="16"/>
  <c r="B40" i="16"/>
  <c r="J39" i="16"/>
  <c r="B39" i="16"/>
  <c r="J38" i="16"/>
  <c r="B38" i="16"/>
  <c r="J37" i="16"/>
  <c r="B37" i="16"/>
  <c r="J36" i="16"/>
  <c r="B36" i="16"/>
  <c r="J35" i="16"/>
  <c r="B35" i="16"/>
  <c r="J34" i="16"/>
  <c r="B34" i="16"/>
  <c r="J33" i="16"/>
  <c r="B33" i="16"/>
  <c r="J32" i="16"/>
  <c r="B32" i="16"/>
  <c r="J31" i="16"/>
  <c r="B31" i="16"/>
  <c r="J30" i="16"/>
  <c r="B30" i="16"/>
  <c r="J29" i="16"/>
  <c r="B29" i="16"/>
  <c r="J28" i="16"/>
  <c r="B28" i="16"/>
  <c r="J27" i="16"/>
  <c r="B27" i="16"/>
  <c r="J26" i="16"/>
  <c r="B26" i="16"/>
  <c r="J25" i="16"/>
  <c r="B25" i="16"/>
  <c r="J24" i="16"/>
  <c r="B24" i="16"/>
  <c r="J23" i="16"/>
  <c r="B23" i="16"/>
  <c r="J22" i="16"/>
  <c r="B22" i="16"/>
  <c r="J21" i="16"/>
  <c r="B21" i="16"/>
  <c r="J20" i="16"/>
  <c r="B20" i="16"/>
  <c r="J19" i="16"/>
  <c r="B19" i="16"/>
  <c r="J18" i="16"/>
  <c r="B18" i="16"/>
  <c r="J17" i="16"/>
  <c r="B17" i="16"/>
  <c r="J16" i="16"/>
  <c r="B16" i="16"/>
  <c r="J15" i="16"/>
  <c r="B15" i="16"/>
  <c r="J14" i="16"/>
  <c r="B14" i="16"/>
  <c r="J13" i="16"/>
  <c r="B13" i="16"/>
  <c r="J12" i="16"/>
  <c r="B12" i="16"/>
  <c r="J11" i="16"/>
  <c r="B11" i="16"/>
  <c r="J10" i="16"/>
  <c r="B10" i="16"/>
  <c r="B60" i="16" s="1"/>
  <c r="L3" i="16" s="1"/>
  <c r="N3" i="16" s="1"/>
  <c r="J9" i="16"/>
  <c r="B9" i="16"/>
  <c r="M5" i="16"/>
  <c r="K5" i="16"/>
  <c r="M3" i="16"/>
  <c r="D113" i="15"/>
  <c r="C113" i="15"/>
  <c r="J112" i="15"/>
  <c r="B112" i="15"/>
  <c r="J111" i="15"/>
  <c r="B111" i="15"/>
  <c r="J110" i="15"/>
  <c r="B110" i="15"/>
  <c r="J109" i="15"/>
  <c r="B109" i="15"/>
  <c r="J108" i="15"/>
  <c r="B108" i="15"/>
  <c r="J107" i="15"/>
  <c r="B107" i="15"/>
  <c r="J106" i="15"/>
  <c r="B106" i="15"/>
  <c r="J105" i="15"/>
  <c r="B105" i="15"/>
  <c r="J104" i="15"/>
  <c r="B104" i="15"/>
  <c r="J103" i="15"/>
  <c r="B103" i="15"/>
  <c r="J102" i="15"/>
  <c r="B102" i="15"/>
  <c r="J101" i="15"/>
  <c r="B101" i="15"/>
  <c r="J100" i="15"/>
  <c r="B100" i="15"/>
  <c r="J99" i="15"/>
  <c r="B99" i="15"/>
  <c r="J98" i="15"/>
  <c r="B98" i="15"/>
  <c r="J97" i="15"/>
  <c r="B97" i="15"/>
  <c r="J96" i="15"/>
  <c r="B96" i="15"/>
  <c r="J95" i="15"/>
  <c r="B95" i="15"/>
  <c r="J94" i="15"/>
  <c r="B94" i="15"/>
  <c r="B113" i="15" s="1"/>
  <c r="L5" i="15" s="1"/>
  <c r="N5" i="15" s="1"/>
  <c r="D90" i="15"/>
  <c r="C90" i="15"/>
  <c r="J89" i="15"/>
  <c r="B89" i="15"/>
  <c r="J88" i="15"/>
  <c r="B88" i="15"/>
  <c r="J87" i="15"/>
  <c r="B87" i="15"/>
  <c r="J86" i="15"/>
  <c r="B86" i="15"/>
  <c r="J85" i="15"/>
  <c r="B85" i="15"/>
  <c r="J84" i="15"/>
  <c r="B84" i="15"/>
  <c r="J83" i="15"/>
  <c r="B83" i="15"/>
  <c r="J82" i="15"/>
  <c r="B82" i="15"/>
  <c r="J81" i="15"/>
  <c r="B81" i="15"/>
  <c r="J80" i="15"/>
  <c r="B80" i="15"/>
  <c r="J79" i="15"/>
  <c r="B79" i="15"/>
  <c r="J78" i="15"/>
  <c r="B78" i="15"/>
  <c r="J77" i="15"/>
  <c r="B77" i="15"/>
  <c r="J76" i="15"/>
  <c r="B76" i="15"/>
  <c r="J75" i="15"/>
  <c r="B75" i="15"/>
  <c r="J74" i="15"/>
  <c r="B74" i="15"/>
  <c r="J73" i="15"/>
  <c r="B73" i="15"/>
  <c r="J72" i="15"/>
  <c r="B72" i="15"/>
  <c r="J71" i="15"/>
  <c r="B71" i="15"/>
  <c r="J70" i="15"/>
  <c r="B70" i="15"/>
  <c r="J69" i="15"/>
  <c r="B69" i="15"/>
  <c r="J68" i="15"/>
  <c r="B68" i="15"/>
  <c r="J67" i="15"/>
  <c r="B67" i="15"/>
  <c r="J66" i="15"/>
  <c r="B66" i="15"/>
  <c r="J65" i="15"/>
  <c r="B65" i="15"/>
  <c r="J64" i="15"/>
  <c r="B64" i="15"/>
  <c r="B90" i="15" s="1"/>
  <c r="D60" i="15"/>
  <c r="C60" i="15"/>
  <c r="K3" i="15" s="1"/>
  <c r="J59" i="15"/>
  <c r="B59" i="15"/>
  <c r="J58" i="15"/>
  <c r="B58" i="15"/>
  <c r="J57" i="15"/>
  <c r="B57" i="15"/>
  <c r="J56" i="15"/>
  <c r="B56" i="15"/>
  <c r="J55" i="15"/>
  <c r="B55" i="15"/>
  <c r="J54" i="15"/>
  <c r="B54" i="15"/>
  <c r="J53" i="15"/>
  <c r="B53" i="15"/>
  <c r="J52" i="15"/>
  <c r="B52" i="15"/>
  <c r="J51" i="15"/>
  <c r="B51" i="15"/>
  <c r="J50" i="15"/>
  <c r="B50" i="15"/>
  <c r="J49" i="15"/>
  <c r="B49" i="15"/>
  <c r="J46" i="15"/>
  <c r="B46" i="15"/>
  <c r="J45" i="15"/>
  <c r="B45" i="15"/>
  <c r="J44" i="15"/>
  <c r="B44" i="15"/>
  <c r="J43" i="15"/>
  <c r="B43" i="15"/>
  <c r="J42" i="15"/>
  <c r="B42" i="15"/>
  <c r="J41" i="15"/>
  <c r="B41" i="15"/>
  <c r="J40" i="15"/>
  <c r="B40" i="15"/>
  <c r="J39" i="15"/>
  <c r="B39" i="15"/>
  <c r="J38" i="15"/>
  <c r="B38" i="15"/>
  <c r="J37" i="15"/>
  <c r="B37" i="15"/>
  <c r="J36" i="15"/>
  <c r="B36" i="15"/>
  <c r="J35" i="15"/>
  <c r="B35" i="15"/>
  <c r="J34" i="15"/>
  <c r="B34" i="15"/>
  <c r="J33" i="15"/>
  <c r="B33" i="15"/>
  <c r="J32" i="15"/>
  <c r="B32" i="15"/>
  <c r="J31" i="15"/>
  <c r="B31" i="15"/>
  <c r="J30" i="15"/>
  <c r="B30" i="15"/>
  <c r="J29" i="15"/>
  <c r="B29" i="15"/>
  <c r="J28" i="15"/>
  <c r="B28" i="15"/>
  <c r="J27" i="15"/>
  <c r="B27" i="15"/>
  <c r="J26" i="15"/>
  <c r="B26" i="15"/>
  <c r="J25" i="15"/>
  <c r="B25" i="15"/>
  <c r="J24" i="15"/>
  <c r="B24" i="15"/>
  <c r="J23" i="15"/>
  <c r="B23" i="15"/>
  <c r="J22" i="15"/>
  <c r="B22" i="15"/>
  <c r="J21" i="15"/>
  <c r="B21" i="15"/>
  <c r="J20" i="15"/>
  <c r="B20" i="15"/>
  <c r="J19" i="15"/>
  <c r="B19" i="15"/>
  <c r="J18" i="15"/>
  <c r="B18" i="15"/>
  <c r="J17" i="15"/>
  <c r="B17" i="15"/>
  <c r="J16" i="15"/>
  <c r="B16" i="15"/>
  <c r="J15" i="15"/>
  <c r="B15" i="15"/>
  <c r="J14" i="15"/>
  <c r="B14" i="15"/>
  <c r="J13" i="15"/>
  <c r="B13" i="15"/>
  <c r="J12" i="15"/>
  <c r="B12" i="15"/>
  <c r="J11" i="15"/>
  <c r="B11" i="15"/>
  <c r="J10" i="15"/>
  <c r="B10" i="15"/>
  <c r="B60" i="15" s="1"/>
  <c r="L3" i="15" s="1"/>
  <c r="N3" i="15" s="1"/>
  <c r="J9" i="15"/>
  <c r="B9" i="15"/>
  <c r="M5" i="15"/>
  <c r="K5" i="15"/>
  <c r="M3" i="15"/>
  <c r="D113" i="14"/>
  <c r="C113" i="14"/>
  <c r="J112" i="14"/>
  <c r="B112" i="14"/>
  <c r="J111" i="14"/>
  <c r="B111" i="14"/>
  <c r="J110" i="14"/>
  <c r="B110" i="14"/>
  <c r="J109" i="14"/>
  <c r="B109" i="14"/>
  <c r="J108" i="14"/>
  <c r="B108" i="14"/>
  <c r="J107" i="14"/>
  <c r="B107" i="14"/>
  <c r="J106" i="14"/>
  <c r="B106" i="14"/>
  <c r="J105" i="14"/>
  <c r="B105" i="14"/>
  <c r="J104" i="14"/>
  <c r="B104" i="14"/>
  <c r="J103" i="14"/>
  <c r="B103" i="14"/>
  <c r="J102" i="14"/>
  <c r="B102" i="14"/>
  <c r="J101" i="14"/>
  <c r="B101" i="14"/>
  <c r="J100" i="14"/>
  <c r="B100" i="14"/>
  <c r="J99" i="14"/>
  <c r="B99" i="14"/>
  <c r="J98" i="14"/>
  <c r="B98" i="14"/>
  <c r="J97" i="14"/>
  <c r="B97" i="14"/>
  <c r="J96" i="14"/>
  <c r="B96" i="14"/>
  <c r="J95" i="14"/>
  <c r="B95" i="14"/>
  <c r="J94" i="14"/>
  <c r="B94" i="14"/>
  <c r="B113" i="14" s="1"/>
  <c r="L5" i="14" s="1"/>
  <c r="N5" i="14" s="1"/>
  <c r="D90" i="14"/>
  <c r="C90" i="14"/>
  <c r="J89" i="14"/>
  <c r="B89" i="14"/>
  <c r="J88" i="14"/>
  <c r="B88" i="14"/>
  <c r="J87" i="14"/>
  <c r="B87" i="14"/>
  <c r="J86" i="14"/>
  <c r="B86" i="14"/>
  <c r="J85" i="14"/>
  <c r="B85" i="14"/>
  <c r="J84" i="14"/>
  <c r="B84" i="14"/>
  <c r="J83" i="14"/>
  <c r="B83" i="14"/>
  <c r="J82" i="14"/>
  <c r="B82" i="14"/>
  <c r="J81" i="14"/>
  <c r="B81" i="14"/>
  <c r="J80" i="14"/>
  <c r="B80" i="14"/>
  <c r="J79" i="14"/>
  <c r="B79" i="14"/>
  <c r="J78" i="14"/>
  <c r="B78" i="14"/>
  <c r="J77" i="14"/>
  <c r="B77" i="14"/>
  <c r="J76" i="14"/>
  <c r="B76" i="14"/>
  <c r="J75" i="14"/>
  <c r="B75" i="14"/>
  <c r="J74" i="14"/>
  <c r="B74" i="14"/>
  <c r="J73" i="14"/>
  <c r="B73" i="14"/>
  <c r="J72" i="14"/>
  <c r="B72" i="14"/>
  <c r="J71" i="14"/>
  <c r="B71" i="14"/>
  <c r="J70" i="14"/>
  <c r="B70" i="14"/>
  <c r="J69" i="14"/>
  <c r="B69" i="14"/>
  <c r="J68" i="14"/>
  <c r="B68" i="14"/>
  <c r="J67" i="14"/>
  <c r="B67" i="14"/>
  <c r="J66" i="14"/>
  <c r="B66" i="14"/>
  <c r="J65" i="14"/>
  <c r="B65" i="14"/>
  <c r="J64" i="14"/>
  <c r="B64" i="14"/>
  <c r="B90" i="14" s="1"/>
  <c r="D60" i="14"/>
  <c r="C60" i="14"/>
  <c r="J59" i="14"/>
  <c r="B59" i="14"/>
  <c r="J58" i="14"/>
  <c r="B58" i="14"/>
  <c r="J57" i="14"/>
  <c r="B57" i="14"/>
  <c r="J56" i="14"/>
  <c r="B56" i="14"/>
  <c r="J55" i="14"/>
  <c r="B55" i="14"/>
  <c r="J54" i="14"/>
  <c r="B54" i="14"/>
  <c r="J53" i="14"/>
  <c r="B53" i="14"/>
  <c r="J52" i="14"/>
  <c r="B52" i="14"/>
  <c r="J51" i="14"/>
  <c r="B51" i="14"/>
  <c r="J50" i="14"/>
  <c r="B50" i="14"/>
  <c r="J49" i="14"/>
  <c r="B49" i="14"/>
  <c r="J46" i="14"/>
  <c r="B46" i="14"/>
  <c r="J45" i="14"/>
  <c r="B45" i="14"/>
  <c r="J44" i="14"/>
  <c r="B44" i="14"/>
  <c r="J43" i="14"/>
  <c r="B43" i="14"/>
  <c r="J42" i="14"/>
  <c r="B42" i="14"/>
  <c r="J41" i="14"/>
  <c r="B41" i="14"/>
  <c r="J40" i="14"/>
  <c r="B40" i="14"/>
  <c r="J39" i="14"/>
  <c r="B39" i="14"/>
  <c r="J38" i="14"/>
  <c r="B38" i="14"/>
  <c r="J37" i="14"/>
  <c r="B37" i="14"/>
  <c r="J36" i="14"/>
  <c r="B36" i="14"/>
  <c r="J35" i="14"/>
  <c r="B35" i="14"/>
  <c r="J34" i="14"/>
  <c r="B34" i="14"/>
  <c r="J33" i="14"/>
  <c r="B33" i="14"/>
  <c r="J32" i="14"/>
  <c r="B32" i="14"/>
  <c r="J31" i="14"/>
  <c r="B31" i="14"/>
  <c r="J30" i="14"/>
  <c r="B30" i="14"/>
  <c r="J29" i="14"/>
  <c r="B29" i="14"/>
  <c r="J28" i="14"/>
  <c r="B28" i="14"/>
  <c r="J27" i="14"/>
  <c r="B27" i="14"/>
  <c r="J26" i="14"/>
  <c r="B26" i="14"/>
  <c r="J25" i="14"/>
  <c r="B25" i="14"/>
  <c r="J24" i="14"/>
  <c r="B24" i="14"/>
  <c r="J23" i="14"/>
  <c r="B23" i="14"/>
  <c r="J22" i="14"/>
  <c r="B22" i="14"/>
  <c r="J21" i="14"/>
  <c r="B21" i="14"/>
  <c r="J20" i="14"/>
  <c r="B20" i="14"/>
  <c r="J19" i="14"/>
  <c r="B19" i="14"/>
  <c r="J18" i="14"/>
  <c r="B18" i="14"/>
  <c r="J17" i="14"/>
  <c r="B17" i="14"/>
  <c r="J16" i="14"/>
  <c r="B16" i="14"/>
  <c r="J15" i="14"/>
  <c r="B15" i="14"/>
  <c r="J14" i="14"/>
  <c r="B14" i="14"/>
  <c r="J13" i="14"/>
  <c r="B13" i="14"/>
  <c r="J12" i="14"/>
  <c r="B12" i="14"/>
  <c r="J11" i="14"/>
  <c r="B11" i="14"/>
  <c r="J10" i="14"/>
  <c r="B10" i="14"/>
  <c r="J9" i="14"/>
  <c r="B9" i="14"/>
  <c r="B60" i="14" s="1"/>
  <c r="M5" i="14"/>
  <c r="K5" i="14"/>
  <c r="M3" i="14"/>
  <c r="K3" i="14"/>
  <c r="D113" i="13"/>
  <c r="C113" i="13"/>
  <c r="J112" i="13"/>
  <c r="B112" i="13"/>
  <c r="J111" i="13"/>
  <c r="B111" i="13"/>
  <c r="J110" i="13"/>
  <c r="B110" i="13"/>
  <c r="J109" i="13"/>
  <c r="B109" i="13"/>
  <c r="J108" i="13"/>
  <c r="B108" i="13"/>
  <c r="J107" i="13"/>
  <c r="B107" i="13"/>
  <c r="J106" i="13"/>
  <c r="B106" i="13"/>
  <c r="J105" i="13"/>
  <c r="B105" i="13"/>
  <c r="J104" i="13"/>
  <c r="B104" i="13"/>
  <c r="J103" i="13"/>
  <c r="B103" i="13"/>
  <c r="J102" i="13"/>
  <c r="B102" i="13"/>
  <c r="J101" i="13"/>
  <c r="B101" i="13"/>
  <c r="J100" i="13"/>
  <c r="B100" i="13"/>
  <c r="J99" i="13"/>
  <c r="B99" i="13"/>
  <c r="J98" i="13"/>
  <c r="B98" i="13"/>
  <c r="J97" i="13"/>
  <c r="B97" i="13"/>
  <c r="J96" i="13"/>
  <c r="B96" i="13"/>
  <c r="J95" i="13"/>
  <c r="B95" i="13"/>
  <c r="J94" i="13"/>
  <c r="B94" i="13"/>
  <c r="B113" i="13" s="1"/>
  <c r="L5" i="13" s="1"/>
  <c r="N5" i="13" s="1"/>
  <c r="D90" i="13"/>
  <c r="C90" i="13"/>
  <c r="J89" i="13"/>
  <c r="B89" i="13"/>
  <c r="J88" i="13"/>
  <c r="B88" i="13"/>
  <c r="J87" i="13"/>
  <c r="B87" i="13"/>
  <c r="J86" i="13"/>
  <c r="B86" i="13"/>
  <c r="J85" i="13"/>
  <c r="B85" i="13"/>
  <c r="J84" i="13"/>
  <c r="B84" i="13"/>
  <c r="J83" i="13"/>
  <c r="B83" i="13"/>
  <c r="J82" i="13"/>
  <c r="B82" i="13"/>
  <c r="J81" i="13"/>
  <c r="B81" i="13"/>
  <c r="J80" i="13"/>
  <c r="B80" i="13"/>
  <c r="J79" i="13"/>
  <c r="B79" i="13"/>
  <c r="J78" i="13"/>
  <c r="B78" i="13"/>
  <c r="J77" i="13"/>
  <c r="B77" i="13"/>
  <c r="J76" i="13"/>
  <c r="B76" i="13"/>
  <c r="J75" i="13"/>
  <c r="B75" i="13"/>
  <c r="J74" i="13"/>
  <c r="B74" i="13"/>
  <c r="J73" i="13"/>
  <c r="B73" i="13"/>
  <c r="J72" i="13"/>
  <c r="B72" i="13"/>
  <c r="J71" i="13"/>
  <c r="B71" i="13"/>
  <c r="J70" i="13"/>
  <c r="B70" i="13"/>
  <c r="J69" i="13"/>
  <c r="B69" i="13"/>
  <c r="J68" i="13"/>
  <c r="B68" i="13"/>
  <c r="J67" i="13"/>
  <c r="B67" i="13"/>
  <c r="J66" i="13"/>
  <c r="B66" i="13"/>
  <c r="J65" i="13"/>
  <c r="B65" i="13"/>
  <c r="J64" i="13"/>
  <c r="B64" i="13"/>
  <c r="B90" i="13" s="1"/>
  <c r="D60" i="13"/>
  <c r="C60" i="13"/>
  <c r="K3" i="13" s="1"/>
  <c r="J59" i="13"/>
  <c r="B59" i="13"/>
  <c r="J58" i="13"/>
  <c r="B58" i="13"/>
  <c r="J57" i="13"/>
  <c r="B57" i="13"/>
  <c r="J56" i="13"/>
  <c r="B56" i="13"/>
  <c r="J55" i="13"/>
  <c r="B55" i="13"/>
  <c r="J54" i="13"/>
  <c r="B54" i="13"/>
  <c r="J53" i="13"/>
  <c r="B53" i="13"/>
  <c r="J52" i="13"/>
  <c r="B52" i="13"/>
  <c r="J51" i="13"/>
  <c r="B51" i="13"/>
  <c r="J50" i="13"/>
  <c r="B50" i="13"/>
  <c r="J49" i="13"/>
  <c r="B49" i="13"/>
  <c r="J46" i="13"/>
  <c r="B46" i="13"/>
  <c r="J45" i="13"/>
  <c r="B45" i="13"/>
  <c r="J44" i="13"/>
  <c r="B44" i="13"/>
  <c r="J43" i="13"/>
  <c r="B43" i="13"/>
  <c r="J42" i="13"/>
  <c r="B42" i="13"/>
  <c r="J41" i="13"/>
  <c r="B41" i="13"/>
  <c r="J40" i="13"/>
  <c r="B40" i="13"/>
  <c r="J39" i="13"/>
  <c r="B39" i="13"/>
  <c r="J38" i="13"/>
  <c r="B38" i="13"/>
  <c r="J37" i="13"/>
  <c r="B37" i="13"/>
  <c r="J36" i="13"/>
  <c r="B36" i="13"/>
  <c r="J35" i="13"/>
  <c r="B35" i="13"/>
  <c r="J34" i="13"/>
  <c r="B34" i="13"/>
  <c r="J33" i="13"/>
  <c r="B33" i="13"/>
  <c r="J32" i="13"/>
  <c r="B32" i="13"/>
  <c r="J31" i="13"/>
  <c r="B31" i="13"/>
  <c r="J30" i="13"/>
  <c r="B30" i="13"/>
  <c r="J29" i="13"/>
  <c r="B29" i="13"/>
  <c r="J28" i="13"/>
  <c r="B28" i="13"/>
  <c r="J27" i="13"/>
  <c r="B27" i="13"/>
  <c r="J26" i="13"/>
  <c r="B26" i="13"/>
  <c r="J25" i="13"/>
  <c r="B25" i="13"/>
  <c r="J24" i="13"/>
  <c r="B24" i="13"/>
  <c r="J23" i="13"/>
  <c r="B23" i="13"/>
  <c r="J22" i="13"/>
  <c r="B22" i="13"/>
  <c r="J21" i="13"/>
  <c r="B21" i="13"/>
  <c r="J20" i="13"/>
  <c r="B20" i="13"/>
  <c r="J19" i="13"/>
  <c r="B19" i="13"/>
  <c r="J18" i="13"/>
  <c r="B18" i="13"/>
  <c r="J17" i="13"/>
  <c r="B17" i="13"/>
  <c r="J16" i="13"/>
  <c r="B16" i="13"/>
  <c r="J15" i="13"/>
  <c r="B15" i="13"/>
  <c r="J14" i="13"/>
  <c r="B14" i="13"/>
  <c r="J13" i="13"/>
  <c r="B13" i="13"/>
  <c r="J12" i="13"/>
  <c r="B12" i="13"/>
  <c r="J11" i="13"/>
  <c r="B11" i="13"/>
  <c r="J10" i="13"/>
  <c r="B10" i="13"/>
  <c r="B60" i="13" s="1"/>
  <c r="L3" i="13" s="1"/>
  <c r="N3" i="13" s="1"/>
  <c r="J9" i="13"/>
  <c r="B9" i="13"/>
  <c r="M5" i="13"/>
  <c r="K5" i="13"/>
  <c r="M3" i="13"/>
  <c r="D113" i="12"/>
  <c r="K5" i="12" s="1"/>
  <c r="C113" i="12"/>
  <c r="J112" i="12"/>
  <c r="B112" i="12"/>
  <c r="J111" i="12"/>
  <c r="B111" i="12"/>
  <c r="J110" i="12"/>
  <c r="B110" i="12"/>
  <c r="J109" i="12"/>
  <c r="B109" i="12"/>
  <c r="J108" i="12"/>
  <c r="B108" i="12"/>
  <c r="J107" i="12"/>
  <c r="B107" i="12"/>
  <c r="J106" i="12"/>
  <c r="B106" i="12"/>
  <c r="J105" i="12"/>
  <c r="B105" i="12"/>
  <c r="J104" i="12"/>
  <c r="B104" i="12"/>
  <c r="J103" i="12"/>
  <c r="B103" i="12"/>
  <c r="J102" i="12"/>
  <c r="B102" i="12"/>
  <c r="J101" i="12"/>
  <c r="B101" i="12"/>
  <c r="J100" i="12"/>
  <c r="B100" i="12"/>
  <c r="J99" i="12"/>
  <c r="B99" i="12"/>
  <c r="J98" i="12"/>
  <c r="B98" i="12"/>
  <c r="J97" i="12"/>
  <c r="B97" i="12"/>
  <c r="J96" i="12"/>
  <c r="B96" i="12"/>
  <c r="J95" i="12"/>
  <c r="B95" i="12"/>
  <c r="J94" i="12"/>
  <c r="B94" i="12"/>
  <c r="B113" i="12" s="1"/>
  <c r="L5" i="12" s="1"/>
  <c r="N5" i="12" s="1"/>
  <c r="D90" i="12"/>
  <c r="C90" i="12"/>
  <c r="J89" i="12"/>
  <c r="B89" i="12"/>
  <c r="J88" i="12"/>
  <c r="B88" i="12"/>
  <c r="J87" i="12"/>
  <c r="B87" i="12"/>
  <c r="J86" i="12"/>
  <c r="B86" i="12"/>
  <c r="J85" i="12"/>
  <c r="B85" i="12"/>
  <c r="J84" i="12"/>
  <c r="B84" i="12"/>
  <c r="J83" i="12"/>
  <c r="B83" i="12"/>
  <c r="J82" i="12"/>
  <c r="B82" i="12"/>
  <c r="J81" i="12"/>
  <c r="B81" i="12"/>
  <c r="J80" i="12"/>
  <c r="B80" i="12"/>
  <c r="J79" i="12"/>
  <c r="B79" i="12"/>
  <c r="J78" i="12"/>
  <c r="B78" i="12"/>
  <c r="J77" i="12"/>
  <c r="B77" i="12"/>
  <c r="J76" i="12"/>
  <c r="B76" i="12"/>
  <c r="J75" i="12"/>
  <c r="B75" i="12"/>
  <c r="J74" i="12"/>
  <c r="B74" i="12"/>
  <c r="J73" i="12"/>
  <c r="B73" i="12"/>
  <c r="J72" i="12"/>
  <c r="B72" i="12"/>
  <c r="J71" i="12"/>
  <c r="B71" i="12"/>
  <c r="J70" i="12"/>
  <c r="B70" i="12"/>
  <c r="J69" i="12"/>
  <c r="B69" i="12"/>
  <c r="J68" i="12"/>
  <c r="B68" i="12"/>
  <c r="J67" i="12"/>
  <c r="B67" i="12"/>
  <c r="J66" i="12"/>
  <c r="B66" i="12"/>
  <c r="J65" i="12"/>
  <c r="B65" i="12"/>
  <c r="J64" i="12"/>
  <c r="B64" i="12"/>
  <c r="B90" i="12" s="1"/>
  <c r="D60" i="12"/>
  <c r="G25" i="17" s="1"/>
  <c r="C60" i="12"/>
  <c r="M3" i="12" s="1"/>
  <c r="J59" i="12"/>
  <c r="B59" i="12"/>
  <c r="J58" i="12"/>
  <c r="B58" i="12"/>
  <c r="J57" i="12"/>
  <c r="B57" i="12"/>
  <c r="J56" i="12"/>
  <c r="B56" i="12"/>
  <c r="J55" i="12"/>
  <c r="B55" i="12"/>
  <c r="J54" i="12"/>
  <c r="B54" i="12"/>
  <c r="J53" i="12"/>
  <c r="B53" i="12"/>
  <c r="J52" i="12"/>
  <c r="B52" i="12"/>
  <c r="J51" i="12"/>
  <c r="B51" i="12"/>
  <c r="J50" i="12"/>
  <c r="B50" i="12"/>
  <c r="J49" i="12"/>
  <c r="B49" i="12"/>
  <c r="J46" i="12"/>
  <c r="B46" i="12"/>
  <c r="J45" i="12"/>
  <c r="B45" i="12"/>
  <c r="J44" i="12"/>
  <c r="B44" i="12"/>
  <c r="J43" i="12"/>
  <c r="B43" i="12"/>
  <c r="J42" i="12"/>
  <c r="B42" i="12"/>
  <c r="J41" i="12"/>
  <c r="B41" i="12"/>
  <c r="J40" i="12"/>
  <c r="B40" i="12"/>
  <c r="J39" i="12"/>
  <c r="B39" i="12"/>
  <c r="J38" i="12"/>
  <c r="B38" i="12"/>
  <c r="J37" i="12"/>
  <c r="B37" i="12"/>
  <c r="J36" i="12"/>
  <c r="B36" i="12"/>
  <c r="J35" i="12"/>
  <c r="B35" i="12"/>
  <c r="J34" i="12"/>
  <c r="B34" i="12"/>
  <c r="J33" i="12"/>
  <c r="B33" i="12"/>
  <c r="J32" i="12"/>
  <c r="B32" i="12"/>
  <c r="J31" i="12"/>
  <c r="B31" i="12"/>
  <c r="J30" i="12"/>
  <c r="B30" i="12"/>
  <c r="J29" i="12"/>
  <c r="B29" i="12"/>
  <c r="J28" i="12"/>
  <c r="B28" i="12"/>
  <c r="J27" i="12"/>
  <c r="B27" i="12"/>
  <c r="J26" i="12"/>
  <c r="B26" i="12"/>
  <c r="J25" i="12"/>
  <c r="B25" i="12"/>
  <c r="J24" i="12"/>
  <c r="B24" i="12"/>
  <c r="J23" i="12"/>
  <c r="B23" i="12"/>
  <c r="J22" i="12"/>
  <c r="B22" i="12"/>
  <c r="J21" i="12"/>
  <c r="B21" i="12"/>
  <c r="J20" i="12"/>
  <c r="B20" i="12"/>
  <c r="J19" i="12"/>
  <c r="B19" i="12"/>
  <c r="J18" i="12"/>
  <c r="B18" i="12"/>
  <c r="J17" i="12"/>
  <c r="B17" i="12"/>
  <c r="J16" i="12"/>
  <c r="B16" i="12"/>
  <c r="J15" i="12"/>
  <c r="B15" i="12"/>
  <c r="J14" i="12"/>
  <c r="B14" i="12"/>
  <c r="J13" i="12"/>
  <c r="B13" i="12"/>
  <c r="J12" i="12"/>
  <c r="B12" i="12"/>
  <c r="J11" i="12"/>
  <c r="B11" i="12"/>
  <c r="J10" i="12"/>
  <c r="B10" i="12"/>
  <c r="J9" i="12"/>
  <c r="B9" i="12"/>
  <c r="B60" i="12" s="1"/>
  <c r="M5" i="12"/>
  <c r="D113" i="2"/>
  <c r="C113" i="2"/>
  <c r="J112" i="2"/>
  <c r="B112" i="2"/>
  <c r="J111" i="2"/>
  <c r="B111" i="2"/>
  <c r="J110" i="2"/>
  <c r="B110" i="2"/>
  <c r="J109" i="2"/>
  <c r="B109" i="2"/>
  <c r="J108" i="2"/>
  <c r="B108" i="2"/>
  <c r="J107" i="2"/>
  <c r="B107" i="2"/>
  <c r="J106" i="2"/>
  <c r="B106" i="2"/>
  <c r="J105" i="2"/>
  <c r="B105" i="2"/>
  <c r="J104" i="2"/>
  <c r="B104" i="2"/>
  <c r="J103" i="2"/>
  <c r="B103" i="2"/>
  <c r="J102" i="2"/>
  <c r="B102" i="2"/>
  <c r="J101" i="2"/>
  <c r="B101" i="2"/>
  <c r="J100" i="2"/>
  <c r="B100" i="2"/>
  <c r="J99" i="2"/>
  <c r="B99" i="2"/>
  <c r="J98" i="2"/>
  <c r="B98" i="2"/>
  <c r="J97" i="2"/>
  <c r="B97" i="2"/>
  <c r="J96" i="2"/>
  <c r="B96" i="2"/>
  <c r="J95" i="2"/>
  <c r="B95" i="2"/>
  <c r="J94" i="2"/>
  <c r="B94" i="2"/>
  <c r="B113" i="2" s="1"/>
  <c r="L5" i="2" s="1"/>
  <c r="N5" i="2" s="1"/>
  <c r="D90" i="2"/>
  <c r="C90" i="2"/>
  <c r="J89" i="2"/>
  <c r="B89" i="2"/>
  <c r="J88" i="2"/>
  <c r="B88" i="2"/>
  <c r="J87" i="2"/>
  <c r="B87" i="2"/>
  <c r="J86" i="2"/>
  <c r="B86" i="2"/>
  <c r="J85" i="2"/>
  <c r="B85" i="2"/>
  <c r="J84" i="2"/>
  <c r="B84" i="2"/>
  <c r="J83" i="2"/>
  <c r="B83" i="2"/>
  <c r="J82" i="2"/>
  <c r="B82" i="2"/>
  <c r="J81" i="2"/>
  <c r="B81" i="2"/>
  <c r="J80" i="2"/>
  <c r="B80" i="2"/>
  <c r="J79" i="2"/>
  <c r="B79" i="2"/>
  <c r="J78" i="2"/>
  <c r="B78" i="2"/>
  <c r="J77" i="2"/>
  <c r="B77" i="2"/>
  <c r="J76" i="2"/>
  <c r="B76" i="2"/>
  <c r="J75" i="2"/>
  <c r="B75" i="2"/>
  <c r="J74" i="2"/>
  <c r="B74" i="2"/>
  <c r="J73" i="2"/>
  <c r="B73" i="2"/>
  <c r="J72" i="2"/>
  <c r="B72" i="2"/>
  <c r="J71" i="2"/>
  <c r="B71" i="2"/>
  <c r="J70" i="2"/>
  <c r="B70" i="2"/>
  <c r="J69" i="2"/>
  <c r="B69" i="2"/>
  <c r="J68" i="2"/>
  <c r="B68" i="2"/>
  <c r="J67" i="2"/>
  <c r="B67" i="2"/>
  <c r="J66" i="2"/>
  <c r="B66" i="2"/>
  <c r="J65" i="2"/>
  <c r="B65" i="2"/>
  <c r="J64" i="2"/>
  <c r="B64" i="2"/>
  <c r="B90" i="2" s="1"/>
  <c r="D60" i="2"/>
  <c r="K3" i="2" s="1"/>
  <c r="C60" i="2"/>
  <c r="J59" i="2"/>
  <c r="B59" i="2"/>
  <c r="J58" i="2"/>
  <c r="B58" i="2"/>
  <c r="J57" i="2"/>
  <c r="B57" i="2"/>
  <c r="J56" i="2"/>
  <c r="B56" i="2"/>
  <c r="J55" i="2"/>
  <c r="B55" i="2"/>
  <c r="J54" i="2"/>
  <c r="B54" i="2"/>
  <c r="J53" i="2"/>
  <c r="B53" i="2"/>
  <c r="J52" i="2"/>
  <c r="B52" i="2"/>
  <c r="J51" i="2"/>
  <c r="B51" i="2"/>
  <c r="J50" i="2"/>
  <c r="B50" i="2"/>
  <c r="J49" i="2"/>
  <c r="B49" i="2"/>
  <c r="J46" i="2"/>
  <c r="B46" i="2"/>
  <c r="J45" i="2"/>
  <c r="B45" i="2"/>
  <c r="J44" i="2"/>
  <c r="B44" i="2"/>
  <c r="J43" i="2"/>
  <c r="B43" i="2"/>
  <c r="J42" i="2"/>
  <c r="B42" i="2"/>
  <c r="J41" i="2"/>
  <c r="B41" i="2"/>
  <c r="J40" i="2"/>
  <c r="B40" i="2"/>
  <c r="J39" i="2"/>
  <c r="B39" i="2"/>
  <c r="J38" i="2"/>
  <c r="B38" i="2"/>
  <c r="J37" i="2"/>
  <c r="B37" i="2"/>
  <c r="J36" i="2"/>
  <c r="B36" i="2"/>
  <c r="J35" i="2"/>
  <c r="B35" i="2"/>
  <c r="J34" i="2"/>
  <c r="B34" i="2"/>
  <c r="J33" i="2"/>
  <c r="B33" i="2"/>
  <c r="J32" i="2"/>
  <c r="B32" i="2"/>
  <c r="J31" i="2"/>
  <c r="B31" i="2"/>
  <c r="J30" i="2"/>
  <c r="B30" i="2"/>
  <c r="J29" i="2"/>
  <c r="B29" i="2"/>
  <c r="J28" i="2"/>
  <c r="B28" i="2"/>
  <c r="J27" i="2"/>
  <c r="B27" i="2"/>
  <c r="J26" i="2"/>
  <c r="B26" i="2"/>
  <c r="J25" i="2"/>
  <c r="B25" i="2"/>
  <c r="J24" i="2"/>
  <c r="B24" i="2"/>
  <c r="J23" i="2"/>
  <c r="B23" i="2"/>
  <c r="J22" i="2"/>
  <c r="B22" i="2"/>
  <c r="J21" i="2"/>
  <c r="B21" i="2"/>
  <c r="J20" i="2"/>
  <c r="B20" i="2"/>
  <c r="J19" i="2"/>
  <c r="B19" i="2"/>
  <c r="J18" i="2"/>
  <c r="B18" i="2"/>
  <c r="J17" i="2"/>
  <c r="B17" i="2"/>
  <c r="J16" i="2"/>
  <c r="B16" i="2"/>
  <c r="J15" i="2"/>
  <c r="B15" i="2"/>
  <c r="J14" i="2"/>
  <c r="B14" i="2"/>
  <c r="J13" i="2"/>
  <c r="B13" i="2"/>
  <c r="J12" i="2"/>
  <c r="B12" i="2"/>
  <c r="J11" i="2"/>
  <c r="B11" i="2"/>
  <c r="J10" i="2"/>
  <c r="B10" i="2"/>
  <c r="J9" i="2"/>
  <c r="B9" i="2"/>
  <c r="B60" i="2" s="1"/>
  <c r="M5" i="2"/>
  <c r="K5" i="2"/>
  <c r="M3" i="2"/>
  <c r="D113" i="11"/>
  <c r="C113" i="11"/>
  <c r="J112" i="11"/>
  <c r="B112" i="11"/>
  <c r="J111" i="11"/>
  <c r="B111" i="11"/>
  <c r="J110" i="11"/>
  <c r="B110" i="11"/>
  <c r="J109" i="11"/>
  <c r="B109" i="11"/>
  <c r="J108" i="11"/>
  <c r="B108" i="11"/>
  <c r="J107" i="11"/>
  <c r="B107" i="11"/>
  <c r="J106" i="11"/>
  <c r="B106" i="11"/>
  <c r="J105" i="11"/>
  <c r="B105" i="11"/>
  <c r="J104" i="11"/>
  <c r="B104" i="11"/>
  <c r="J103" i="11"/>
  <c r="B103" i="11"/>
  <c r="J102" i="11"/>
  <c r="B102" i="11"/>
  <c r="J101" i="11"/>
  <c r="B101" i="11"/>
  <c r="J100" i="11"/>
  <c r="B100" i="11"/>
  <c r="J99" i="11"/>
  <c r="B99" i="11"/>
  <c r="J98" i="11"/>
  <c r="B98" i="11"/>
  <c r="J97" i="11"/>
  <c r="B97" i="11"/>
  <c r="J96" i="11"/>
  <c r="B96" i="11"/>
  <c r="J95" i="11"/>
  <c r="B95" i="11"/>
  <c r="J94" i="11"/>
  <c r="B94" i="11"/>
  <c r="B113" i="11" s="1"/>
  <c r="L5" i="11" s="1"/>
  <c r="N5" i="11" s="1"/>
  <c r="D90" i="11"/>
  <c r="C90" i="11"/>
  <c r="J89" i="11"/>
  <c r="B89" i="11"/>
  <c r="J88" i="11"/>
  <c r="B88" i="11"/>
  <c r="J87" i="11"/>
  <c r="B87" i="11"/>
  <c r="J86" i="11"/>
  <c r="B86" i="11"/>
  <c r="J85" i="11"/>
  <c r="B85" i="11"/>
  <c r="J84" i="11"/>
  <c r="B84" i="11"/>
  <c r="J83" i="11"/>
  <c r="B83" i="11"/>
  <c r="J82" i="11"/>
  <c r="B82" i="11"/>
  <c r="J81" i="11"/>
  <c r="B81" i="11"/>
  <c r="J80" i="11"/>
  <c r="B80" i="11"/>
  <c r="J79" i="11"/>
  <c r="B79" i="11"/>
  <c r="J78" i="11"/>
  <c r="B78" i="11"/>
  <c r="J77" i="11"/>
  <c r="B77" i="11"/>
  <c r="J76" i="11"/>
  <c r="B76" i="11"/>
  <c r="J75" i="11"/>
  <c r="B75" i="11"/>
  <c r="J74" i="11"/>
  <c r="B74" i="11"/>
  <c r="J73" i="11"/>
  <c r="B73" i="11"/>
  <c r="J72" i="11"/>
  <c r="B72" i="11"/>
  <c r="J71" i="11"/>
  <c r="B71" i="11"/>
  <c r="J70" i="11"/>
  <c r="B70" i="11"/>
  <c r="J69" i="11"/>
  <c r="B69" i="11"/>
  <c r="J68" i="11"/>
  <c r="B68" i="11"/>
  <c r="J67" i="11"/>
  <c r="B67" i="11"/>
  <c r="J66" i="11"/>
  <c r="B66" i="11"/>
  <c r="J65" i="11"/>
  <c r="B65" i="11"/>
  <c r="J64" i="11"/>
  <c r="B64" i="11"/>
  <c r="B90" i="11" s="1"/>
  <c r="D60" i="11"/>
  <c r="C60" i="11"/>
  <c r="J59" i="11"/>
  <c r="B59" i="11"/>
  <c r="J58" i="11"/>
  <c r="B58" i="11"/>
  <c r="J57" i="11"/>
  <c r="B57" i="11"/>
  <c r="J56" i="11"/>
  <c r="B56" i="11"/>
  <c r="J55" i="11"/>
  <c r="B55" i="11"/>
  <c r="J54" i="11"/>
  <c r="B54" i="11"/>
  <c r="J53" i="11"/>
  <c r="B53" i="11"/>
  <c r="J52" i="11"/>
  <c r="B52" i="11"/>
  <c r="J51" i="11"/>
  <c r="B51" i="11"/>
  <c r="J50" i="11"/>
  <c r="B50" i="11"/>
  <c r="J49" i="11"/>
  <c r="B49" i="11"/>
  <c r="J46" i="11"/>
  <c r="B46" i="11"/>
  <c r="J45" i="11"/>
  <c r="B45" i="11"/>
  <c r="J44" i="11"/>
  <c r="B44" i="11"/>
  <c r="J43" i="11"/>
  <c r="B43" i="11"/>
  <c r="J42" i="11"/>
  <c r="B42" i="11"/>
  <c r="J41" i="11"/>
  <c r="B41" i="11"/>
  <c r="J40" i="11"/>
  <c r="B40" i="11"/>
  <c r="J39" i="11"/>
  <c r="B39" i="11"/>
  <c r="J38" i="11"/>
  <c r="B38" i="11"/>
  <c r="J37" i="11"/>
  <c r="B37" i="11"/>
  <c r="J36" i="11"/>
  <c r="B36" i="11"/>
  <c r="J35" i="11"/>
  <c r="B35" i="11"/>
  <c r="J34" i="11"/>
  <c r="B34" i="11"/>
  <c r="J33" i="11"/>
  <c r="B33" i="11"/>
  <c r="J32" i="11"/>
  <c r="B32" i="11"/>
  <c r="J31" i="11"/>
  <c r="B31" i="11"/>
  <c r="J30" i="11"/>
  <c r="B30" i="11"/>
  <c r="J29" i="11"/>
  <c r="B29" i="11"/>
  <c r="J28" i="11"/>
  <c r="B28" i="11"/>
  <c r="J27" i="11"/>
  <c r="B27" i="11"/>
  <c r="J26" i="11"/>
  <c r="B26" i="11"/>
  <c r="J25" i="11"/>
  <c r="B25" i="11"/>
  <c r="J24" i="11"/>
  <c r="B24" i="11"/>
  <c r="J23" i="11"/>
  <c r="B23" i="11"/>
  <c r="J22" i="11"/>
  <c r="B22" i="11"/>
  <c r="J21" i="11"/>
  <c r="B21" i="11"/>
  <c r="J20" i="11"/>
  <c r="B20" i="11"/>
  <c r="J19" i="11"/>
  <c r="B19" i="11"/>
  <c r="J18" i="11"/>
  <c r="B18" i="11"/>
  <c r="J17" i="11"/>
  <c r="B17" i="11"/>
  <c r="J16" i="11"/>
  <c r="B16" i="11"/>
  <c r="J15" i="11"/>
  <c r="B15" i="11"/>
  <c r="J14" i="11"/>
  <c r="B14" i="11"/>
  <c r="J13" i="11"/>
  <c r="B13" i="11"/>
  <c r="J12" i="11"/>
  <c r="B12" i="11"/>
  <c r="J11" i="11"/>
  <c r="B11" i="11"/>
  <c r="J10" i="11"/>
  <c r="B10" i="11"/>
  <c r="J9" i="11"/>
  <c r="B9" i="11"/>
  <c r="B60" i="11" s="1"/>
  <c r="M5" i="11"/>
  <c r="K5" i="11"/>
  <c r="M3" i="11"/>
  <c r="K3" i="11"/>
  <c r="D113" i="10"/>
  <c r="C113" i="10"/>
  <c r="J112" i="10"/>
  <c r="B112" i="10"/>
  <c r="J111" i="10"/>
  <c r="B111" i="10"/>
  <c r="J110" i="10"/>
  <c r="B110" i="10"/>
  <c r="J109" i="10"/>
  <c r="B109" i="10"/>
  <c r="J108" i="10"/>
  <c r="B108" i="10"/>
  <c r="J107" i="10"/>
  <c r="B107" i="10"/>
  <c r="J106" i="10"/>
  <c r="B106" i="10"/>
  <c r="J105" i="10"/>
  <c r="B105" i="10"/>
  <c r="J104" i="10"/>
  <c r="B104" i="10"/>
  <c r="J103" i="10"/>
  <c r="B103" i="10"/>
  <c r="J102" i="10"/>
  <c r="B102" i="10"/>
  <c r="J101" i="10"/>
  <c r="B101" i="10"/>
  <c r="J100" i="10"/>
  <c r="B100" i="10"/>
  <c r="J99" i="10"/>
  <c r="B99" i="10"/>
  <c r="J98" i="10"/>
  <c r="B98" i="10"/>
  <c r="J97" i="10"/>
  <c r="B97" i="10"/>
  <c r="J96" i="10"/>
  <c r="B96" i="10"/>
  <c r="J95" i="10"/>
  <c r="B95" i="10"/>
  <c r="J94" i="10"/>
  <c r="B94" i="10"/>
  <c r="B113" i="10" s="1"/>
  <c r="L5" i="10" s="1"/>
  <c r="N5" i="10" s="1"/>
  <c r="D90" i="10"/>
  <c r="C90" i="10"/>
  <c r="J89" i="10"/>
  <c r="B89" i="10"/>
  <c r="J88" i="10"/>
  <c r="B88" i="10"/>
  <c r="J87" i="10"/>
  <c r="B87" i="10"/>
  <c r="J86" i="10"/>
  <c r="B86" i="10"/>
  <c r="J85" i="10"/>
  <c r="B85" i="10"/>
  <c r="J84" i="10"/>
  <c r="B84" i="10"/>
  <c r="J83" i="10"/>
  <c r="B83" i="10"/>
  <c r="J82" i="10"/>
  <c r="B82" i="10"/>
  <c r="J81" i="10"/>
  <c r="B81" i="10"/>
  <c r="J80" i="10"/>
  <c r="B80" i="10"/>
  <c r="J79" i="10"/>
  <c r="B79" i="10"/>
  <c r="J78" i="10"/>
  <c r="B78" i="10"/>
  <c r="J77" i="10"/>
  <c r="B77" i="10"/>
  <c r="J76" i="10"/>
  <c r="B76" i="10"/>
  <c r="J75" i="10"/>
  <c r="B75" i="10"/>
  <c r="J74" i="10"/>
  <c r="B74" i="10"/>
  <c r="J73" i="10"/>
  <c r="B73" i="10"/>
  <c r="J72" i="10"/>
  <c r="B72" i="10"/>
  <c r="J71" i="10"/>
  <c r="B71" i="10"/>
  <c r="J70" i="10"/>
  <c r="B70" i="10"/>
  <c r="J69" i="10"/>
  <c r="B69" i="10"/>
  <c r="J68" i="10"/>
  <c r="B68" i="10"/>
  <c r="J67" i="10"/>
  <c r="B67" i="10"/>
  <c r="J66" i="10"/>
  <c r="B66" i="10"/>
  <c r="J65" i="10"/>
  <c r="B65" i="10"/>
  <c r="J64" i="10"/>
  <c r="B64" i="10"/>
  <c r="B90" i="10" s="1"/>
  <c r="D60" i="10"/>
  <c r="K3" i="10" s="1"/>
  <c r="C60" i="10"/>
  <c r="J59" i="10"/>
  <c r="B59" i="10"/>
  <c r="J58" i="10"/>
  <c r="B58" i="10"/>
  <c r="J57" i="10"/>
  <c r="B57" i="10"/>
  <c r="J56" i="10"/>
  <c r="B56" i="10"/>
  <c r="J55" i="10"/>
  <c r="B55" i="10"/>
  <c r="J54" i="10"/>
  <c r="B54" i="10"/>
  <c r="J53" i="10"/>
  <c r="B53" i="10"/>
  <c r="J52" i="10"/>
  <c r="B52" i="10"/>
  <c r="J51" i="10"/>
  <c r="B51" i="10"/>
  <c r="J50" i="10"/>
  <c r="B50" i="10"/>
  <c r="J49" i="10"/>
  <c r="B49" i="10"/>
  <c r="J46" i="10"/>
  <c r="B46" i="10"/>
  <c r="J45" i="10"/>
  <c r="B45" i="10"/>
  <c r="J44" i="10"/>
  <c r="B44" i="10"/>
  <c r="J43" i="10"/>
  <c r="B43" i="10"/>
  <c r="J42" i="10"/>
  <c r="B42" i="10"/>
  <c r="J41" i="10"/>
  <c r="B41" i="10"/>
  <c r="J40" i="10"/>
  <c r="B40" i="10"/>
  <c r="J39" i="10"/>
  <c r="B39" i="10"/>
  <c r="J38" i="10"/>
  <c r="B38" i="10"/>
  <c r="J37" i="10"/>
  <c r="B37" i="10"/>
  <c r="J36" i="10"/>
  <c r="B36" i="10"/>
  <c r="J35" i="10"/>
  <c r="B35" i="10"/>
  <c r="J34" i="10"/>
  <c r="B34" i="10"/>
  <c r="J33" i="10"/>
  <c r="B33" i="10"/>
  <c r="J32" i="10"/>
  <c r="B32" i="10"/>
  <c r="J31" i="10"/>
  <c r="B31" i="10"/>
  <c r="J30" i="10"/>
  <c r="B30" i="10"/>
  <c r="J29" i="10"/>
  <c r="B29" i="10"/>
  <c r="J28" i="10"/>
  <c r="B28" i="10"/>
  <c r="J27" i="10"/>
  <c r="B27" i="10"/>
  <c r="J26" i="10"/>
  <c r="B26" i="10"/>
  <c r="J25" i="10"/>
  <c r="B25" i="10"/>
  <c r="J24" i="10"/>
  <c r="B24" i="10"/>
  <c r="J23" i="10"/>
  <c r="B23" i="10"/>
  <c r="J22" i="10"/>
  <c r="B22" i="10"/>
  <c r="J21" i="10"/>
  <c r="B21" i="10"/>
  <c r="J20" i="10"/>
  <c r="B20" i="10"/>
  <c r="J19" i="10"/>
  <c r="B19" i="10"/>
  <c r="J18" i="10"/>
  <c r="B18" i="10"/>
  <c r="J17" i="10"/>
  <c r="B17" i="10"/>
  <c r="J16" i="10"/>
  <c r="B16" i="10"/>
  <c r="J15" i="10"/>
  <c r="B15" i="10"/>
  <c r="J14" i="10"/>
  <c r="B14" i="10"/>
  <c r="J13" i="10"/>
  <c r="B13" i="10"/>
  <c r="J12" i="10"/>
  <c r="B12" i="10"/>
  <c r="J11" i="10"/>
  <c r="B11" i="10"/>
  <c r="J10" i="10"/>
  <c r="B10" i="10"/>
  <c r="J9" i="10"/>
  <c r="B9" i="10"/>
  <c r="B60" i="10" s="1"/>
  <c r="M5" i="10"/>
  <c r="K5" i="10"/>
  <c r="M3" i="10"/>
  <c r="D113" i="8"/>
  <c r="C113" i="8"/>
  <c r="K5" i="8" s="1"/>
  <c r="J112" i="8"/>
  <c r="B112" i="8"/>
  <c r="J111" i="8"/>
  <c r="B111" i="8"/>
  <c r="J110" i="8"/>
  <c r="B110" i="8"/>
  <c r="J109" i="8"/>
  <c r="B109" i="8"/>
  <c r="J108" i="8"/>
  <c r="B108" i="8"/>
  <c r="J107" i="8"/>
  <c r="B107" i="8"/>
  <c r="J106" i="8"/>
  <c r="B106" i="8"/>
  <c r="J105" i="8"/>
  <c r="B105" i="8"/>
  <c r="J104" i="8"/>
  <c r="B104" i="8"/>
  <c r="J103" i="8"/>
  <c r="B103" i="8"/>
  <c r="J102" i="8"/>
  <c r="B102" i="8"/>
  <c r="J101" i="8"/>
  <c r="B101" i="8"/>
  <c r="J100" i="8"/>
  <c r="B100" i="8"/>
  <c r="J99" i="8"/>
  <c r="B99" i="8"/>
  <c r="J98" i="8"/>
  <c r="B98" i="8"/>
  <c r="J97" i="8"/>
  <c r="B97" i="8"/>
  <c r="J96" i="8"/>
  <c r="B96" i="8"/>
  <c r="B113" i="8" s="1"/>
  <c r="L5" i="8" s="1"/>
  <c r="J95" i="8"/>
  <c r="B95" i="8"/>
  <c r="J94" i="8"/>
  <c r="B94" i="8"/>
  <c r="D90" i="8"/>
  <c r="C90" i="8"/>
  <c r="H20" i="17" s="1"/>
  <c r="J89" i="8"/>
  <c r="B89" i="8"/>
  <c r="J88" i="8"/>
  <c r="B88" i="8"/>
  <c r="J87" i="8"/>
  <c r="B87" i="8"/>
  <c r="J86" i="8"/>
  <c r="B86" i="8"/>
  <c r="J85" i="8"/>
  <c r="B85" i="8"/>
  <c r="J84" i="8"/>
  <c r="B84" i="8"/>
  <c r="J83" i="8"/>
  <c r="B83" i="8"/>
  <c r="J82" i="8"/>
  <c r="B82" i="8"/>
  <c r="J81" i="8"/>
  <c r="B81" i="8"/>
  <c r="J80" i="8"/>
  <c r="B80" i="8"/>
  <c r="J79" i="8"/>
  <c r="B79" i="8"/>
  <c r="J78" i="8"/>
  <c r="B78" i="8"/>
  <c r="J77" i="8"/>
  <c r="B77" i="8"/>
  <c r="J76" i="8"/>
  <c r="B76" i="8"/>
  <c r="J75" i="8"/>
  <c r="B75" i="8"/>
  <c r="J74" i="8"/>
  <c r="B74" i="8"/>
  <c r="J73" i="8"/>
  <c r="B73" i="8"/>
  <c r="J72" i="8"/>
  <c r="B72" i="8"/>
  <c r="J71" i="8"/>
  <c r="B71" i="8"/>
  <c r="J70" i="8"/>
  <c r="B70" i="8"/>
  <c r="J69" i="8"/>
  <c r="B69" i="8"/>
  <c r="J68" i="8"/>
  <c r="B68" i="8"/>
  <c r="J67" i="8"/>
  <c r="B67" i="8"/>
  <c r="J66" i="8"/>
  <c r="B66" i="8"/>
  <c r="J65" i="8"/>
  <c r="B65" i="8"/>
  <c r="J64" i="8"/>
  <c r="B64" i="8"/>
  <c r="B90" i="8" s="1"/>
  <c r="D60" i="8"/>
  <c r="C60" i="8"/>
  <c r="K3" i="8" s="1"/>
  <c r="J59" i="8"/>
  <c r="B59" i="8"/>
  <c r="J58" i="8"/>
  <c r="B58" i="8"/>
  <c r="J57" i="8"/>
  <c r="B57" i="8"/>
  <c r="J56" i="8"/>
  <c r="B56" i="8"/>
  <c r="J55" i="8"/>
  <c r="B55" i="8"/>
  <c r="J54" i="8"/>
  <c r="B54" i="8"/>
  <c r="J53" i="8"/>
  <c r="B53" i="8"/>
  <c r="J52" i="8"/>
  <c r="B52" i="8"/>
  <c r="J51" i="8"/>
  <c r="B51" i="8"/>
  <c r="J50" i="8"/>
  <c r="B50" i="8"/>
  <c r="J49" i="8"/>
  <c r="B49" i="8"/>
  <c r="J46" i="8"/>
  <c r="B46" i="8"/>
  <c r="J45" i="8"/>
  <c r="B45" i="8"/>
  <c r="J44" i="8"/>
  <c r="B44" i="8"/>
  <c r="J43" i="8"/>
  <c r="B43" i="8"/>
  <c r="J42" i="8"/>
  <c r="B42" i="8"/>
  <c r="J41" i="8"/>
  <c r="B41" i="8"/>
  <c r="J40" i="8"/>
  <c r="B40" i="8"/>
  <c r="J39" i="8"/>
  <c r="B39" i="8"/>
  <c r="J38" i="8"/>
  <c r="B38" i="8"/>
  <c r="J37" i="8"/>
  <c r="B37" i="8"/>
  <c r="J36" i="8"/>
  <c r="B36" i="8"/>
  <c r="J35" i="8"/>
  <c r="B35" i="8"/>
  <c r="J34" i="8"/>
  <c r="B34" i="8"/>
  <c r="J33" i="8"/>
  <c r="B33" i="8"/>
  <c r="J32" i="8"/>
  <c r="B32" i="8"/>
  <c r="J31" i="8"/>
  <c r="B31" i="8"/>
  <c r="J30" i="8"/>
  <c r="B30" i="8"/>
  <c r="J29" i="8"/>
  <c r="B29" i="8"/>
  <c r="J28" i="8"/>
  <c r="B28" i="8"/>
  <c r="J27" i="8"/>
  <c r="B27" i="8"/>
  <c r="J26" i="8"/>
  <c r="B26" i="8"/>
  <c r="J25" i="8"/>
  <c r="B25" i="8"/>
  <c r="J24" i="8"/>
  <c r="B24" i="8"/>
  <c r="J23" i="8"/>
  <c r="B23" i="8"/>
  <c r="J22" i="8"/>
  <c r="B22" i="8"/>
  <c r="J21" i="8"/>
  <c r="B21" i="8"/>
  <c r="J20" i="8"/>
  <c r="B20" i="8"/>
  <c r="J19" i="8"/>
  <c r="B19" i="8"/>
  <c r="J18" i="8"/>
  <c r="B18" i="8"/>
  <c r="J17" i="8"/>
  <c r="B17" i="8"/>
  <c r="J16" i="8"/>
  <c r="B16" i="8"/>
  <c r="J15" i="8"/>
  <c r="B15" i="8"/>
  <c r="J14" i="8"/>
  <c r="B14" i="8"/>
  <c r="J13" i="8"/>
  <c r="B13" i="8"/>
  <c r="J12" i="8"/>
  <c r="B12" i="8"/>
  <c r="J11" i="8"/>
  <c r="B11" i="8"/>
  <c r="J10" i="8"/>
  <c r="B10" i="8"/>
  <c r="B60" i="8" s="1"/>
  <c r="L3" i="8" s="1"/>
  <c r="J9" i="8"/>
  <c r="B9" i="8"/>
  <c r="D113" i="7"/>
  <c r="C113" i="7"/>
  <c r="J112" i="7"/>
  <c r="B112" i="7"/>
  <c r="J111" i="7"/>
  <c r="B111" i="7"/>
  <c r="J110" i="7"/>
  <c r="B110" i="7"/>
  <c r="J109" i="7"/>
  <c r="B109" i="7"/>
  <c r="J108" i="7"/>
  <c r="B108" i="7"/>
  <c r="J107" i="7"/>
  <c r="B107" i="7"/>
  <c r="J106" i="7"/>
  <c r="B106" i="7"/>
  <c r="J105" i="7"/>
  <c r="B105" i="7"/>
  <c r="J104" i="7"/>
  <c r="B104" i="7"/>
  <c r="J103" i="7"/>
  <c r="B103" i="7"/>
  <c r="J102" i="7"/>
  <c r="B102" i="7"/>
  <c r="J101" i="7"/>
  <c r="B101" i="7"/>
  <c r="J100" i="7"/>
  <c r="B100" i="7"/>
  <c r="J99" i="7"/>
  <c r="B99" i="7"/>
  <c r="J98" i="7"/>
  <c r="B98" i="7"/>
  <c r="J97" i="7"/>
  <c r="B97" i="7"/>
  <c r="J96" i="7"/>
  <c r="B96" i="7"/>
  <c r="J95" i="7"/>
  <c r="B95" i="7"/>
  <c r="B113" i="7" s="1"/>
  <c r="L5" i="7" s="1"/>
  <c r="N5" i="7" s="1"/>
  <c r="J94" i="7"/>
  <c r="B94" i="7"/>
  <c r="D90" i="7"/>
  <c r="C90" i="7"/>
  <c r="J89" i="7"/>
  <c r="B89" i="7"/>
  <c r="J88" i="7"/>
  <c r="B88" i="7"/>
  <c r="J87" i="7"/>
  <c r="B87" i="7"/>
  <c r="J86" i="7"/>
  <c r="B86" i="7"/>
  <c r="J85" i="7"/>
  <c r="B85" i="7"/>
  <c r="J84" i="7"/>
  <c r="B84" i="7"/>
  <c r="J83" i="7"/>
  <c r="B83" i="7"/>
  <c r="J82" i="7"/>
  <c r="B82" i="7"/>
  <c r="J81" i="7"/>
  <c r="B81" i="7"/>
  <c r="J80" i="7"/>
  <c r="B80" i="7"/>
  <c r="J79" i="7"/>
  <c r="B79" i="7"/>
  <c r="J78" i="7"/>
  <c r="B78" i="7"/>
  <c r="J77" i="7"/>
  <c r="B77" i="7"/>
  <c r="J76" i="7"/>
  <c r="B76" i="7"/>
  <c r="J75" i="7"/>
  <c r="B75" i="7"/>
  <c r="J74" i="7"/>
  <c r="B74" i="7"/>
  <c r="J73" i="7"/>
  <c r="B73" i="7"/>
  <c r="J72" i="7"/>
  <c r="B72" i="7"/>
  <c r="J71" i="7"/>
  <c r="B71" i="7"/>
  <c r="J70" i="7"/>
  <c r="B70" i="7"/>
  <c r="J69" i="7"/>
  <c r="B69" i="7"/>
  <c r="J68" i="7"/>
  <c r="B68" i="7"/>
  <c r="J67" i="7"/>
  <c r="B67" i="7"/>
  <c r="J66" i="7"/>
  <c r="B66" i="7"/>
  <c r="J65" i="7"/>
  <c r="B65" i="7"/>
  <c r="J64" i="7"/>
  <c r="B64" i="7"/>
  <c r="B90" i="7" s="1"/>
  <c r="D60" i="7"/>
  <c r="C60" i="7"/>
  <c r="K3" i="7" s="1"/>
  <c r="J59" i="7"/>
  <c r="B59" i="7"/>
  <c r="J58" i="7"/>
  <c r="B58" i="7"/>
  <c r="J57" i="7"/>
  <c r="B57" i="7"/>
  <c r="J56" i="7"/>
  <c r="B56" i="7"/>
  <c r="J55" i="7"/>
  <c r="B55" i="7"/>
  <c r="J54" i="7"/>
  <c r="B54" i="7"/>
  <c r="J53" i="7"/>
  <c r="B53" i="7"/>
  <c r="J52" i="7"/>
  <c r="B52" i="7"/>
  <c r="J51" i="7"/>
  <c r="B51" i="7"/>
  <c r="J50" i="7"/>
  <c r="B50" i="7"/>
  <c r="J49" i="7"/>
  <c r="B49" i="7"/>
  <c r="J46" i="7"/>
  <c r="B46" i="7"/>
  <c r="J45" i="7"/>
  <c r="B45" i="7"/>
  <c r="J44" i="7"/>
  <c r="B44" i="7"/>
  <c r="J43" i="7"/>
  <c r="B43" i="7"/>
  <c r="J42" i="7"/>
  <c r="B42" i="7"/>
  <c r="J41" i="7"/>
  <c r="B41" i="7"/>
  <c r="J40" i="7"/>
  <c r="B40" i="7"/>
  <c r="J39" i="7"/>
  <c r="B39" i="7"/>
  <c r="J38" i="7"/>
  <c r="B38" i="7"/>
  <c r="J37" i="7"/>
  <c r="B37" i="7"/>
  <c r="J36" i="7"/>
  <c r="B36" i="7"/>
  <c r="J35" i="7"/>
  <c r="B35" i="7"/>
  <c r="J34" i="7"/>
  <c r="B34" i="7"/>
  <c r="J33" i="7"/>
  <c r="B33" i="7"/>
  <c r="J32" i="7"/>
  <c r="B32" i="7"/>
  <c r="J31" i="7"/>
  <c r="B31" i="7"/>
  <c r="J30" i="7"/>
  <c r="B30" i="7"/>
  <c r="J29" i="7"/>
  <c r="B29" i="7"/>
  <c r="J28" i="7"/>
  <c r="B28" i="7"/>
  <c r="J27" i="7"/>
  <c r="B27" i="7"/>
  <c r="J26" i="7"/>
  <c r="B26" i="7"/>
  <c r="J25" i="7"/>
  <c r="B25" i="7"/>
  <c r="J24" i="7"/>
  <c r="B24" i="7"/>
  <c r="J23" i="7"/>
  <c r="B23" i="7"/>
  <c r="J22" i="7"/>
  <c r="B22" i="7"/>
  <c r="J21" i="7"/>
  <c r="B21" i="7"/>
  <c r="J20" i="7"/>
  <c r="B20" i="7"/>
  <c r="J19" i="7"/>
  <c r="B19" i="7"/>
  <c r="J18" i="7"/>
  <c r="B18" i="7"/>
  <c r="J17" i="7"/>
  <c r="B17" i="7"/>
  <c r="J16" i="7"/>
  <c r="B16" i="7"/>
  <c r="J15" i="7"/>
  <c r="B15" i="7"/>
  <c r="J14" i="7"/>
  <c r="B14" i="7"/>
  <c r="J13" i="7"/>
  <c r="B13" i="7"/>
  <c r="J12" i="7"/>
  <c r="B12" i="7"/>
  <c r="J11" i="7"/>
  <c r="B11" i="7"/>
  <c r="J10" i="7"/>
  <c r="B10" i="7"/>
  <c r="B60" i="7" s="1"/>
  <c r="L3" i="7" s="1"/>
  <c r="N3" i="7" s="1"/>
  <c r="J9" i="7"/>
  <c r="B9" i="7"/>
  <c r="M5" i="7"/>
  <c r="K5" i="7"/>
  <c r="M3" i="7"/>
  <c r="D113" i="6"/>
  <c r="C113" i="6"/>
  <c r="J112" i="6"/>
  <c r="B112" i="6"/>
  <c r="J111" i="6"/>
  <c r="B111" i="6"/>
  <c r="J110" i="6"/>
  <c r="B110" i="6"/>
  <c r="J109" i="6"/>
  <c r="B109" i="6"/>
  <c r="J108" i="6"/>
  <c r="B108" i="6"/>
  <c r="J107" i="6"/>
  <c r="B107" i="6"/>
  <c r="J106" i="6"/>
  <c r="B106" i="6"/>
  <c r="J105" i="6"/>
  <c r="B105" i="6"/>
  <c r="J104" i="6"/>
  <c r="B104" i="6"/>
  <c r="J103" i="6"/>
  <c r="B103" i="6"/>
  <c r="J102" i="6"/>
  <c r="B102" i="6"/>
  <c r="J101" i="6"/>
  <c r="B101" i="6"/>
  <c r="J100" i="6"/>
  <c r="B100" i="6"/>
  <c r="J99" i="6"/>
  <c r="B99" i="6"/>
  <c r="J98" i="6"/>
  <c r="B98" i="6"/>
  <c r="J97" i="6"/>
  <c r="B97" i="6"/>
  <c r="J96" i="6"/>
  <c r="B96" i="6"/>
  <c r="J95" i="6"/>
  <c r="B95" i="6"/>
  <c r="J94" i="6"/>
  <c r="B94" i="6"/>
  <c r="B113" i="6" s="1"/>
  <c r="L5" i="6" s="1"/>
  <c r="N5" i="6" s="1"/>
  <c r="D90" i="6"/>
  <c r="C90" i="6"/>
  <c r="J89" i="6"/>
  <c r="B89" i="6"/>
  <c r="J88" i="6"/>
  <c r="B88" i="6"/>
  <c r="J87" i="6"/>
  <c r="B87" i="6"/>
  <c r="J86" i="6"/>
  <c r="B86" i="6"/>
  <c r="J85" i="6"/>
  <c r="B85" i="6"/>
  <c r="J84" i="6"/>
  <c r="B84" i="6"/>
  <c r="J83" i="6"/>
  <c r="B83" i="6"/>
  <c r="J82" i="6"/>
  <c r="B82" i="6"/>
  <c r="J81" i="6"/>
  <c r="B81" i="6"/>
  <c r="J80" i="6"/>
  <c r="B80" i="6"/>
  <c r="J79" i="6"/>
  <c r="B79" i="6"/>
  <c r="J78" i="6"/>
  <c r="B78" i="6"/>
  <c r="J77" i="6"/>
  <c r="B77" i="6"/>
  <c r="J76" i="6"/>
  <c r="B76" i="6"/>
  <c r="J75" i="6"/>
  <c r="B75" i="6"/>
  <c r="J74" i="6"/>
  <c r="B74" i="6"/>
  <c r="J73" i="6"/>
  <c r="B73" i="6"/>
  <c r="J72" i="6"/>
  <c r="B72" i="6"/>
  <c r="J71" i="6"/>
  <c r="B71" i="6"/>
  <c r="J70" i="6"/>
  <c r="B70" i="6"/>
  <c r="J69" i="6"/>
  <c r="B69" i="6"/>
  <c r="J68" i="6"/>
  <c r="B68" i="6"/>
  <c r="J67" i="6"/>
  <c r="B67" i="6"/>
  <c r="J66" i="6"/>
  <c r="B66" i="6"/>
  <c r="J65" i="6"/>
  <c r="B65" i="6"/>
  <c r="J64" i="6"/>
  <c r="B64" i="6"/>
  <c r="B90" i="6" s="1"/>
  <c r="D60" i="6"/>
  <c r="C60" i="6"/>
  <c r="J59" i="6"/>
  <c r="B59" i="6"/>
  <c r="J58" i="6"/>
  <c r="B58" i="6"/>
  <c r="J57" i="6"/>
  <c r="B57" i="6"/>
  <c r="J56" i="6"/>
  <c r="B56" i="6"/>
  <c r="J55" i="6"/>
  <c r="B55" i="6"/>
  <c r="J54" i="6"/>
  <c r="B54" i="6"/>
  <c r="J53" i="6"/>
  <c r="B53" i="6"/>
  <c r="J52" i="6"/>
  <c r="B52" i="6"/>
  <c r="J51" i="6"/>
  <c r="B51" i="6"/>
  <c r="J50" i="6"/>
  <c r="B50" i="6"/>
  <c r="J49" i="6"/>
  <c r="B49" i="6"/>
  <c r="J46" i="6"/>
  <c r="B46" i="6"/>
  <c r="J45" i="6"/>
  <c r="B45" i="6"/>
  <c r="J44" i="6"/>
  <c r="B44" i="6"/>
  <c r="J43" i="6"/>
  <c r="B43" i="6"/>
  <c r="J42" i="6"/>
  <c r="B42" i="6"/>
  <c r="J41" i="6"/>
  <c r="B41" i="6"/>
  <c r="J40" i="6"/>
  <c r="B40" i="6"/>
  <c r="J39" i="6"/>
  <c r="B39" i="6"/>
  <c r="J38" i="6"/>
  <c r="B38" i="6"/>
  <c r="J37" i="6"/>
  <c r="B37" i="6"/>
  <c r="J36" i="6"/>
  <c r="B36" i="6"/>
  <c r="J35" i="6"/>
  <c r="B35" i="6"/>
  <c r="J34" i="6"/>
  <c r="B34" i="6"/>
  <c r="J33" i="6"/>
  <c r="B33" i="6"/>
  <c r="J32" i="6"/>
  <c r="B32" i="6"/>
  <c r="J31" i="6"/>
  <c r="B31" i="6"/>
  <c r="J30" i="6"/>
  <c r="B30" i="6"/>
  <c r="J29" i="6"/>
  <c r="B29" i="6"/>
  <c r="J28" i="6"/>
  <c r="B28" i="6"/>
  <c r="J27" i="6"/>
  <c r="B27" i="6"/>
  <c r="J26" i="6"/>
  <c r="B26" i="6"/>
  <c r="J25" i="6"/>
  <c r="B25" i="6"/>
  <c r="J24" i="6"/>
  <c r="B24" i="6"/>
  <c r="J23" i="6"/>
  <c r="B23" i="6"/>
  <c r="J22" i="6"/>
  <c r="B22" i="6"/>
  <c r="J21" i="6"/>
  <c r="B21" i="6"/>
  <c r="J20" i="6"/>
  <c r="B20" i="6"/>
  <c r="J19" i="6"/>
  <c r="B19" i="6"/>
  <c r="J18" i="6"/>
  <c r="B18" i="6"/>
  <c r="J17" i="6"/>
  <c r="B17" i="6"/>
  <c r="J16" i="6"/>
  <c r="B16" i="6"/>
  <c r="J15" i="6"/>
  <c r="B15" i="6"/>
  <c r="J14" i="6"/>
  <c r="B14" i="6"/>
  <c r="J13" i="6"/>
  <c r="B13" i="6"/>
  <c r="J12" i="6"/>
  <c r="B12" i="6"/>
  <c r="J11" i="6"/>
  <c r="B11" i="6"/>
  <c r="J10" i="6"/>
  <c r="B10" i="6"/>
  <c r="J9" i="6"/>
  <c r="B9" i="6"/>
  <c r="B60" i="6" s="1"/>
  <c r="L3" i="6" s="1"/>
  <c r="M5" i="6"/>
  <c r="K5" i="6"/>
  <c r="M3" i="6"/>
  <c r="D113" i="5"/>
  <c r="C113" i="5"/>
  <c r="M5" i="5" s="1"/>
  <c r="J112" i="5"/>
  <c r="B112" i="5"/>
  <c r="J111" i="5"/>
  <c r="B111" i="5"/>
  <c r="J110" i="5"/>
  <c r="B110" i="5"/>
  <c r="J109" i="5"/>
  <c r="B109" i="5"/>
  <c r="J108" i="5"/>
  <c r="B108" i="5"/>
  <c r="J107" i="5"/>
  <c r="B107" i="5"/>
  <c r="J106" i="5"/>
  <c r="B106" i="5"/>
  <c r="J105" i="5"/>
  <c r="B105" i="5"/>
  <c r="J104" i="5"/>
  <c r="B104" i="5"/>
  <c r="J103" i="5"/>
  <c r="B103" i="5"/>
  <c r="J102" i="5"/>
  <c r="B102" i="5"/>
  <c r="J101" i="5"/>
  <c r="B101" i="5"/>
  <c r="J100" i="5"/>
  <c r="B100" i="5"/>
  <c r="J99" i="5"/>
  <c r="B99" i="5"/>
  <c r="J98" i="5"/>
  <c r="B98" i="5"/>
  <c r="J97" i="5"/>
  <c r="B97" i="5"/>
  <c r="J96" i="5"/>
  <c r="B96" i="5"/>
  <c r="B113" i="5" s="1"/>
  <c r="L5" i="5" s="1"/>
  <c r="N5" i="5" s="1"/>
  <c r="J95" i="5"/>
  <c r="B95" i="5"/>
  <c r="J94" i="5"/>
  <c r="B94" i="5"/>
  <c r="D90" i="5"/>
  <c r="C90" i="5"/>
  <c r="J89" i="5"/>
  <c r="B89" i="5"/>
  <c r="J88" i="5"/>
  <c r="B88" i="5"/>
  <c r="J87" i="5"/>
  <c r="B87" i="5"/>
  <c r="J86" i="5"/>
  <c r="B86" i="5"/>
  <c r="J85" i="5"/>
  <c r="B85" i="5"/>
  <c r="J84" i="5"/>
  <c r="B84" i="5"/>
  <c r="J83" i="5"/>
  <c r="B83" i="5"/>
  <c r="J82" i="5"/>
  <c r="B82" i="5"/>
  <c r="J81" i="5"/>
  <c r="B81" i="5"/>
  <c r="J80" i="5"/>
  <c r="B80" i="5"/>
  <c r="J79" i="5"/>
  <c r="B79" i="5"/>
  <c r="J78" i="5"/>
  <c r="B78" i="5"/>
  <c r="J77" i="5"/>
  <c r="B77" i="5"/>
  <c r="J76" i="5"/>
  <c r="B76" i="5"/>
  <c r="J75" i="5"/>
  <c r="B75" i="5"/>
  <c r="J74" i="5"/>
  <c r="B74" i="5"/>
  <c r="J73" i="5"/>
  <c r="B73" i="5"/>
  <c r="J72" i="5"/>
  <c r="B72" i="5"/>
  <c r="J71" i="5"/>
  <c r="B71" i="5"/>
  <c r="J70" i="5"/>
  <c r="B70" i="5"/>
  <c r="J69" i="5"/>
  <c r="B69" i="5"/>
  <c r="J68" i="5"/>
  <c r="B68" i="5"/>
  <c r="J67" i="5"/>
  <c r="B67" i="5"/>
  <c r="J66" i="5"/>
  <c r="B66" i="5"/>
  <c r="J65" i="5"/>
  <c r="B65" i="5"/>
  <c r="J64" i="5"/>
  <c r="B64" i="5"/>
  <c r="B90" i="5" s="1"/>
  <c r="D60" i="5"/>
  <c r="C60" i="5"/>
  <c r="K3" i="5" s="1"/>
  <c r="J59" i="5"/>
  <c r="B59" i="5"/>
  <c r="J58" i="5"/>
  <c r="B58" i="5"/>
  <c r="J57" i="5"/>
  <c r="B57" i="5"/>
  <c r="J56" i="5"/>
  <c r="B56" i="5"/>
  <c r="J55" i="5"/>
  <c r="B55" i="5"/>
  <c r="J54" i="5"/>
  <c r="B54" i="5"/>
  <c r="J53" i="5"/>
  <c r="B53" i="5"/>
  <c r="J52" i="5"/>
  <c r="B52" i="5"/>
  <c r="J51" i="5"/>
  <c r="B51" i="5"/>
  <c r="J50" i="5"/>
  <c r="B50" i="5"/>
  <c r="J49" i="5"/>
  <c r="B49" i="5"/>
  <c r="J46" i="5"/>
  <c r="B46" i="5"/>
  <c r="J45" i="5"/>
  <c r="B45" i="5"/>
  <c r="J44" i="5"/>
  <c r="B44" i="5"/>
  <c r="J43" i="5"/>
  <c r="B43" i="5"/>
  <c r="J42" i="5"/>
  <c r="B42" i="5"/>
  <c r="J41" i="5"/>
  <c r="B41" i="5"/>
  <c r="J40" i="5"/>
  <c r="B40" i="5"/>
  <c r="J39" i="5"/>
  <c r="B39" i="5"/>
  <c r="J38" i="5"/>
  <c r="B38" i="5"/>
  <c r="J37" i="5"/>
  <c r="B37" i="5"/>
  <c r="J36" i="5"/>
  <c r="B36" i="5"/>
  <c r="J35" i="5"/>
  <c r="B35" i="5"/>
  <c r="J34" i="5"/>
  <c r="B34" i="5"/>
  <c r="J33" i="5"/>
  <c r="B33" i="5"/>
  <c r="J32" i="5"/>
  <c r="B32" i="5"/>
  <c r="J31" i="5"/>
  <c r="B31" i="5"/>
  <c r="J30" i="5"/>
  <c r="B30" i="5"/>
  <c r="J29" i="5"/>
  <c r="B29" i="5"/>
  <c r="J28" i="5"/>
  <c r="B28" i="5"/>
  <c r="J27" i="5"/>
  <c r="B27" i="5"/>
  <c r="J26" i="5"/>
  <c r="B26" i="5"/>
  <c r="J25" i="5"/>
  <c r="B25" i="5"/>
  <c r="J24" i="5"/>
  <c r="B24" i="5"/>
  <c r="J23" i="5"/>
  <c r="B23" i="5"/>
  <c r="J22" i="5"/>
  <c r="B22" i="5"/>
  <c r="J21" i="5"/>
  <c r="B21" i="5"/>
  <c r="J20" i="5"/>
  <c r="B20" i="5"/>
  <c r="J19" i="5"/>
  <c r="B19" i="5"/>
  <c r="J18" i="5"/>
  <c r="B18" i="5"/>
  <c r="J17" i="5"/>
  <c r="B17" i="5"/>
  <c r="J16" i="5"/>
  <c r="B16" i="5"/>
  <c r="J15" i="5"/>
  <c r="B15" i="5"/>
  <c r="J14" i="5"/>
  <c r="B14" i="5"/>
  <c r="J13" i="5"/>
  <c r="B13" i="5"/>
  <c r="J12" i="5"/>
  <c r="B12" i="5"/>
  <c r="J11" i="5"/>
  <c r="B11" i="5"/>
  <c r="J10" i="5"/>
  <c r="B10" i="5"/>
  <c r="B60" i="5" s="1"/>
  <c r="L3" i="5" s="1"/>
  <c r="N3" i="5" s="1"/>
  <c r="J9" i="5"/>
  <c r="B9" i="5"/>
  <c r="K5" i="5"/>
  <c r="M3" i="5"/>
  <c r="D113" i="4"/>
  <c r="C113" i="4"/>
  <c r="I16" i="17" s="1"/>
  <c r="J112" i="4"/>
  <c r="B112" i="4"/>
  <c r="J111" i="4"/>
  <c r="B111" i="4"/>
  <c r="J110" i="4"/>
  <c r="B110" i="4"/>
  <c r="J109" i="4"/>
  <c r="B109" i="4"/>
  <c r="J108" i="4"/>
  <c r="B108" i="4"/>
  <c r="J107" i="4"/>
  <c r="B107" i="4"/>
  <c r="J106" i="4"/>
  <c r="B106" i="4"/>
  <c r="J105" i="4"/>
  <c r="B105" i="4"/>
  <c r="J104" i="4"/>
  <c r="B104" i="4"/>
  <c r="J103" i="4"/>
  <c r="B103" i="4"/>
  <c r="J102" i="4"/>
  <c r="B102" i="4"/>
  <c r="J101" i="4"/>
  <c r="B101" i="4"/>
  <c r="J100" i="4"/>
  <c r="B100" i="4"/>
  <c r="J99" i="4"/>
  <c r="B99" i="4"/>
  <c r="J98" i="4"/>
  <c r="B98" i="4"/>
  <c r="J97" i="4"/>
  <c r="B97" i="4"/>
  <c r="J96" i="4"/>
  <c r="B96" i="4"/>
  <c r="J95" i="4"/>
  <c r="B95" i="4"/>
  <c r="J94" i="4"/>
  <c r="B94" i="4"/>
  <c r="B113" i="4" s="1"/>
  <c r="L5" i="4" s="1"/>
  <c r="D90" i="4"/>
  <c r="C90" i="4"/>
  <c r="J89" i="4"/>
  <c r="B89" i="4"/>
  <c r="J88" i="4"/>
  <c r="B88" i="4"/>
  <c r="J87" i="4"/>
  <c r="B87" i="4"/>
  <c r="J86" i="4"/>
  <c r="B86" i="4"/>
  <c r="J85" i="4"/>
  <c r="B85" i="4"/>
  <c r="J84" i="4"/>
  <c r="B84" i="4"/>
  <c r="J83" i="4"/>
  <c r="B83" i="4"/>
  <c r="J82" i="4"/>
  <c r="B82" i="4"/>
  <c r="J81" i="4"/>
  <c r="B81" i="4"/>
  <c r="J80" i="4"/>
  <c r="B80" i="4"/>
  <c r="J79" i="4"/>
  <c r="B79" i="4"/>
  <c r="J78" i="4"/>
  <c r="B78" i="4"/>
  <c r="J77" i="4"/>
  <c r="B77" i="4"/>
  <c r="J76" i="4"/>
  <c r="B76" i="4"/>
  <c r="J75" i="4"/>
  <c r="B75" i="4"/>
  <c r="J74" i="4"/>
  <c r="B74" i="4"/>
  <c r="J73" i="4"/>
  <c r="B73" i="4"/>
  <c r="J72" i="4"/>
  <c r="B72" i="4"/>
  <c r="J71" i="4"/>
  <c r="B71" i="4"/>
  <c r="J70" i="4"/>
  <c r="B70" i="4"/>
  <c r="J69" i="4"/>
  <c r="B69" i="4"/>
  <c r="J68" i="4"/>
  <c r="B68" i="4"/>
  <c r="J67" i="4"/>
  <c r="B67" i="4"/>
  <c r="J66" i="4"/>
  <c r="B66" i="4"/>
  <c r="J65" i="4"/>
  <c r="B65" i="4"/>
  <c r="J64" i="4"/>
  <c r="B64" i="4"/>
  <c r="D60" i="4"/>
  <c r="C60" i="4"/>
  <c r="J59" i="4"/>
  <c r="B59" i="4"/>
  <c r="J58" i="4"/>
  <c r="B58" i="4"/>
  <c r="J57" i="4"/>
  <c r="B57" i="4"/>
  <c r="J56" i="4"/>
  <c r="B56" i="4"/>
  <c r="J55" i="4"/>
  <c r="B55" i="4"/>
  <c r="J54" i="4"/>
  <c r="B54" i="4"/>
  <c r="J53" i="4"/>
  <c r="B53" i="4"/>
  <c r="J52" i="4"/>
  <c r="B52" i="4"/>
  <c r="J51" i="4"/>
  <c r="B51" i="4"/>
  <c r="J50" i="4"/>
  <c r="B50" i="4"/>
  <c r="J49" i="4"/>
  <c r="B49" i="4"/>
  <c r="J46" i="4"/>
  <c r="B46" i="4"/>
  <c r="J45" i="4"/>
  <c r="B45" i="4"/>
  <c r="J44" i="4"/>
  <c r="B44" i="4"/>
  <c r="J43" i="4"/>
  <c r="B43" i="4"/>
  <c r="J42" i="4"/>
  <c r="B42" i="4"/>
  <c r="J41" i="4"/>
  <c r="B41" i="4"/>
  <c r="J40" i="4"/>
  <c r="B40" i="4"/>
  <c r="J39" i="4"/>
  <c r="B39" i="4"/>
  <c r="J38" i="4"/>
  <c r="B38" i="4"/>
  <c r="J37" i="4"/>
  <c r="B37" i="4"/>
  <c r="J36" i="4"/>
  <c r="B36" i="4"/>
  <c r="J35" i="4"/>
  <c r="B35" i="4"/>
  <c r="J34" i="4"/>
  <c r="B34" i="4"/>
  <c r="J33" i="4"/>
  <c r="B33" i="4"/>
  <c r="J32" i="4"/>
  <c r="B32" i="4"/>
  <c r="J31" i="4"/>
  <c r="B31" i="4"/>
  <c r="J30" i="4"/>
  <c r="B30" i="4"/>
  <c r="J29" i="4"/>
  <c r="B29" i="4"/>
  <c r="J28" i="4"/>
  <c r="B28" i="4"/>
  <c r="J27" i="4"/>
  <c r="B27" i="4"/>
  <c r="J26" i="4"/>
  <c r="B26" i="4"/>
  <c r="J25" i="4"/>
  <c r="B25" i="4"/>
  <c r="J24" i="4"/>
  <c r="B24" i="4"/>
  <c r="J23" i="4"/>
  <c r="B23" i="4"/>
  <c r="J22" i="4"/>
  <c r="B22" i="4"/>
  <c r="J21" i="4"/>
  <c r="B21" i="4"/>
  <c r="J20" i="4"/>
  <c r="B20" i="4"/>
  <c r="J19" i="4"/>
  <c r="B19" i="4"/>
  <c r="J18" i="4"/>
  <c r="B18" i="4"/>
  <c r="J17" i="4"/>
  <c r="B17" i="4"/>
  <c r="J16" i="4"/>
  <c r="B16" i="4"/>
  <c r="J15" i="4"/>
  <c r="B15" i="4"/>
  <c r="J14" i="4"/>
  <c r="B14" i="4"/>
  <c r="J13" i="4"/>
  <c r="B13" i="4"/>
  <c r="J12" i="4"/>
  <c r="B12" i="4"/>
  <c r="J11" i="4"/>
  <c r="B11" i="4"/>
  <c r="J10" i="4"/>
  <c r="B10" i="4"/>
  <c r="J9" i="4"/>
  <c r="B9" i="4"/>
  <c r="J95" i="18"/>
  <c r="J96" i="18"/>
  <c r="J97" i="18"/>
  <c r="J98" i="18"/>
  <c r="J99" i="18"/>
  <c r="J100" i="18"/>
  <c r="J101" i="18"/>
  <c r="J102" i="18"/>
  <c r="J103" i="18"/>
  <c r="J104" i="18"/>
  <c r="J105" i="18"/>
  <c r="J106" i="18"/>
  <c r="J107" i="18"/>
  <c r="J108" i="18"/>
  <c r="J109" i="18"/>
  <c r="J110" i="18"/>
  <c r="J111" i="18"/>
  <c r="J112" i="18"/>
  <c r="J9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64" i="18"/>
  <c r="J50" i="18"/>
  <c r="J51" i="18"/>
  <c r="J52" i="18"/>
  <c r="J53" i="18"/>
  <c r="J54" i="18"/>
  <c r="J55" i="18"/>
  <c r="J56" i="18"/>
  <c r="J57" i="18"/>
  <c r="J58" i="18"/>
  <c r="J59" i="18"/>
  <c r="J4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9" i="18"/>
  <c r="H28" i="17"/>
  <c r="H22" i="17"/>
  <c r="L19" i="17"/>
  <c r="D113" i="18"/>
  <c r="C113" i="18"/>
  <c r="B112" i="18"/>
  <c r="B111" i="18"/>
  <c r="B110" i="18"/>
  <c r="B109" i="18"/>
  <c r="B108" i="18"/>
  <c r="B107" i="18"/>
  <c r="B106" i="18"/>
  <c r="B105" i="18"/>
  <c r="B104" i="18"/>
  <c r="B103" i="18"/>
  <c r="B102" i="18"/>
  <c r="B101" i="18"/>
  <c r="B100" i="18"/>
  <c r="B99" i="18"/>
  <c r="B98" i="18"/>
  <c r="B97" i="18"/>
  <c r="B113" i="18" s="1"/>
  <c r="L5" i="18" s="1"/>
  <c r="N5" i="18" s="1"/>
  <c r="B96" i="18"/>
  <c r="B95" i="18"/>
  <c r="B94" i="18"/>
  <c r="D90" i="18"/>
  <c r="H15" i="17" s="1"/>
  <c r="C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B90" i="18" s="1"/>
  <c r="D60" i="18"/>
  <c r="G15" i="17" s="1"/>
  <c r="C60" i="18"/>
  <c r="B59" i="18"/>
  <c r="B58" i="18"/>
  <c r="B57" i="18"/>
  <c r="B56" i="18"/>
  <c r="B55" i="18"/>
  <c r="B54" i="18"/>
  <c r="B53" i="18"/>
  <c r="B52" i="18"/>
  <c r="B51" i="18"/>
  <c r="B50" i="18"/>
  <c r="B49" i="18"/>
  <c r="B46"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10" i="18"/>
  <c r="B9" i="18"/>
  <c r="B60" i="18" s="1"/>
  <c r="L3" i="18" s="1"/>
  <c r="N3" i="18" s="1"/>
  <c r="M5" i="18"/>
  <c r="K5" i="18"/>
  <c r="M3" i="18"/>
  <c r="D15" i="17"/>
  <c r="F15" i="17"/>
  <c r="B15" i="17" a="1"/>
  <c r="B15" i="17" s="1"/>
  <c r="H21" i="17"/>
  <c r="B112" i="1"/>
  <c r="B111" i="1"/>
  <c r="B110" i="1"/>
  <c r="B109" i="1"/>
  <c r="B108" i="1"/>
  <c r="B107" i="1"/>
  <c r="B106" i="1"/>
  <c r="B105" i="1"/>
  <c r="B104" i="1"/>
  <c r="B103" i="1"/>
  <c r="B102" i="1"/>
  <c r="B101" i="1"/>
  <c r="B100" i="1"/>
  <c r="B99" i="1"/>
  <c r="B98" i="1"/>
  <c r="B97" i="1"/>
  <c r="B96" i="1"/>
  <c r="B95" i="1"/>
  <c r="B94" i="1"/>
  <c r="B89" i="1"/>
  <c r="B88" i="1"/>
  <c r="B87" i="1"/>
  <c r="B86" i="1"/>
  <c r="B85" i="1"/>
  <c r="B84" i="1"/>
  <c r="B83" i="1"/>
  <c r="B82" i="1"/>
  <c r="B81" i="1"/>
  <c r="B80" i="1"/>
  <c r="B79" i="1"/>
  <c r="B78" i="1"/>
  <c r="B77" i="1"/>
  <c r="B76" i="1"/>
  <c r="B75" i="1"/>
  <c r="B74" i="1"/>
  <c r="B73" i="1"/>
  <c r="B72" i="1"/>
  <c r="B71" i="1"/>
  <c r="B70" i="1"/>
  <c r="B69" i="1"/>
  <c r="B68" i="1"/>
  <c r="B67" i="1"/>
  <c r="B66" i="1"/>
  <c r="B65" i="1"/>
  <c r="B64" i="1"/>
  <c r="B59" i="1"/>
  <c r="B58" i="1"/>
  <c r="B57" i="1"/>
  <c r="B56" i="1"/>
  <c r="B55" i="1"/>
  <c r="B54" i="1"/>
  <c r="B53" i="1"/>
  <c r="B52" i="1"/>
  <c r="B51" i="1"/>
  <c r="B50" i="1"/>
  <c r="B49" i="1"/>
  <c r="B25" i="1"/>
  <c r="B26" i="1"/>
  <c r="B27" i="1"/>
  <c r="B28" i="1"/>
  <c r="B29" i="1"/>
  <c r="B30" i="1"/>
  <c r="B31" i="1"/>
  <c r="B32" i="1"/>
  <c r="B33" i="1"/>
  <c r="B34" i="1"/>
  <c r="B35" i="1"/>
  <c r="B36" i="1"/>
  <c r="B37" i="1"/>
  <c r="B38" i="1"/>
  <c r="B39" i="1"/>
  <c r="B40" i="1"/>
  <c r="B41" i="1"/>
  <c r="B42" i="1"/>
  <c r="B43" i="1"/>
  <c r="B44" i="1"/>
  <c r="B45" i="1"/>
  <c r="B46" i="1"/>
  <c r="B11" i="1"/>
  <c r="B12" i="1"/>
  <c r="B13" i="1"/>
  <c r="B14" i="1"/>
  <c r="B15" i="1"/>
  <c r="B16" i="1"/>
  <c r="B17" i="1"/>
  <c r="B18" i="1"/>
  <c r="B19" i="1"/>
  <c r="B20" i="1"/>
  <c r="B21" i="1"/>
  <c r="B22" i="1"/>
  <c r="B23" i="1"/>
  <c r="B24" i="1"/>
  <c r="B10" i="1"/>
  <c r="B9" i="1"/>
  <c r="I29" i="17"/>
  <c r="I28" i="17"/>
  <c r="I27" i="17"/>
  <c r="I26" i="17"/>
  <c r="I24" i="17"/>
  <c r="I23" i="17"/>
  <c r="I22" i="17"/>
  <c r="I21" i="17"/>
  <c r="I20" i="17"/>
  <c r="I19" i="17"/>
  <c r="I18" i="17"/>
  <c r="H23" i="17"/>
  <c r="G28" i="17"/>
  <c r="G27" i="17"/>
  <c r="G26" i="17"/>
  <c r="G24" i="17"/>
  <c r="G22" i="17"/>
  <c r="G21" i="17"/>
  <c r="G19" i="17"/>
  <c r="G18" i="17"/>
  <c r="F29" i="17"/>
  <c r="F28" i="17"/>
  <c r="F27" i="17"/>
  <c r="F26" i="17"/>
  <c r="F25" i="17"/>
  <c r="F24" i="17"/>
  <c r="F23" i="17"/>
  <c r="F22" i="17"/>
  <c r="F21" i="17"/>
  <c r="F20" i="17"/>
  <c r="F19" i="17"/>
  <c r="F18" i="17"/>
  <c r="F17" i="17"/>
  <c r="F16" i="17"/>
  <c r="F14" i="17"/>
  <c r="D29" i="17"/>
  <c r="D28" i="17"/>
  <c r="D27" i="17"/>
  <c r="D26" i="17"/>
  <c r="D25" i="17"/>
  <c r="D24" i="17"/>
  <c r="D23" i="17"/>
  <c r="D22" i="17"/>
  <c r="D21" i="17"/>
  <c r="D20" i="17"/>
  <c r="D19" i="17"/>
  <c r="D18" i="17"/>
  <c r="D17" i="17"/>
  <c r="D16" i="17"/>
  <c r="D14" i="17"/>
  <c r="B29" i="17" a="1"/>
  <c r="B29" i="17" s="1"/>
  <c r="B28" i="17" a="1"/>
  <c r="B28" i="17" s="1"/>
  <c r="B27" i="17" a="1"/>
  <c r="B27" i="17" s="1"/>
  <c r="B26" i="17" a="1"/>
  <c r="B26" i="17" s="1"/>
  <c r="B25" i="17" a="1"/>
  <c r="B25" i="17" s="1"/>
  <c r="B24" i="17" a="1"/>
  <c r="B24" i="17" s="1"/>
  <c r="B23" i="17" a="1"/>
  <c r="B23" i="17" s="1"/>
  <c r="B22" i="17" a="1"/>
  <c r="B22" i="17" s="1"/>
  <c r="B21" i="17" a="1"/>
  <c r="B21" i="17" s="1"/>
  <c r="B20" i="17" a="1"/>
  <c r="B20" i="17" s="1"/>
  <c r="B19" i="17" a="1"/>
  <c r="B19" i="17" s="1"/>
  <c r="B18" i="17" a="1"/>
  <c r="B18" i="17" s="1"/>
  <c r="B17" i="17" a="1"/>
  <c r="B17" i="17" s="1"/>
  <c r="B16" i="17" a="1"/>
  <c r="B16" i="17" s="1"/>
  <c r="B14" i="17" a="1"/>
  <c r="B14" i="17" s="1"/>
  <c r="D113" i="1"/>
  <c r="I14" i="17" s="1"/>
  <c r="D60" i="1"/>
  <c r="C60" i="1"/>
  <c r="C90" i="1"/>
  <c r="D90" i="1"/>
  <c r="C113" i="1"/>
  <c r="M5" i="1" s="1"/>
  <c r="M3" i="8" l="1"/>
  <c r="L20" i="17" s="1"/>
  <c r="N3" i="8"/>
  <c r="G20" i="17"/>
  <c r="M3" i="4"/>
  <c r="B90" i="4"/>
  <c r="B60" i="4"/>
  <c r="N3" i="6"/>
  <c r="K3" i="6"/>
  <c r="B113" i="1"/>
  <c r="L5" i="1" s="1"/>
  <c r="N5" i="1" s="1"/>
  <c r="K5" i="1"/>
  <c r="B90" i="1"/>
  <c r="H14" i="17"/>
  <c r="L3" i="9"/>
  <c r="K21" i="17" s="1"/>
  <c r="M5" i="9"/>
  <c r="N5" i="9" s="1"/>
  <c r="M3" i="9"/>
  <c r="L21" i="17" s="1"/>
  <c r="L3" i="14"/>
  <c r="N3" i="14" s="1"/>
  <c r="L3" i="12"/>
  <c r="N3" i="12" s="1"/>
  <c r="I25" i="17"/>
  <c r="K3" i="12"/>
  <c r="L3" i="2"/>
  <c r="N3" i="2" s="1"/>
  <c r="L3" i="11"/>
  <c r="N3" i="11" s="1"/>
  <c r="L3" i="10"/>
  <c r="N3" i="10" s="1"/>
  <c r="M5" i="8"/>
  <c r="N5" i="8" s="1"/>
  <c r="N5" i="4"/>
  <c r="M5" i="4"/>
  <c r="G16" i="17"/>
  <c r="K5" i="4"/>
  <c r="K3" i="4"/>
  <c r="M19" i="17"/>
  <c r="H19" i="17"/>
  <c r="H18" i="17"/>
  <c r="H16" i="17"/>
  <c r="K3" i="18"/>
  <c r="I15" i="17"/>
  <c r="L15" i="17"/>
  <c r="L28" i="17"/>
  <c r="H27" i="17"/>
  <c r="L27" i="17"/>
  <c r="L26" i="17"/>
  <c r="K27" i="17"/>
  <c r="H26" i="17"/>
  <c r="L25" i="17"/>
  <c r="H25" i="17"/>
  <c r="L24" i="17"/>
  <c r="H24" i="17"/>
  <c r="L22" i="17"/>
  <c r="K20" i="17"/>
  <c r="K19" i="17"/>
  <c r="L18" i="17"/>
  <c r="L16" i="17"/>
  <c r="A10" i="17"/>
  <c r="K29" i="17"/>
  <c r="L29" i="17"/>
  <c r="G29" i="17"/>
  <c r="A8" i="17"/>
  <c r="A9" i="17"/>
  <c r="F9" i="17" s="1"/>
  <c r="B60" i="1"/>
  <c r="L3" i="1" s="1"/>
  <c r="K14" i="17" s="1"/>
  <c r="G23" i="17"/>
  <c r="H17" i="17"/>
  <c r="K17" i="17"/>
  <c r="G14" i="17"/>
  <c r="G17" i="17"/>
  <c r="I17" i="17"/>
  <c r="M3" i="1"/>
  <c r="L14" i="17" s="1"/>
  <c r="K3" i="1"/>
  <c r="L3" i="4" l="1"/>
  <c r="N3" i="4" s="1"/>
  <c r="K16" i="17"/>
  <c r="D10" i="17"/>
  <c r="N3" i="9"/>
  <c r="K24" i="17"/>
  <c r="K26" i="17"/>
  <c r="K23" i="17"/>
  <c r="M20" i="17"/>
  <c r="K15" i="17"/>
  <c r="K28" i="17"/>
  <c r="M28" i="17"/>
  <c r="M27" i="17"/>
  <c r="M26" i="17"/>
  <c r="K25" i="17"/>
  <c r="M25" i="17"/>
  <c r="M24" i="17"/>
  <c r="L10" i="17"/>
  <c r="M22" i="17"/>
  <c r="K22" i="17"/>
  <c r="M21" i="17"/>
  <c r="H10" i="17"/>
  <c r="K18" i="17"/>
  <c r="M18" i="17"/>
  <c r="M16" i="17"/>
  <c r="F10" i="17"/>
  <c r="K10" i="17"/>
  <c r="M29" i="17"/>
  <c r="H9" i="17"/>
  <c r="K9" i="17"/>
  <c r="D9" i="17"/>
  <c r="G9" i="17" s="1"/>
  <c r="M23" i="17"/>
  <c r="L23" i="17"/>
  <c r="L9" i="17" s="1"/>
  <c r="H8" i="17"/>
  <c r="K8" i="17"/>
  <c r="M17" i="17"/>
  <c r="L17" i="17"/>
  <c r="L8" i="17" s="1"/>
  <c r="F8" i="17"/>
  <c r="D8" i="17"/>
  <c r="N3" i="1"/>
  <c r="G10" i="17" l="1"/>
  <c r="M14" i="17"/>
  <c r="M10" i="17" s="1"/>
  <c r="M15" i="17"/>
  <c r="M9" i="17"/>
  <c r="M8" i="17"/>
  <c r="G8"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<sst xmlns="http://schemas.openxmlformats.org/spreadsheetml/2006/main" count="2257" uniqueCount="242">
  <si>
    <t>General Manager Room Inspection Program</t>
  </si>
  <si>
    <t>Monthly Summary Report</t>
  </si>
  <si>
    <t>Cumulative Inspection Score Average</t>
  </si>
  <si>
    <t>Cumulative Percentages</t>
  </si>
  <si>
    <t># Inspected</t>
  </si>
  <si>
    <t>Inspector</t>
  </si>
  <si>
    <t>Bedroom</t>
  </si>
  <si>
    <t>Bathroom</t>
  </si>
  <si>
    <t>Combined Cleanliness</t>
  </si>
  <si>
    <t>Maintenance</t>
  </si>
  <si>
    <t>Perfect</t>
  </si>
  <si>
    <t>OK</t>
  </si>
  <si>
    <t>N/A</t>
  </si>
  <si>
    <t>Insepction Scores</t>
  </si>
  <si>
    <t>Housekeeping Percentages</t>
  </si>
  <si>
    <t>Date Inspected</t>
  </si>
  <si>
    <t>Room #</t>
  </si>
  <si>
    <t>Room 1</t>
  </si>
  <si>
    <t>Room 2</t>
  </si>
  <si>
    <t>Room 3</t>
  </si>
  <si>
    <t>Room 4</t>
  </si>
  <si>
    <t>Room 5</t>
  </si>
  <si>
    <t>Room 6</t>
  </si>
  <si>
    <t>Room 7</t>
  </si>
  <si>
    <t>Room 8</t>
  </si>
  <si>
    <t>Room 9</t>
  </si>
  <si>
    <t>Room 10</t>
  </si>
  <si>
    <t>Room 11</t>
  </si>
  <si>
    <t>Room 12</t>
  </si>
  <si>
    <t>Room 13</t>
  </si>
  <si>
    <t>Room 14</t>
  </si>
  <si>
    <t>Room 15</t>
  </si>
  <si>
    <t>Room 16</t>
  </si>
  <si>
    <t xml:space="preserve">1) </t>
  </si>
  <si>
    <t xml:space="preserve">Complete 4 scored inspections / week.   </t>
  </si>
  <si>
    <t xml:space="preserve">2) </t>
  </si>
  <si>
    <t>Randomly select VC rooms from the VC Room list</t>
  </si>
  <si>
    <t>3)</t>
  </si>
  <si>
    <t>Document three rooms per week which were inspected by your Hskpg Mgr / Sup. and 1 from the secondary inspector.  GM's may have Hkpg Mgr perform additional scored inspections on rooms inspected by the fill in inspectress but those would not be considered as part of the EOM submittal.</t>
  </si>
  <si>
    <t>4)</t>
  </si>
  <si>
    <t>The names of the inspectresses should be input in the green cells on the Monthly Report tab</t>
  </si>
  <si>
    <t>5)</t>
  </si>
  <si>
    <t xml:space="preserve">The "looking for" descriptions may be edited on the Room 1 tab and all edits will flow through to the other tabs. </t>
  </si>
  <si>
    <t>6)</t>
  </si>
  <si>
    <t>The default value for each line is "Perfect" - once you enter an X into one of the other two columns, the X in the perfect</t>
  </si>
  <si>
    <t xml:space="preserve">column will go away so that you don't have to enter X's into lines for items which you didn't find a deficiency. </t>
  </si>
  <si>
    <t>General Manager Room Inspection</t>
  </si>
  <si>
    <t>Score</t>
  </si>
  <si>
    <t>% Perfect</t>
  </si>
  <si>
    <t>% OK</t>
  </si>
  <si>
    <t>% N/A</t>
  </si>
  <si>
    <t>Date</t>
  </si>
  <si>
    <t>Room Number</t>
  </si>
  <si>
    <t>Housekeeping Score</t>
  </si>
  <si>
    <t>Room Last Inspected by:</t>
  </si>
  <si>
    <t>pw = enterinfo</t>
  </si>
  <si>
    <t>Maintenance Score</t>
  </si>
  <si>
    <t>Notes</t>
  </si>
  <si>
    <t>Looking for</t>
  </si>
  <si>
    <t>Entry Door</t>
  </si>
  <si>
    <t>Clean &amp; free of scuffs</t>
  </si>
  <si>
    <t>Entry Light</t>
  </si>
  <si>
    <t>Bulbs working, no bugs or debris</t>
  </si>
  <si>
    <t>Mirror</t>
  </si>
  <si>
    <t xml:space="preserve">No streaks, no dust </t>
  </si>
  <si>
    <t>Trash Can</t>
  </si>
  <si>
    <t>Clean &amp; bag tied</t>
  </si>
  <si>
    <t>Behind trash can (Wall)</t>
  </si>
  <si>
    <t>No soil spots on wall or furniture piece behind trash can</t>
  </si>
  <si>
    <t>Desk</t>
  </si>
  <si>
    <t>Clean surface &amp; no fingerprints</t>
  </si>
  <si>
    <t>Desk Chair</t>
  </si>
  <si>
    <t>Seat / back clean, no dust on base</t>
  </si>
  <si>
    <t>TV / Media Board</t>
  </si>
  <si>
    <t>No soiled spots</t>
  </si>
  <si>
    <t>Literature / Signage</t>
  </si>
  <si>
    <t>Sat. &amp; Hskpg card, Channel Guide &amp; other - present &amp; in perfect condition</t>
  </si>
  <si>
    <t>Coffee Tray / Brewer</t>
  </si>
  <si>
    <t>Brewer clean inside &amp; no debris or soiled spots on or below tray</t>
  </si>
  <si>
    <t>Ice Bucket</t>
  </si>
  <si>
    <t>Clean inside and out with liner</t>
  </si>
  <si>
    <t>Coffee Amenities</t>
  </si>
  <si>
    <t>Proper quantity of items &amp; presented properly</t>
  </si>
  <si>
    <t>Microwave</t>
  </si>
  <si>
    <t>Clean inside and out, no dust on top of microwave or around it in the cabinet.</t>
  </si>
  <si>
    <t>Fridge</t>
  </si>
  <si>
    <t>Credenza / Armoire</t>
  </si>
  <si>
    <t>Surface &amp; drawers clean</t>
  </si>
  <si>
    <t>Soft Chair</t>
  </si>
  <si>
    <t>Not soiled, no debris under cushion or behind chair</t>
  </si>
  <si>
    <t>Window Sill</t>
  </si>
  <si>
    <t>No dust, bugs or other debris</t>
  </si>
  <si>
    <t>Window</t>
  </si>
  <si>
    <t>No visible smears or hand/finger prints</t>
  </si>
  <si>
    <t xml:space="preserve">PTAC (surface &amp; filter) </t>
  </si>
  <si>
    <t>No dust, filter fairly clean</t>
  </si>
  <si>
    <t>Headboard 1</t>
  </si>
  <si>
    <t>x</t>
  </si>
  <si>
    <t>Clean surface, no dust on top</t>
  </si>
  <si>
    <t>Bed 1</t>
  </si>
  <si>
    <t>Made per standard - 4" btwn pillows &amp; fold, properly tucked, looks clean/crisp</t>
  </si>
  <si>
    <t>Bedskirt</t>
  </si>
  <si>
    <t>Even length &amp; straight, not wrinkled</t>
  </si>
  <si>
    <t>Pillows</t>
  </si>
  <si>
    <t>Full sized &amp; appealing appearance</t>
  </si>
  <si>
    <t>Pillow cases</t>
  </si>
  <si>
    <t>Not wrinkled, properly tucked &amp; top corners pointed</t>
  </si>
  <si>
    <t>Top Sheet</t>
  </si>
  <si>
    <t>Pulled tight, not or minimally wrinkled, no stains</t>
  </si>
  <si>
    <t>Artwork 1</t>
  </si>
  <si>
    <t>No dust</t>
  </si>
  <si>
    <t>Floor by nightstand</t>
  </si>
  <si>
    <t>Crumbs / debris in area where vacuum won't go</t>
  </si>
  <si>
    <t>Nightstand</t>
  </si>
  <si>
    <t xml:space="preserve">Clean top surface, both sides, drawer and wall behind nightstand </t>
  </si>
  <si>
    <t>Pad / Pen</t>
  </si>
  <si>
    <t>Present, pad is in new condition</t>
  </si>
  <si>
    <t>Phone &amp; under phone</t>
  </si>
  <si>
    <t>Cradle &amp; Handset clean, faceplate in good condition and has right room #</t>
  </si>
  <si>
    <t>Alarm Clock</t>
  </si>
  <si>
    <t>Clean, display working and time set accurately.</t>
  </si>
  <si>
    <t xml:space="preserve">Lamps </t>
  </si>
  <si>
    <t>No dust, bulbs working &amp; same color</t>
  </si>
  <si>
    <t>Lamp Shades</t>
  </si>
  <si>
    <t>Straight, seam in back, clean</t>
  </si>
  <si>
    <t>Headboard 2 (if QQ)</t>
  </si>
  <si>
    <t>Bed 2 (if QQ)</t>
  </si>
  <si>
    <t>Made per standard - 4" between pillows &amp; fold, properly tucked</t>
  </si>
  <si>
    <t>Not wrinkled, properly tuckeed &amp; top corners pointed</t>
  </si>
  <si>
    <r>
      <t>General Manager Room Inspection</t>
    </r>
    <r>
      <rPr>
        <sz val="12"/>
        <color theme="1"/>
        <rFont val="Aptos Narrow"/>
        <family val="2"/>
        <scheme val="minor"/>
      </rPr>
      <t xml:space="preserve"> (Bedroom continued)</t>
    </r>
  </si>
  <si>
    <t>Artwork 2</t>
  </si>
  <si>
    <t>Nightstand 2 (if K)</t>
  </si>
  <si>
    <t>Sofa / Chair</t>
  </si>
  <si>
    <t>No soiled cushions, zipper to back</t>
  </si>
  <si>
    <t>Sofa Sleeper</t>
  </si>
  <si>
    <t>No dirty linen, mattress clean no debris underneath</t>
  </si>
  <si>
    <t>Coffee / End Table</t>
  </si>
  <si>
    <t xml:space="preserve">Clean surface, no dust or soil on legs  </t>
  </si>
  <si>
    <t>Wall</t>
  </si>
  <si>
    <t>Not scuffed or soiled</t>
  </si>
  <si>
    <t>Closet (stocked)</t>
  </si>
  <si>
    <t>Proper number of matching hangers, laundry bag</t>
  </si>
  <si>
    <t>Iron / Ironing Board</t>
  </si>
  <si>
    <t>no water in iron, cord neatly wrapped, board cover not stained / soiled</t>
  </si>
  <si>
    <t>Closet Door</t>
  </si>
  <si>
    <t>Clean</t>
  </si>
  <si>
    <t xml:space="preserve">Floor  </t>
  </si>
  <si>
    <t>Carpet thoroughly vacuumed &amp; free of debris &amp; soiling - incl. corners / edges</t>
  </si>
  <si>
    <t>Bedroom Total</t>
  </si>
  <si>
    <t>Perfect = 0 points, OK = 1 point, Not Acceptable (NA) = 2 points, Red boxes = 4 points</t>
  </si>
  <si>
    <t>Hair Dryer</t>
  </si>
  <si>
    <t>Clean &amp; no lint or hair in filter screen</t>
  </si>
  <si>
    <t>Lotion Dispenser</t>
  </si>
  <si>
    <t>Clean and adequately filled</t>
  </si>
  <si>
    <t>No dust around edges, no spots or smudges on mirror</t>
  </si>
  <si>
    <t>Amenities</t>
  </si>
  <si>
    <t>Properly stocked and presented</t>
  </si>
  <si>
    <t>Amenity Tray</t>
  </si>
  <si>
    <t>Clean - top and on vanity underneath</t>
  </si>
  <si>
    <t>Vanity surface</t>
  </si>
  <si>
    <t xml:space="preserve">Sweep vanity surface with your hand into sink - </t>
  </si>
  <si>
    <t>Sink</t>
  </si>
  <si>
    <t>No hair or debris from vanity sweep</t>
  </si>
  <si>
    <t>Faucet</t>
  </si>
  <si>
    <t>No water spots or discoloration</t>
  </si>
  <si>
    <t>Vanity Cabinet</t>
  </si>
  <si>
    <t>No dust on cabinet / shelf</t>
  </si>
  <si>
    <t>Towels</t>
  </si>
  <si>
    <t>Proper # and neat standardized presentation</t>
  </si>
  <si>
    <t>Toilet Paper</t>
  </si>
  <si>
    <t>TP end folded and backup roll present</t>
  </si>
  <si>
    <t>Floor around toilet</t>
  </si>
  <si>
    <t>No visible urine stains on tile or discolored grout</t>
  </si>
  <si>
    <t xml:space="preserve">Toilet  </t>
  </si>
  <si>
    <t>Bowl, lid, seat, base free from hair, urine or stains, no visible waterline</t>
  </si>
  <si>
    <t>Towel Bar</t>
  </si>
  <si>
    <t>Proper number and standard presentation of towels</t>
  </si>
  <si>
    <t>Shower Curtain</t>
  </si>
  <si>
    <t xml:space="preserve">Clean and presented properly </t>
  </si>
  <si>
    <t>Dispenser</t>
  </si>
  <si>
    <t>No water spots or residue, clean &amp; adequately filled</t>
  </si>
  <si>
    <t>Shower Surround</t>
  </si>
  <si>
    <t>No hair, water spots or soap scum</t>
  </si>
  <si>
    <t>Ledges / Soap Dish</t>
  </si>
  <si>
    <t>Wipe horizontal surface with hand to check for soap scum</t>
  </si>
  <si>
    <t>Tub</t>
  </si>
  <si>
    <t>No hairs, debris or soap scum residue</t>
  </si>
  <si>
    <t>Non slip mat</t>
  </si>
  <si>
    <t>Glued properly, no discoloration of mat or around the edges</t>
  </si>
  <si>
    <t>Shower Head</t>
  </si>
  <si>
    <t>No calcuim / lime buildup or waterspots on chrome</t>
  </si>
  <si>
    <t>Shower Door Glass</t>
  </si>
  <si>
    <t>Free from water spots and smudges</t>
  </si>
  <si>
    <t>Shower Door Tracks</t>
  </si>
  <si>
    <t>No water spots or mildew in tracks or corners</t>
  </si>
  <si>
    <t>Bathroom Floor</t>
  </si>
  <si>
    <t>No hair or debris, no sticky cleaner residue, grout color matches wall tile grout</t>
  </si>
  <si>
    <t>Bathroom Door</t>
  </si>
  <si>
    <t>No scuffs / scars or spots from hairspray residue</t>
  </si>
  <si>
    <t>Bathroom Total</t>
  </si>
  <si>
    <t>Perfect = 0 points, OK = 1 point, Not Acceptable (NA) = 2 points, Red boxes = 6 points</t>
  </si>
  <si>
    <t>Walls / Paint</t>
  </si>
  <si>
    <t>Damaged corners, gouges, chiped or scrapes</t>
  </si>
  <si>
    <t>Wood Furniture</t>
  </si>
  <si>
    <t>Knicks or scars in the surface or trim</t>
  </si>
  <si>
    <t>Upholstry</t>
  </si>
  <si>
    <t>Cushions &amp; chair arms not soiled or discolored</t>
  </si>
  <si>
    <t>PTAC unit</t>
  </si>
  <si>
    <t>Remove cover - are coils &amp; inside of unit clean</t>
  </si>
  <si>
    <t>Springs all in place, folding mechanism working properly</t>
  </si>
  <si>
    <t>Carpet</t>
  </si>
  <si>
    <t>Free from soiled areas or stains</t>
  </si>
  <si>
    <t>Light fixtures</t>
  </si>
  <si>
    <t>Clean &amp; free from bugs &amp; debris</t>
  </si>
  <si>
    <t>Lampshades</t>
  </si>
  <si>
    <t>No spots, not damaged / crinkled.</t>
  </si>
  <si>
    <t>Sink Faucet</t>
  </si>
  <si>
    <t>Chrome not tarnished, aerator in place</t>
  </si>
  <si>
    <t>Tub / Shower Faucet</t>
  </si>
  <si>
    <t>Chrome not tarnished,</t>
  </si>
  <si>
    <t>Toilet</t>
  </si>
  <si>
    <t>Seat tight, porcelain in good condition, no water movement (leaking flapper)</t>
  </si>
  <si>
    <t>Caulking</t>
  </si>
  <si>
    <t>No signs of black or pink, smooth and clean application</t>
  </si>
  <si>
    <t>Tub Mat</t>
  </si>
  <si>
    <t>Adhered completely, not stained or discolored</t>
  </si>
  <si>
    <t>Tub Drain</t>
  </si>
  <si>
    <t>Chrome not pitted or tarnished</t>
  </si>
  <si>
    <t>Sink Drain</t>
  </si>
  <si>
    <t>Grab Bars</t>
  </si>
  <si>
    <t>Drains Cleared</t>
  </si>
  <si>
    <t>Can't inspect but check with maintenance person on last time zip-it used</t>
  </si>
  <si>
    <t>Bathroom Ceiling Vent</t>
  </si>
  <si>
    <t>No dust on vent or ceiling around vent</t>
  </si>
  <si>
    <t>Doors</t>
  </si>
  <si>
    <t>Entry &amp; Bathroom door - knicks &amp; scrapes repaired</t>
  </si>
  <si>
    <t>Maintenance Total</t>
  </si>
  <si>
    <t>General Comments</t>
  </si>
  <si>
    <t>Kim</t>
  </si>
  <si>
    <t>Denise</t>
  </si>
  <si>
    <t>Kelsey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</si>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</sst>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2"/>
      <color theme="1"/>
      <name val="Aptos Narrow"/>
      <family val="2"/>
      <scheme val="minor"/>
    </font>
    <font>
      <sz val="16"/>
      <color theme="1"/>
      <name val="Aptos Narrow"/>
      <family val="2"/>
      <scheme val="minor"/>
    </font>
    <font>
      <sz val="18"/>
      <color theme="1"/>
      <name val="Aptos Narrow"/>
      <family val="2"/>
      <scheme val="minor"/>
    </font>
    <font>
      <b/>
      <u/>
      <sz val="11"/>
      <color theme="1"/>
      <name val="Aptos Narrow"/>
      <family val="2"/>
      <scheme val="minor"/>
    </font>
    <font>
      <b/>
      <u/>
      <sz val="12"/>
      <color theme="1"/>
      <name val="Aptos Narrow"/>
      <family val="2"/>
      <scheme val="minor"/>
    </font>
    <font>
      <b/>
      <u/>
      <sz val="14"/>
      <color theme="1"/>
      <name val="Aptos Narrow"/>
      <family val="2"/>
      <scheme val="minor"/>
    </font>
    <font>
      <b/>
      <u/>
      <sz val="16"/>
      <color theme="1"/>
      <name val="Aptos Narrow"/>
      <family val="2"/>
      <scheme val="minor"/>
    </font>
    <font>
      <b/>
      <sz val="14"/>
      <color theme="1"/>
      <name val="Aptos Narrow"/>
      <family val="2"/>
      <scheme val="minor"/>
    </font>
    <font>
      <sz val="22"/>
      <color theme="1"/>
      <name val="Aptos Narrow"/>
      <family val="2"/>
      <scheme val="minor"/>
    </font>
    <font>
      <b/>
      <sz val="16"/>
      <color theme="1"/>
      <name val="Aptos Narrow"/>
      <family val="2"/>
      <scheme val="minor"/>
    </font>
    <font>
      <sz val="11"/>
      <color theme="0"/>
      <name val="Aptos Narrow"/>
      <family val="2"/>
      <scheme val="minor"/>
    </font>
    <font>
      <sz val="20"/>
      <color theme="1"/>
      <name val="Aptos Narrow"/>
      <family val="2"/>
      <scheme val="minor"/>
    </font>
    <font>
      <sz val="9"/>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rgb="FFFEB4AC"/>
        <bgColor indexed="64"/>
      </patternFill>
    </fill>
    <fill>
      <patternFill patternType="solid">
        <fgColor theme="0"/>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0" fillId="0" borderId="0" xfId="0" applyAlignment="1">
      <alignment horizontal="center"/>
    </xf>
    <xf numFmtId="0" fontId="0" fillId="0" borderId="0" xfId="0" applyAlignment="1">
      <alignment horizontal="right"/>
    </xf>
    <xf numFmtId="0" fontId="0" fillId="0" borderId="1" xfId="0" applyBorder="1" applyAlignment="1">
      <alignment horizontal="center"/>
    </xf>
    <xf numFmtId="0" fontId="0" fillId="2" borderId="1" xfId="0" applyFill="1" applyBorder="1" applyAlignment="1">
      <alignment horizontal="center"/>
    </xf>
    <xf numFmtId="0" fontId="3" fillId="0" borderId="0" xfId="0" applyFont="1" applyAlignment="1">
      <alignment horizontal="right"/>
    </xf>
    <xf numFmtId="0" fontId="0" fillId="3" borderId="1" xfId="0" applyFill="1" applyBorder="1" applyAlignment="1">
      <alignment horizontal="center"/>
    </xf>
    <xf numFmtId="0" fontId="3" fillId="0" borderId="0" xfId="0" applyFont="1" applyAlignment="1">
      <alignment horizontal="center"/>
    </xf>
    <xf numFmtId="0" fontId="0" fillId="2" borderId="3" xfId="0" applyFill="1" applyBorder="1"/>
    <xf numFmtId="0" fontId="0" fillId="0" borderId="3" xfId="0" applyBorder="1"/>
    <xf numFmtId="0" fontId="0" fillId="2" borderId="2" xfId="0" applyFill="1" applyBorder="1"/>
    <xf numFmtId="0" fontId="0" fillId="0" borderId="2" xfId="0" applyBorder="1"/>
    <xf numFmtId="0" fontId="0" fillId="0" borderId="0" xfId="0" applyAlignment="1">
      <alignment vertical="center"/>
    </xf>
    <xf numFmtId="0" fontId="3" fillId="0" borderId="0" xfId="0" applyFont="1" applyAlignment="1">
      <alignment horizontal="right" vertical="center"/>
    </xf>
    <xf numFmtId="0" fontId="11" fillId="0" borderId="0" xfId="0" applyFont="1" applyAlignment="1">
      <alignment horizontal="right" vertical="center"/>
    </xf>
    <xf numFmtId="0" fontId="0" fillId="0" borderId="0" xfId="0" applyAlignment="1">
      <alignment horizontal="center" vertical="center"/>
    </xf>
    <xf numFmtId="0" fontId="0" fillId="2" borderId="9" xfId="0" applyFill="1" applyBorder="1" applyAlignment="1">
      <alignment horizontal="center"/>
    </xf>
    <xf numFmtId="0" fontId="0" fillId="2" borderId="10" xfId="0" applyFill="1" applyBorder="1"/>
    <xf numFmtId="0" fontId="9" fillId="0" borderId="0" xfId="0" applyFont="1" applyAlignment="1">
      <alignment horizontal="center" vertical="center"/>
    </xf>
    <xf numFmtId="0" fontId="0" fillId="2" borderId="12" xfId="0" applyFill="1" applyBorder="1"/>
    <xf numFmtId="0" fontId="0" fillId="0" borderId="12" xfId="0" applyBorder="1"/>
    <xf numFmtId="0" fontId="0" fillId="0" borderId="11" xfId="0" applyBorder="1"/>
    <xf numFmtId="0" fontId="12" fillId="0" borderId="0" xfId="0" applyFont="1" applyAlignment="1">
      <alignment horizontal="center" vertical="center"/>
    </xf>
    <xf numFmtId="0" fontId="3" fillId="0" borderId="0" xfId="0" applyFont="1" applyAlignment="1">
      <alignment horizontal="center" wrapText="1"/>
    </xf>
    <xf numFmtId="0" fontId="0" fillId="0" borderId="16" xfId="0" applyBorder="1" applyAlignment="1">
      <alignment horizontal="right"/>
    </xf>
    <xf numFmtId="0" fontId="0" fillId="2" borderId="18" xfId="0" applyFill="1" applyBorder="1"/>
    <xf numFmtId="0" fontId="0" fillId="0" borderId="18" xfId="0" applyBorder="1"/>
    <xf numFmtId="0" fontId="3" fillId="0" borderId="19" xfId="0" applyFont="1" applyBorder="1" applyAlignment="1">
      <alignment horizontal="right"/>
    </xf>
    <xf numFmtId="0" fontId="0" fillId="0" borderId="20" xfId="0" applyBorder="1"/>
    <xf numFmtId="0" fontId="0" fillId="0" borderId="20" xfId="0"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12" fillId="0" borderId="0" xfId="0" applyFont="1" applyAlignment="1">
      <alignment vertical="center"/>
    </xf>
    <xf numFmtId="0" fontId="3" fillId="0" borderId="20" xfId="0" applyFont="1" applyBorder="1" applyAlignment="1">
      <alignment horizontal="center"/>
    </xf>
    <xf numFmtId="0" fontId="10" fillId="0" borderId="0" xfId="0" applyFont="1" applyAlignment="1">
      <alignment horizontal="center" vertical="center"/>
    </xf>
    <xf numFmtId="0" fontId="10" fillId="0" borderId="0" xfId="0" applyFont="1" applyAlignment="1">
      <alignment vertical="center"/>
    </xf>
    <xf numFmtId="0" fontId="0" fillId="2" borderId="8" xfId="0" applyFill="1" applyBorder="1"/>
    <xf numFmtId="0" fontId="0" fillId="2" borderId="26" xfId="0" applyFill="1" applyBorder="1"/>
    <xf numFmtId="0" fontId="3" fillId="0" borderId="16" xfId="0" applyFont="1" applyBorder="1" applyAlignment="1">
      <alignment horizontal="right"/>
    </xf>
    <xf numFmtId="0" fontId="0" fillId="0" borderId="17" xfId="0" applyBorder="1"/>
    <xf numFmtId="0" fontId="0" fillId="0" borderId="19" xfId="0" applyBorder="1"/>
    <xf numFmtId="0" fontId="0" fillId="0" borderId="1" xfId="0" applyBorder="1" applyAlignment="1">
      <alignment horizontal="center" vertical="center"/>
    </xf>
    <xf numFmtId="0" fontId="0" fillId="0" borderId="27" xfId="0" applyBorder="1"/>
    <xf numFmtId="0" fontId="0" fillId="0" borderId="0" xfId="0" applyAlignment="1">
      <alignment horizontal="right" vertical="center"/>
    </xf>
    <xf numFmtId="0" fontId="0" fillId="0" borderId="16" xfId="0" applyBorder="1" applyAlignment="1">
      <alignment horizontal="right" vertical="center"/>
    </xf>
    <xf numFmtId="0" fontId="0" fillId="0" borderId="13" xfId="0" applyBorder="1"/>
    <xf numFmtId="0" fontId="3" fillId="0" borderId="14" xfId="0" applyFont="1" applyBorder="1" applyAlignment="1">
      <alignment horizontal="center"/>
    </xf>
    <xf numFmtId="0" fontId="3" fillId="0" borderId="14" xfId="0" applyFont="1" applyBorder="1" applyAlignment="1">
      <alignment horizontal="center" wrapText="1"/>
    </xf>
    <xf numFmtId="0" fontId="0" fillId="0" borderId="29" xfId="0" applyBorder="1"/>
    <xf numFmtId="164" fontId="0" fillId="0" borderId="1" xfId="1" applyNumberFormat="1" applyFont="1" applyBorder="1" applyAlignment="1">
      <alignment horizontal="center" vertical="center"/>
    </xf>
    <xf numFmtId="164" fontId="0" fillId="0" borderId="1" xfId="0" applyNumberFormat="1" applyBorder="1" applyAlignment="1">
      <alignment horizontal="center" vertical="center"/>
    </xf>
    <xf numFmtId="164" fontId="0" fillId="0" borderId="1" xfId="1" applyNumberFormat="1" applyFont="1" applyBorder="1" applyAlignment="1">
      <alignment horizontal="center"/>
    </xf>
    <xf numFmtId="0" fontId="3" fillId="0" borderId="25" xfId="0" applyFont="1" applyBorder="1" applyAlignment="1">
      <alignment horizontal="center"/>
    </xf>
    <xf numFmtId="0" fontId="11" fillId="0" borderId="16" xfId="0" applyFont="1" applyBorder="1" applyAlignment="1">
      <alignment horizontal="center"/>
    </xf>
    <xf numFmtId="0" fontId="2" fillId="0" borderId="20" xfId="0" applyFont="1" applyBorder="1" applyAlignment="1">
      <alignment horizontal="center"/>
    </xf>
    <xf numFmtId="0" fontId="5" fillId="0" borderId="4" xfId="0" applyFont="1" applyBorder="1" applyAlignment="1">
      <alignment horizontal="center" vertical="center"/>
    </xf>
    <xf numFmtId="0" fontId="0" fillId="0" borderId="0" xfId="0" applyAlignment="1">
      <alignment vertical="top" wrapText="1"/>
    </xf>
    <xf numFmtId="0" fontId="0" fillId="0" borderId="16" xfId="0" applyBorder="1" applyAlignment="1">
      <alignment horizontal="center"/>
    </xf>
    <xf numFmtId="0" fontId="0" fillId="0" borderId="19" xfId="0" applyBorder="1" applyAlignment="1">
      <alignment horizontal="center"/>
    </xf>
    <xf numFmtId="0" fontId="14" fillId="0" borderId="0" xfId="0" applyFont="1"/>
    <xf numFmtId="0" fontId="14" fillId="0" borderId="20" xfId="0" applyFont="1" applyBorder="1"/>
    <xf numFmtId="0" fontId="2" fillId="0" borderId="0" xfId="0" applyFont="1" applyAlignment="1">
      <alignment horizontal="center"/>
    </xf>
    <xf numFmtId="0" fontId="13" fillId="0" borderId="13" xfId="0" applyFont="1" applyBorder="1" applyAlignment="1">
      <alignment horizontal="center" vertical="center"/>
    </xf>
    <xf numFmtId="165" fontId="0" fillId="0" borderId="1" xfId="0" applyNumberFormat="1" applyBorder="1" applyAlignment="1">
      <alignment horizontal="center"/>
    </xf>
    <xf numFmtId="0" fontId="0" fillId="0" borderId="30" xfId="0" applyBorder="1" applyAlignment="1">
      <alignment horizontal="center"/>
    </xf>
    <xf numFmtId="0" fontId="0" fillId="0" borderId="30" xfId="0" applyBorder="1"/>
    <xf numFmtId="0" fontId="5" fillId="0" borderId="0" xfId="0" applyFont="1" applyAlignment="1">
      <alignment horizontal="center" vertical="center"/>
    </xf>
    <xf numFmtId="0" fontId="0" fillId="0" borderId="14" xfId="0" applyBorder="1"/>
    <xf numFmtId="0" fontId="11" fillId="0" borderId="14" xfId="0" applyFont="1" applyBorder="1"/>
    <xf numFmtId="0" fontId="3" fillId="0" borderId="16" xfId="0" applyFont="1" applyBorder="1" applyAlignment="1">
      <alignment horizontal="center"/>
    </xf>
    <xf numFmtId="0" fontId="7" fillId="0" borderId="0" xfId="0" applyFont="1" applyAlignment="1">
      <alignment horizontal="center"/>
    </xf>
    <xf numFmtId="0" fontId="7" fillId="0" borderId="0" xfId="0" applyFont="1" applyAlignment="1">
      <alignment horizontal="center" wrapText="1"/>
    </xf>
    <xf numFmtId="0" fontId="7" fillId="0" borderId="17" xfId="0" applyFont="1" applyBorder="1" applyAlignment="1">
      <alignment horizontal="center"/>
    </xf>
    <xf numFmtId="1" fontId="0" fillId="0" borderId="0" xfId="0" applyNumberFormat="1" applyAlignment="1">
      <alignment horizontal="center"/>
    </xf>
    <xf numFmtId="164" fontId="0" fillId="0" borderId="0" xfId="1" applyNumberFormat="1" applyFont="1" applyBorder="1" applyAlignment="1">
      <alignment horizontal="center"/>
    </xf>
    <xf numFmtId="164" fontId="0" fillId="0" borderId="17" xfId="1" applyNumberFormat="1" applyFont="1" applyBorder="1" applyAlignment="1">
      <alignment horizontal="center"/>
    </xf>
    <xf numFmtId="1" fontId="0" fillId="0" borderId="20" xfId="0" applyNumberFormat="1" applyBorder="1" applyAlignment="1">
      <alignment horizontal="center"/>
    </xf>
    <xf numFmtId="164" fontId="0" fillId="0" borderId="20" xfId="1" applyNumberFormat="1" applyFont="1" applyBorder="1" applyAlignment="1">
      <alignment horizontal="center"/>
    </xf>
    <xf numFmtId="164" fontId="0" fillId="0" borderId="24" xfId="1" applyNumberFormat="1" applyFont="1" applyBorder="1" applyAlignment="1">
      <alignment horizontal="center"/>
    </xf>
    <xf numFmtId="0" fontId="0" fillId="0" borderId="16" xfId="0" applyBorder="1"/>
    <xf numFmtId="164" fontId="0" fillId="0" borderId="31" xfId="1" applyNumberFormat="1" applyFont="1" applyBorder="1" applyAlignment="1">
      <alignment horizontal="center"/>
    </xf>
    <xf numFmtId="0" fontId="0" fillId="0" borderId="5" xfId="0" applyBorder="1"/>
    <xf numFmtId="0" fontId="3" fillId="0" borderId="6" xfId="0" applyFont="1" applyBorder="1" applyAlignment="1">
      <alignment wrapText="1"/>
    </xf>
    <xf numFmtId="0" fontId="3" fillId="0" borderId="6" xfId="0" applyFont="1" applyBorder="1"/>
    <xf numFmtId="0" fontId="16" fillId="0" borderId="0" xfId="0" applyFont="1" applyAlignment="1">
      <alignment horizontal="center" vertical="center"/>
    </xf>
    <xf numFmtId="0" fontId="0" fillId="5" borderId="0" xfId="0" applyFill="1" applyAlignment="1">
      <alignment horizontal="center"/>
    </xf>
    <xf numFmtId="0" fontId="0" fillId="5" borderId="20" xfId="0" applyFill="1" applyBorder="1" applyAlignment="1">
      <alignment horizontal="center"/>
    </xf>
    <xf numFmtId="0" fontId="0" fillId="4" borderId="10" xfId="0" applyFill="1" applyBorder="1"/>
    <xf numFmtId="0" fontId="0" fillId="4" borderId="3" xfId="0" applyFill="1" applyBorder="1"/>
    <xf numFmtId="0" fontId="0" fillId="4" borderId="12" xfId="0" applyFill="1" applyBorder="1"/>
    <xf numFmtId="0" fontId="0" fillId="4" borderId="18" xfId="0" applyFill="1" applyBorder="1"/>
    <xf numFmtId="0" fontId="0" fillId="0" borderId="20" xfId="0" applyBorder="1" applyAlignment="1">
      <alignment horizontal="center"/>
    </xf>
    <xf numFmtId="0" fontId="0" fillId="0" borderId="0" xfId="0" applyAlignment="1">
      <alignment horizontal="left" vertical="top" wrapText="1"/>
    </xf>
    <xf numFmtId="0" fontId="6" fillId="0" borderId="0" xfId="0" applyFont="1" applyAlignment="1">
      <alignment horizontal="center"/>
    </xf>
    <xf numFmtId="0" fontId="5" fillId="0" borderId="0" xfId="0" applyFont="1" applyAlignment="1">
      <alignment horizontal="center" vertical="center"/>
    </xf>
    <xf numFmtId="0" fontId="0" fillId="0" borderId="0" xfId="0" applyAlignment="1">
      <alignment horizontal="center"/>
    </xf>
    <xf numFmtId="0" fontId="7" fillId="0" borderId="0" xfId="0" applyFont="1" applyAlignment="1">
      <alignment horizontal="center"/>
    </xf>
    <xf numFmtId="0" fontId="11" fillId="0" borderId="1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1" fillId="0" borderId="0" xfId="0" applyFont="1" applyAlignment="1">
      <alignment horizontal="center"/>
    </xf>
    <xf numFmtId="0" fontId="11" fillId="0" borderId="17" xfId="0" applyFont="1" applyBorder="1" applyAlignment="1">
      <alignment horizontal="center"/>
    </xf>
    <xf numFmtId="165" fontId="0" fillId="0" borderId="5" xfId="0" applyNumberFormat="1" applyBorder="1" applyAlignment="1">
      <alignment horizontal="center" vertical="center"/>
    </xf>
    <xf numFmtId="165" fontId="0" fillId="0" borderId="7" xfId="0" applyNumberFormat="1" applyBorder="1" applyAlignment="1">
      <alignment horizontal="center" vertical="center"/>
    </xf>
    <xf numFmtId="0" fontId="15" fillId="0" borderId="0" xfId="0" applyFont="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11" fillId="0" borderId="0" xfId="0" applyFont="1" applyAlignment="1">
      <alignment horizontal="right"/>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9" fillId="0" borderId="0" xfId="0" applyFont="1" applyAlignment="1">
      <alignment horizontal="center" vertical="center"/>
    </xf>
    <xf numFmtId="0" fontId="3" fillId="0" borderId="28" xfId="0" applyFont="1" applyBorder="1" applyAlignment="1">
      <alignment horizont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3" fillId="0" borderId="8" xfId="0" applyFont="1" applyBorder="1" applyAlignment="1">
      <alignment horizontal="center"/>
    </xf>
    <xf numFmtId="0" fontId="8" fillId="0" borderId="0" xfId="0" applyFont="1" applyAlignment="1">
      <alignment horizontal="center"/>
    </xf>
  </cellXfs>
  <cellStyles count="2">
    <cellStyle name="Normal" xfId="0" builtinId="0"/>
    <cellStyle name="Percent" xfId="1" builtinId="5"/>
  </cellStyles>
  <dxfs count="64">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s>
  <tableStyles count="0" defaultTableStyle="TableStyleMedium2" defaultPivotStyle="PivotStyleLight16"/>
  <colors>
    <mruColors>
      <color rgb="FFFEB4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1</xdr:col>
      <xdr:colOff>752475</xdr:colOff>
      <xdr:row>4</xdr:row>
      <xdr:rowOff>26623</xdr:rowOff>
    </xdr:to>
    <xdr:pic>
      <xdr:nvPicPr>
        <xdr:cNvPr id="2" name="Picture 1">
          <a:extLst>
            <a:ext uri="{FF2B5EF4-FFF2-40B4-BE49-F238E27FC236}">
              <a16:creationId xmlns:a16="http://schemas.microsoft.com/office/drawing/2014/main" id="{D8E1293F-0FDE-4297-9B49-DAFAABF74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0"/>
          <a:ext cx="1476375" cy="6171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0</xdr:col>
      <xdr:colOff>1300655</xdr:colOff>
      <xdr:row>2</xdr:row>
      <xdr:rowOff>4999</xdr:rowOff>
    </xdr:to>
    <xdr:pic>
      <xdr:nvPicPr>
        <xdr:cNvPr id="3" name="Picture 2">
          <a:extLst>
            <a:ext uri="{FF2B5EF4-FFF2-40B4-BE49-F238E27FC236}">
              <a16:creationId xmlns:a16="http://schemas.microsoft.com/office/drawing/2014/main" id="{87BC867C-33BF-065E-B96C-2F9C0C326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43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0</xdr:col>
      <xdr:colOff>1300655</xdr:colOff>
      <xdr:row>2</xdr:row>
      <xdr:rowOff>4999</xdr:rowOff>
    </xdr:to>
    <xdr:pic>
      <xdr:nvPicPr>
        <xdr:cNvPr id="2" name="Picture 1">
          <a:extLst>
            <a:ext uri="{FF2B5EF4-FFF2-40B4-BE49-F238E27FC236}">
              <a16:creationId xmlns:a16="http://schemas.microsoft.com/office/drawing/2014/main" id="{C117BF53-7746-45FC-8A3F-512664E4C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3" name="Picture 2">
          <a:extLst>
            <a:ext uri="{FF2B5EF4-FFF2-40B4-BE49-F238E27FC236}">
              <a16:creationId xmlns:a16="http://schemas.microsoft.com/office/drawing/2014/main" id="{30087C3A-D856-48EA-A46E-B4B296D77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4" name="Picture 3">
          <a:extLst>
            <a:ext uri="{FF2B5EF4-FFF2-40B4-BE49-F238E27FC236}">
              <a16:creationId xmlns:a16="http://schemas.microsoft.com/office/drawing/2014/main" id="{3F619AF8-3CCD-4E92-A063-08C5C0B8E1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5" name="Picture 4">
          <a:extLst>
            <a:ext uri="{FF2B5EF4-FFF2-40B4-BE49-F238E27FC236}">
              <a16:creationId xmlns:a16="http://schemas.microsoft.com/office/drawing/2014/main" id="{F9647E60-5E5B-4112-8092-25A1B278CD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1</xdr:row>
      <xdr:rowOff>314325</xdr:rowOff>
    </xdr:to>
    <xdr:pic>
      <xdr:nvPicPr>
        <xdr:cNvPr id="2" name="Picture 1">
          <a:extLst>
            <a:ext uri="{FF2B5EF4-FFF2-40B4-BE49-F238E27FC236}">
              <a16:creationId xmlns:a16="http://schemas.microsoft.com/office/drawing/2014/main" id="{40EC9822-C2D1-4E88-9FBB-884DCF03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334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1</xdr:row>
      <xdr:rowOff>314325</xdr:rowOff>
    </xdr:to>
    <xdr:pic>
      <xdr:nvPicPr>
        <xdr:cNvPr id="2" name="Picture 1">
          <a:extLst>
            <a:ext uri="{FF2B5EF4-FFF2-40B4-BE49-F238E27FC236}">
              <a16:creationId xmlns:a16="http://schemas.microsoft.com/office/drawing/2014/main" id="{13085514-98C2-4FAC-ACF4-895C7798A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334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1</xdr:row>
      <xdr:rowOff>285750</xdr:rowOff>
    </xdr:to>
    <xdr:pic>
      <xdr:nvPicPr>
        <xdr:cNvPr id="3" name="Picture 2">
          <a:extLst>
            <a:ext uri="{FF2B5EF4-FFF2-40B4-BE49-F238E27FC236}">
              <a16:creationId xmlns:a16="http://schemas.microsoft.com/office/drawing/2014/main" id="{84FB0235-279B-4104-A736-69A57A270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334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2</xdr:row>
      <xdr:rowOff>0</xdr:rowOff>
    </xdr:to>
    <xdr:pic>
      <xdr:nvPicPr>
        <xdr:cNvPr id="3" name="Picture 2">
          <a:extLst>
            <a:ext uri="{FF2B5EF4-FFF2-40B4-BE49-F238E27FC236}">
              <a16:creationId xmlns:a16="http://schemas.microsoft.com/office/drawing/2014/main" id="{B39759AA-632B-47EC-9333-1F3A86143C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429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1</xdr:row>
      <xdr:rowOff>314325</xdr:rowOff>
    </xdr:to>
    <xdr:pic>
      <xdr:nvPicPr>
        <xdr:cNvPr id="3" name="Picture 2">
          <a:extLst>
            <a:ext uri="{FF2B5EF4-FFF2-40B4-BE49-F238E27FC236}">
              <a16:creationId xmlns:a16="http://schemas.microsoft.com/office/drawing/2014/main" id="{29004135-98B2-4F52-9B6E-C1594676E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334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1</xdr:row>
      <xdr:rowOff>314325</xdr:rowOff>
    </xdr:to>
    <xdr:pic>
      <xdr:nvPicPr>
        <xdr:cNvPr id="2" name="Picture 1">
          <a:extLst>
            <a:ext uri="{FF2B5EF4-FFF2-40B4-BE49-F238E27FC236}">
              <a16:creationId xmlns:a16="http://schemas.microsoft.com/office/drawing/2014/main" id="{5ED1F985-E32A-4AD2-84F2-BBF0DCBD94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334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2</xdr:row>
      <xdr:rowOff>28575</xdr:rowOff>
    </xdr:to>
    <xdr:pic>
      <xdr:nvPicPr>
        <xdr:cNvPr id="2" name="Picture 1">
          <a:extLst>
            <a:ext uri="{FF2B5EF4-FFF2-40B4-BE49-F238E27FC236}">
              <a16:creationId xmlns:a16="http://schemas.microsoft.com/office/drawing/2014/main" id="{9E3806E6-0A99-4CCD-99F1-2B0913C503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715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55991</xdr:colOff>
      <xdr:row>1</xdr:row>
      <xdr:rowOff>314325</xdr:rowOff>
    </xdr:to>
    <xdr:pic>
      <xdr:nvPicPr>
        <xdr:cNvPr id="2" name="Picture 1">
          <a:extLst>
            <a:ext uri="{FF2B5EF4-FFF2-40B4-BE49-F238E27FC236}">
              <a16:creationId xmlns:a16="http://schemas.microsoft.com/office/drawing/2014/main" id="{C4079266-C292-4FBC-8984-237D4896A9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37116" cy="533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55991</xdr:colOff>
      <xdr:row>1</xdr:row>
      <xdr:rowOff>285750</xdr:rowOff>
    </xdr:to>
    <xdr:pic>
      <xdr:nvPicPr>
        <xdr:cNvPr id="3" name="Picture 2">
          <a:extLst>
            <a:ext uri="{FF2B5EF4-FFF2-40B4-BE49-F238E27FC236}">
              <a16:creationId xmlns:a16="http://schemas.microsoft.com/office/drawing/2014/main" id="{146E6596-2E90-4253-A392-BBCFB5393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37116" cy="5334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55991</xdr:colOff>
      <xdr:row>1</xdr:row>
      <xdr:rowOff>257175</xdr:rowOff>
    </xdr:to>
    <xdr:pic>
      <xdr:nvPicPr>
        <xdr:cNvPr id="3" name="Picture 2">
          <a:extLst>
            <a:ext uri="{FF2B5EF4-FFF2-40B4-BE49-F238E27FC236}">
              <a16:creationId xmlns:a16="http://schemas.microsoft.com/office/drawing/2014/main" id="{9DD5AE42-6046-485F-A9A5-738D33589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37116" cy="504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55991</xdr:colOff>
      <xdr:row>1</xdr:row>
      <xdr:rowOff>228600</xdr:rowOff>
    </xdr:to>
    <xdr:pic>
      <xdr:nvPicPr>
        <xdr:cNvPr id="3" name="Picture 2">
          <a:extLst>
            <a:ext uri="{FF2B5EF4-FFF2-40B4-BE49-F238E27FC236}">
              <a16:creationId xmlns:a16="http://schemas.microsoft.com/office/drawing/2014/main" id="{B5E187B8-44C2-4511-9481-7AD38E07C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37116" cy="4762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55991</xdr:colOff>
      <xdr:row>2</xdr:row>
      <xdr:rowOff>28575</xdr:rowOff>
    </xdr:to>
    <xdr:pic>
      <xdr:nvPicPr>
        <xdr:cNvPr id="3" name="Picture 2">
          <a:extLst>
            <a:ext uri="{FF2B5EF4-FFF2-40B4-BE49-F238E27FC236}">
              <a16:creationId xmlns:a16="http://schemas.microsoft.com/office/drawing/2014/main" id="{3C9943E9-3871-4F20-95AB-51D0BA01A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37116" cy="571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55991</xdr:colOff>
      <xdr:row>2</xdr:row>
      <xdr:rowOff>0</xdr:rowOff>
    </xdr:to>
    <xdr:pic>
      <xdr:nvPicPr>
        <xdr:cNvPr id="3" name="Picture 2">
          <a:extLst>
            <a:ext uri="{FF2B5EF4-FFF2-40B4-BE49-F238E27FC236}">
              <a16:creationId xmlns:a16="http://schemas.microsoft.com/office/drawing/2014/main" id="{7E3CF270-C708-4D09-8306-165054E18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37116" cy="571500"/>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5" name="Picture 4">
          <a:extLst>
            <a:ext uri="{FF2B5EF4-FFF2-40B4-BE49-F238E27FC236}">
              <a16:creationId xmlns:a16="http://schemas.microsoft.com/office/drawing/2014/main" id="{00B8AA58-4FEA-4561-B4C7-8BBC73F1B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6" name="Picture 5">
          <a:extLst>
            <a:ext uri="{FF2B5EF4-FFF2-40B4-BE49-F238E27FC236}">
              <a16:creationId xmlns:a16="http://schemas.microsoft.com/office/drawing/2014/main" id="{F7C91452-D491-45CD-BB27-7273F43297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7" name="Picture 6">
          <a:extLst>
            <a:ext uri="{FF2B5EF4-FFF2-40B4-BE49-F238E27FC236}">
              <a16:creationId xmlns:a16="http://schemas.microsoft.com/office/drawing/2014/main" id="{FC3E667C-3F14-4D37-9272-F0FF8CDB0D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1</xdr:col>
      <xdr:colOff>55991</xdr:colOff>
      <xdr:row>2</xdr:row>
      <xdr:rowOff>9525</xdr:rowOff>
    </xdr:to>
    <xdr:pic>
      <xdr:nvPicPr>
        <xdr:cNvPr id="2" name="Picture 1">
          <a:extLst>
            <a:ext uri="{FF2B5EF4-FFF2-40B4-BE49-F238E27FC236}">
              <a16:creationId xmlns:a16="http://schemas.microsoft.com/office/drawing/2014/main" id="{F4878588-1694-4641-8223-95E78AD81F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437116" cy="552451"/>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6" name="Picture 5">
          <a:extLst>
            <a:ext uri="{FF2B5EF4-FFF2-40B4-BE49-F238E27FC236}">
              <a16:creationId xmlns:a16="http://schemas.microsoft.com/office/drawing/2014/main" id="{E541AD62-F8BC-496F-A137-64568AE9E4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7" name="Picture 6">
          <a:extLst>
            <a:ext uri="{FF2B5EF4-FFF2-40B4-BE49-F238E27FC236}">
              <a16:creationId xmlns:a16="http://schemas.microsoft.com/office/drawing/2014/main" id="{43059D17-0094-415F-8E51-59243BF6F0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twoCellAnchor editAs="oneCell">
    <xdr:from>
      <xdr:col>0</xdr:col>
      <xdr:colOff>0</xdr:colOff>
      <xdr:row>0</xdr:row>
      <xdr:rowOff>19049</xdr:rowOff>
    </xdr:from>
    <xdr:to>
      <xdr:col>0</xdr:col>
      <xdr:colOff>1300655</xdr:colOff>
      <xdr:row>2</xdr:row>
      <xdr:rowOff>4999</xdr:rowOff>
    </xdr:to>
    <xdr:pic>
      <xdr:nvPicPr>
        <xdr:cNvPr id="8" name="Picture 7">
          <a:extLst>
            <a:ext uri="{FF2B5EF4-FFF2-40B4-BE49-F238E27FC236}">
              <a16:creationId xmlns:a16="http://schemas.microsoft.com/office/drawing/2014/main" id="{E0D9C902-9A89-4793-88BF-E823F4189E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49"/>
          <a:ext cx="1300655" cy="547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2155-DADC-417D-B7EE-9EF0B9841838}">
  <dimension ref="A1:M38"/>
  <sheetViews>
    <sheetView topLeftCell="A4" workbookViewId="0">
      <selection activeCell="B10" sqref="B10"/>
    </sheetView>
  </sheetViews>
  <sheetFormatPr defaultRowHeight="15" x14ac:dyDescent="0.25"/>
  <cols>
    <col min="1" max="1" width="13.42578125" customWidth="1"/>
    <col min="2" max="2" width="11.5703125" customWidth="1"/>
    <col min="3" max="3" width="1" customWidth="1"/>
    <col min="4" max="4" width="11" customWidth="1"/>
    <col min="5" max="5" width="0.85546875" customWidth="1"/>
    <col min="6" max="6" width="9.85546875" customWidth="1"/>
    <col min="7" max="7" width="12" customWidth="1"/>
    <col min="8" max="8" width="12.42578125" customWidth="1"/>
    <col min="9" max="9" width="13.42578125" customWidth="1"/>
    <col min="10" max="10" width="0.85546875" customWidth="1"/>
  </cols>
  <sheetData>
    <row r="1" spans="1:13" ht="11.25" customHeight="1" x14ac:dyDescent="0.25">
      <c r="D1" s="95" t="s">
        <v>0</v>
      </c>
      <c r="E1" s="95"/>
      <c r="F1" s="95"/>
      <c r="G1" s="95"/>
      <c r="H1" s="95"/>
      <c r="I1" s="95"/>
      <c r="J1" s="95"/>
      <c r="K1" s="95"/>
      <c r="L1" s="95"/>
    </row>
    <row r="2" spans="1:13" x14ac:dyDescent="0.25">
      <c r="D2" s="95"/>
      <c r="E2" s="95"/>
      <c r="F2" s="95"/>
      <c r="G2" s="95"/>
      <c r="H2" s="95"/>
      <c r="I2" s="95"/>
      <c r="J2" s="95"/>
      <c r="K2" s="95"/>
      <c r="L2" s="95"/>
    </row>
    <row r="3" spans="1:13" x14ac:dyDescent="0.25">
      <c r="D3" s="96" t="s">
        <v>1</v>
      </c>
      <c r="E3" s="96"/>
      <c r="F3" s="96"/>
      <c r="G3" s="96"/>
      <c r="H3" s="96"/>
      <c r="I3" s="96"/>
      <c r="J3" s="96"/>
      <c r="K3" s="96"/>
      <c r="L3" s="96"/>
    </row>
    <row r="4" spans="1:13" ht="5.25" customHeight="1" x14ac:dyDescent="0.25">
      <c r="D4" s="96"/>
      <c r="E4" s="96"/>
      <c r="F4" s="96"/>
      <c r="G4" s="96"/>
      <c r="H4" s="96"/>
      <c r="I4" s="96"/>
      <c r="J4" s="96"/>
      <c r="K4" s="96"/>
      <c r="L4" s="96"/>
    </row>
    <row r="5" spans="1:13" ht="6.75" customHeight="1" thickBot="1" x14ac:dyDescent="0.3">
      <c r="I5" s="68"/>
      <c r="K5" s="93"/>
      <c r="L5" s="93"/>
      <c r="M5" s="93"/>
    </row>
    <row r="6" spans="1:13" ht="22.5" customHeight="1" x14ac:dyDescent="0.3">
      <c r="A6" s="47"/>
      <c r="B6" s="69"/>
      <c r="C6" s="69"/>
      <c r="D6" s="99" t="s">
        <v>2</v>
      </c>
      <c r="E6" s="99"/>
      <c r="F6" s="99"/>
      <c r="G6" s="99"/>
      <c r="H6" s="99"/>
      <c r="I6" s="69"/>
      <c r="J6" s="70"/>
      <c r="K6" s="103" t="s">
        <v>3</v>
      </c>
      <c r="L6" s="103"/>
      <c r="M6" s="104"/>
    </row>
    <row r="7" spans="1:13" ht="28.5" customHeight="1" x14ac:dyDescent="0.25">
      <c r="A7" s="71" t="s">
        <v>4</v>
      </c>
      <c r="B7" s="98" t="s">
        <v>5</v>
      </c>
      <c r="C7" s="98"/>
      <c r="D7" s="98" t="s">
        <v>6</v>
      </c>
      <c r="E7" s="98"/>
      <c r="F7" s="72" t="s">
        <v>7</v>
      </c>
      <c r="G7" s="73" t="s">
        <v>8</v>
      </c>
      <c r="H7" s="72" t="s">
        <v>9</v>
      </c>
      <c r="I7" s="72"/>
      <c r="K7" s="72" t="s">
        <v>10</v>
      </c>
      <c r="L7" s="72" t="s">
        <v>11</v>
      </c>
      <c r="M7" s="74" t="s">
        <v>12</v>
      </c>
    </row>
    <row r="8" spans="1:13" x14ac:dyDescent="0.25">
      <c r="A8" s="59">
        <f>+COUNTIF(D14:D29,B8)</f>
        <v>0</v>
      </c>
      <c r="B8" s="87" t="s">
        <v>239</v>
      </c>
      <c r="D8" s="97" t="e">
        <f>SUMIF($D$14:$D$29,B8,$G$14:$G$29)/A8</f>
        <v>#DIV/0!</v>
      </c>
      <c r="E8" s="97"/>
      <c r="F8" s="1" t="e">
        <f>SUMIF($D$14:$D$29,B8,$H$14:$H$29)/$A8</f>
        <v>#DIV/0!</v>
      </c>
      <c r="G8" s="1" t="e">
        <f>+D8+F8</f>
        <v>#DIV/0!</v>
      </c>
      <c r="H8" s="75" t="e">
        <f>SUMIF($D$14:$D$29,B8,$I$14:$I$29)/$A8</f>
        <v>#DIV/0!</v>
      </c>
      <c r="I8" s="76"/>
      <c r="J8" s="76"/>
      <c r="K8" s="76" t="e">
        <f>(SUMIF($D$14:$D$29,$B8,$K$14:$K$29))/$A8</f>
        <v>#DIV/0!</v>
      </c>
      <c r="L8" s="76" t="e">
        <f>(SUMIF($D$14:$D$29,$B8,$L$14:$L$29))/$A8</f>
        <v>#DIV/0!</v>
      </c>
      <c r="M8" s="77" t="e">
        <f>(SUMIF($D$14:$D$29,$B8,$M$14:$M$29))/$A8</f>
        <v>#DIV/0!</v>
      </c>
    </row>
    <row r="9" spans="1:13" x14ac:dyDescent="0.25">
      <c r="A9" s="59">
        <f>+COUNTIF(D14:D29,B9)</f>
        <v>7</v>
      </c>
      <c r="B9" s="87" t="s">
        <v>240</v>
      </c>
      <c r="D9" s="97">
        <f t="shared" ref="D9:D10" si="0">SUMIF($D$14:$D$29,B9,$G$14:$G$29)/A9</f>
        <v>0.2857142857142857</v>
      </c>
      <c r="E9" s="97"/>
      <c r="F9" s="1">
        <f t="shared" ref="F9:F10" si="1">SUMIF($D$14:$D$29,B9,$H$14:$H$29)/A9</f>
        <v>0.14285714285714285</v>
      </c>
      <c r="G9" s="1">
        <f t="shared" ref="G9:G10" si="2">+D9+F9</f>
        <v>0.42857142857142855</v>
      </c>
      <c r="H9" s="75">
        <f t="shared" ref="H9:H10" si="3">SUMIF($D$14:$D$29,B9,$I$14:$I$29)/$A9</f>
        <v>0</v>
      </c>
      <c r="K9" s="76">
        <f t="shared" ref="K9:K10" si="4">(SUMIF($D$14:$D$29,$B9,$K$14:$K$29))/$A9</f>
        <v>0.99428571428571433</v>
      </c>
      <c r="L9" s="76">
        <f t="shared" ref="L9:L10" si="5">(SUMIF($D$14:$D$29,$B9,$L$14:$L$29))/$A9</f>
        <v>5.7142857142857143E-3</v>
      </c>
      <c r="M9" s="77">
        <f t="shared" ref="M9:M10" si="6">(SUMIF($D$14:$D$29,$B9,$M$14:$M$29))/$A9</f>
        <v>0</v>
      </c>
    </row>
    <row r="10" spans="1:13" ht="15.75" thickBot="1" x14ac:dyDescent="0.3">
      <c r="A10" s="60">
        <f>+COUNTIF(D14:D29,B10)</f>
        <v>0</v>
      </c>
      <c r="B10" s="88" t="s">
        <v>238</v>
      </c>
      <c r="C10" s="28"/>
      <c r="D10" s="93" t="e">
        <f t="shared" si="0"/>
        <v>#DIV/0!</v>
      </c>
      <c r="E10" s="93"/>
      <c r="F10" s="29" t="e">
        <f t="shared" si="1"/>
        <v>#DIV/0!</v>
      </c>
      <c r="G10" s="29" t="e">
        <f t="shared" si="2"/>
        <v>#DIV/0!</v>
      </c>
      <c r="H10" s="78" t="e">
        <f t="shared" si="3"/>
        <v>#DIV/0!</v>
      </c>
      <c r="I10" s="28"/>
      <c r="J10" s="28"/>
      <c r="K10" s="79" t="e">
        <f t="shared" si="4"/>
        <v>#DIV/0!</v>
      </c>
      <c r="L10" s="79" t="e">
        <f t="shared" si="5"/>
        <v>#DIV/0!</v>
      </c>
      <c r="M10" s="80" t="e">
        <f t="shared" si="6"/>
        <v>#DIV/0!</v>
      </c>
    </row>
    <row r="11" spans="1:13" ht="4.5" customHeight="1" thickBot="1" x14ac:dyDescent="0.3"/>
    <row r="12" spans="1:13" ht="15.75" thickBot="1" x14ac:dyDescent="0.3">
      <c r="A12" s="83"/>
      <c r="B12" s="84"/>
      <c r="C12" s="85"/>
      <c r="D12" s="101" t="s">
        <v>13</v>
      </c>
      <c r="E12" s="101"/>
      <c r="F12" s="101"/>
      <c r="G12" s="101"/>
      <c r="H12" s="101"/>
      <c r="I12" s="101"/>
      <c r="J12" s="85"/>
      <c r="K12" s="100" t="s">
        <v>14</v>
      </c>
      <c r="L12" s="101"/>
      <c r="M12" s="102"/>
    </row>
    <row r="13" spans="1:13" ht="30" x14ac:dyDescent="0.25">
      <c r="A13" s="81"/>
      <c r="B13" s="73" t="s">
        <v>15</v>
      </c>
      <c r="D13" s="72" t="s">
        <v>5</v>
      </c>
      <c r="F13" s="72" t="s">
        <v>16</v>
      </c>
      <c r="G13" s="72" t="s">
        <v>6</v>
      </c>
      <c r="H13" s="72" t="s">
        <v>7</v>
      </c>
      <c r="I13" s="72" t="s">
        <v>9</v>
      </c>
      <c r="J13" s="72"/>
      <c r="K13" s="72" t="s">
        <v>10</v>
      </c>
      <c r="L13" s="72" t="s">
        <v>11</v>
      </c>
      <c r="M13" s="74" t="s">
        <v>12</v>
      </c>
    </row>
    <row r="14" spans="1:13" x14ac:dyDescent="0.25">
      <c r="A14" s="24" t="s">
        <v>17</v>
      </c>
      <c r="B14" s="65" cm="1">
        <f t="array" ref="B14:C14">+'Room 1'!B3:C3</f>
        <v>46163</v>
      </c>
      <c r="C14" s="2">
        <v>0</v>
      </c>
      <c r="D14" s="3" t="str">
        <f>+'Room 1'!C5</f>
        <v>Kelsey</v>
      </c>
      <c r="F14" s="3">
        <f>+'Room 1'!H3</f>
        <v>217</v>
      </c>
      <c r="G14" s="3">
        <f>+'Room 1'!C60+'Room 1'!D60</f>
        <v>0</v>
      </c>
      <c r="H14" s="3">
        <f>+'Room 1'!C90+'Room 1'!D90</f>
        <v>0</v>
      </c>
      <c r="I14" s="3">
        <f>+'Room 1'!C113+'Room 1'!D113</f>
        <v>0</v>
      </c>
      <c r="J14" s="66"/>
      <c r="K14" s="53">
        <f>+'Room 1'!L3</f>
        <v>1</v>
      </c>
      <c r="L14" s="53">
        <f>+'Room 1'!M3</f>
        <v>0</v>
      </c>
      <c r="M14" s="82">
        <f>+'Room 1'!N3</f>
        <v>0</v>
      </c>
    </row>
    <row r="15" spans="1:13" x14ac:dyDescent="0.25">
      <c r="A15" s="24" t="s">
        <v>18</v>
      </c>
      <c r="B15" s="65" cm="1">
        <f t="array" ref="B15:C15">+'Room 2'!B3:C3</f>
        <v>46163</v>
      </c>
      <c r="C15" s="2">
        <v>0</v>
      </c>
      <c r="D15" s="3" t="str">
        <f>+'Room 2'!C5</f>
        <v>Kelsey</v>
      </c>
      <c r="F15" s="3">
        <f>+'Room 2'!H3</f>
        <v>313</v>
      </c>
      <c r="G15" s="3">
        <f>+'Room 2'!C60+'Room 2'!D60</f>
        <v>0</v>
      </c>
      <c r="H15" s="3">
        <f>+'Room 2'!C90+'Room 2'!D90</f>
        <v>0</v>
      </c>
      <c r="I15" s="3">
        <f>+'Room 2'!C113+'Room 2'!D113</f>
        <v>0</v>
      </c>
      <c r="J15" s="66"/>
      <c r="K15" s="53">
        <f>+'Room 2'!L3</f>
        <v>1</v>
      </c>
      <c r="L15" s="53">
        <f>+'Room 2'!M3</f>
        <v>0</v>
      </c>
      <c r="M15" s="82">
        <f>+'Room 1'!N3</f>
        <v>0</v>
      </c>
    </row>
    <row r="16" spans="1:13" x14ac:dyDescent="0.25">
      <c r="A16" s="24" t="s">
        <v>19</v>
      </c>
      <c r="B16" s="65" cm="1">
        <f t="array" ref="B16:C16">+'Room 3'!B3:C3</f>
        <v>46163</v>
      </c>
      <c r="C16" s="2">
        <v>0</v>
      </c>
      <c r="D16" s="3" t="str">
        <f>+'Room 3'!C5</f>
        <v>Kelsey</v>
      </c>
      <c r="F16" s="3">
        <f>+'Room 3'!H3</f>
        <v>103</v>
      </c>
      <c r="G16" s="3">
        <f>+'Room 3'!C60+'Room 3'!D60</f>
        <v>0</v>
      </c>
      <c r="H16" s="3">
        <f>+'Room 3'!C90+'Room 3'!D90</f>
        <v>1</v>
      </c>
      <c r="I16" s="3">
        <f>+'Room 3'!C113+'Room 3'!D113</f>
        <v>0</v>
      </c>
      <c r="J16" s="67"/>
      <c r="K16" s="53">
        <f>+'Room 3'!L3</f>
        <v>0.98666666666666669</v>
      </c>
      <c r="L16" s="53">
        <f>+'Room 3'!M3</f>
        <v>1.3333333333333334E-2</v>
      </c>
      <c r="M16" s="82">
        <f>+'Room 3'!N3</f>
        <v>0</v>
      </c>
    </row>
    <row r="17" spans="1:13" x14ac:dyDescent="0.25">
      <c r="A17" s="24" t="s">
        <v>20</v>
      </c>
      <c r="B17" s="65" cm="1">
        <f t="array" ref="B17:C17">+'Room 4'!B3:C3</f>
        <v>46163</v>
      </c>
      <c r="C17" s="2">
        <v>0</v>
      </c>
      <c r="D17" s="3" t="str">
        <f>+'Room 4'!C5</f>
        <v>Kelsey</v>
      </c>
      <c r="F17" s="3">
        <f>+'Room 4'!H3</f>
        <v>408</v>
      </c>
      <c r="G17" s="3">
        <f>+'Room 4'!C60+'Room 4'!D60</f>
        <v>0</v>
      </c>
      <c r="H17" s="3">
        <f>+'Room 4'!C90+'Room 4'!D90</f>
        <v>0</v>
      </c>
      <c r="I17" s="3">
        <f>+'Room 4'!C113+'Room 4'!D113</f>
        <v>0</v>
      </c>
      <c r="J17" s="67"/>
      <c r="K17" s="53">
        <f>+'Room 4'!L3</f>
        <v>1</v>
      </c>
      <c r="L17" s="53">
        <f>+'Room 4'!M3</f>
        <v>0</v>
      </c>
      <c r="M17" s="82">
        <f>+'Room 4'!N3</f>
        <v>0</v>
      </c>
    </row>
    <row r="18" spans="1:13" x14ac:dyDescent="0.25">
      <c r="A18" s="24" t="s">
        <v>21</v>
      </c>
      <c r="B18" s="65" cm="1">
        <f t="array" ref="B18:C18">+'Room 5'!B3:C3</f>
        <v>46163</v>
      </c>
      <c r="C18" s="2">
        <v>0</v>
      </c>
      <c r="D18" s="3" t="str">
        <f>+'Room 5'!C5</f>
        <v>Kelsey</v>
      </c>
      <c r="F18" s="3">
        <f>+'Room 5'!H3</f>
        <v>212</v>
      </c>
      <c r="G18" s="3">
        <f>+'Room 5'!C60+'Room 5'!D60</f>
        <v>1</v>
      </c>
      <c r="H18" s="3">
        <f>+'Room 5'!C90+'Room 5'!D90</f>
        <v>0</v>
      </c>
      <c r="I18" s="3">
        <f>+'Room 5'!C113+'Room 5'!D113</f>
        <v>0</v>
      </c>
      <c r="J18" s="67"/>
      <c r="K18" s="53">
        <f>+'Room 5'!L3</f>
        <v>0.98666666666666669</v>
      </c>
      <c r="L18" s="53">
        <f>+'Room 5'!M3</f>
        <v>1.3333333333333334E-2</v>
      </c>
      <c r="M18" s="82">
        <f>+'Room 5'!N3</f>
        <v>0</v>
      </c>
    </row>
    <row r="19" spans="1:13" x14ac:dyDescent="0.25">
      <c r="A19" s="24" t="s">
        <v>22</v>
      </c>
      <c r="B19" s="65" cm="1">
        <f t="array" ref="B19:C19">+'Room 6'!B3:C3</f>
        <v>46168</v>
      </c>
      <c r="C19" s="2">
        <v>0</v>
      </c>
      <c r="D19" s="3" t="str">
        <f>+'Room 6'!C5</f>
        <v>Kelsey</v>
      </c>
      <c r="F19" s="3">
        <f>+'Room 6'!H3</f>
        <v>313</v>
      </c>
      <c r="G19" s="3">
        <f>+'Room 6'!C60+'Room 6'!D60</f>
        <v>0</v>
      </c>
      <c r="H19" s="3">
        <f>+'Room 6'!C90+'Room 6'!D90</f>
        <v>0</v>
      </c>
      <c r="I19" s="3">
        <f>+'Room 6'!C113+'Room 6'!D113</f>
        <v>0</v>
      </c>
      <c r="J19" s="67"/>
      <c r="K19" s="53">
        <f>+'Room 6'!L3</f>
        <v>1</v>
      </c>
      <c r="L19" s="53">
        <f>+'Room 6'!M3</f>
        <v>0</v>
      </c>
      <c r="M19" s="82">
        <f>+'Room 6'!N3</f>
        <v>0</v>
      </c>
    </row>
    <row r="20" spans="1:13" x14ac:dyDescent="0.25">
      <c r="A20" s="24" t="s">
        <v>23</v>
      </c>
      <c r="B20" s="65" cm="1">
        <f t="array" ref="B20:C20">+'Room 7'!B3:C3</f>
        <v>46168</v>
      </c>
      <c r="C20" s="2">
        <v>0</v>
      </c>
      <c r="D20" s="3">
        <f>+'Room 7'!C5</f>
        <v>0</v>
      </c>
      <c r="F20" s="3">
        <f>+'Room 7'!H3</f>
        <v>315</v>
      </c>
      <c r="G20" s="3">
        <f>+'Room 7'!C60+'Room 7'!D60</f>
        <v>1</v>
      </c>
      <c r="H20" s="3">
        <f>+'Room 7'!C90+'Room 7'!D90</f>
        <v>0</v>
      </c>
      <c r="I20" s="3">
        <f>+'Room 7'!C113+'Room 7'!D113</f>
        <v>0</v>
      </c>
      <c r="J20" s="67"/>
      <c r="K20" s="53">
        <f>+'Room 7'!L3</f>
        <v>0.98666666666666669</v>
      </c>
      <c r="L20" s="53">
        <f>+'Room 7'!M3</f>
        <v>1.3333333333333334E-2</v>
      </c>
      <c r="M20" s="82">
        <f>+'Room 7'!N3</f>
        <v>0</v>
      </c>
    </row>
    <row r="21" spans="1:13" x14ac:dyDescent="0.25">
      <c r="A21" s="24" t="s">
        <v>24</v>
      </c>
      <c r="B21" s="65" cm="1">
        <f t="array" ref="B21:C21">+'Room 8'!B3:C3</f>
        <v>46168</v>
      </c>
      <c r="C21" s="2">
        <v>0</v>
      </c>
      <c r="D21" s="3" t="str">
        <f>+'Room 8'!C5</f>
        <v>Kelsey</v>
      </c>
      <c r="F21" s="3">
        <f>+'Room 8'!H3</f>
        <v>200</v>
      </c>
      <c r="G21" s="3">
        <f>+'Room 8'!C60+'Room 8'!D60</f>
        <v>1</v>
      </c>
      <c r="H21" s="3">
        <f>+'Room 8'!C90+'Room 8'!D90</f>
        <v>0</v>
      </c>
      <c r="I21" s="3">
        <f>+'Room 8'!C113+'Room 8'!D113</f>
        <v>0</v>
      </c>
      <c r="J21" s="67"/>
      <c r="K21" s="53">
        <f>+'Room 8'!L3</f>
        <v>0.98666666666666669</v>
      </c>
      <c r="L21" s="53">
        <f>+'Room 8'!M3</f>
        <v>1.3333333333333334E-2</v>
      </c>
      <c r="M21" s="82">
        <f>+'Room 8'!N3</f>
        <v>0</v>
      </c>
    </row>
    <row r="22" spans="1:13" x14ac:dyDescent="0.25">
      <c r="A22" s="24" t="s">
        <v>25</v>
      </c>
      <c r="B22" s="65" cm="1">
        <f t="array" ref="B22:C22">+'Room 9'!B3:C3</f>
        <v>0</v>
      </c>
      <c r="C22" s="2">
        <v>0</v>
      </c>
      <c r="D22" s="3">
        <f>+'Room 9'!C5</f>
        <v>0</v>
      </c>
      <c r="F22" s="3">
        <f>+'Room 9'!H3</f>
        <v>0</v>
      </c>
      <c r="G22" s="3">
        <f>+'Room 9'!C60+'Room 9'!D60</f>
        <v>0</v>
      </c>
      <c r="H22" s="3">
        <f>+'Room 9'!C90+'Room 9'!D90</f>
        <v>0</v>
      </c>
      <c r="I22" s="3">
        <f>+'Room 9'!C113+'Room 9'!D113</f>
        <v>0</v>
      </c>
      <c r="J22" s="67"/>
      <c r="K22" s="53">
        <f>+'Room 9'!L3</f>
        <v>1</v>
      </c>
      <c r="L22" s="53">
        <f>+'Room 9'!M3</f>
        <v>0</v>
      </c>
      <c r="M22" s="82">
        <f>+'Room 9'!N3</f>
        <v>0</v>
      </c>
    </row>
    <row r="23" spans="1:13" x14ac:dyDescent="0.25">
      <c r="A23" s="24" t="s">
        <v>26</v>
      </c>
      <c r="B23" s="65" cm="1">
        <f t="array" ref="B23:C23">+'Room 10'!B3:C3</f>
        <v>0</v>
      </c>
      <c r="C23" s="2">
        <v>0</v>
      </c>
      <c r="D23" s="3">
        <f>+'Room 10'!C5</f>
        <v>0</v>
      </c>
      <c r="F23" s="3">
        <f>+'Room 10'!H3</f>
        <v>0</v>
      </c>
      <c r="G23" s="3">
        <f>+'Room 10'!C60+'Room 10'!D60</f>
        <v>0</v>
      </c>
      <c r="H23" s="3">
        <f>+'Room 10'!C90+'Room 10'!D90</f>
        <v>0</v>
      </c>
      <c r="I23" s="3">
        <f>+'Room 10'!C113+'Room 10'!D113</f>
        <v>0</v>
      </c>
      <c r="J23" s="67"/>
      <c r="K23" s="53">
        <f>+'Room 10'!L3</f>
        <v>1</v>
      </c>
      <c r="L23" s="53">
        <f>+'Room 10'!M3</f>
        <v>0</v>
      </c>
      <c r="M23" s="82">
        <f>+'Room 10'!N3</f>
        <v>0</v>
      </c>
    </row>
    <row r="24" spans="1:13" x14ac:dyDescent="0.25">
      <c r="A24" s="24" t="s">
        <v>27</v>
      </c>
      <c r="B24" s="65" cm="1">
        <f t="array" ref="B24:C24">+'Room 11'!B3:C3</f>
        <v>0</v>
      </c>
      <c r="C24" s="2">
        <v>0</v>
      </c>
      <c r="D24" s="3">
        <f>+'Room 11'!C5</f>
        <v>0</v>
      </c>
      <c r="F24" s="3">
        <f>+'Room 11'!H3</f>
        <v>0</v>
      </c>
      <c r="G24" s="3">
        <f>+'Room 11'!C60+'Room 11'!D60</f>
        <v>0</v>
      </c>
      <c r="H24" s="3">
        <f>+'Room 11'!C90+'Room 11'!D90</f>
        <v>0</v>
      </c>
      <c r="I24" s="3">
        <f>+'Room 11'!C113+'Room 11'!D113</f>
        <v>0</v>
      </c>
      <c r="J24" s="67"/>
      <c r="K24" s="53">
        <f>+'Room 11'!L3</f>
        <v>1</v>
      </c>
      <c r="L24" s="53">
        <f>+'Room 11'!M3</f>
        <v>0</v>
      </c>
      <c r="M24" s="82">
        <f>+'Room 11'!N3</f>
        <v>0</v>
      </c>
    </row>
    <row r="25" spans="1:13" x14ac:dyDescent="0.25">
      <c r="A25" s="24" t="s">
        <v>28</v>
      </c>
      <c r="B25" s="65" cm="1">
        <f t="array" ref="B25:C25">+'Room 12'!B3:C3</f>
        <v>0</v>
      </c>
      <c r="C25" s="2">
        <v>0</v>
      </c>
      <c r="D25" s="3">
        <f>+'Room 12'!C5</f>
        <v>0</v>
      </c>
      <c r="F25" s="3">
        <f>+'Room 12'!H3</f>
        <v>0</v>
      </c>
      <c r="G25" s="3">
        <f>+'Room 12'!C60+'Room 12'!D60</f>
        <v>0</v>
      </c>
      <c r="H25" s="3">
        <f>+'Room 12'!C90+'Room 12'!D90</f>
        <v>0</v>
      </c>
      <c r="I25" s="3">
        <f>+'Room 12'!C113+'Room 12'!D113</f>
        <v>0</v>
      </c>
      <c r="J25" s="67"/>
      <c r="K25" s="53">
        <f>+'Room 12'!L3</f>
        <v>1</v>
      </c>
      <c r="L25" s="53">
        <f>+'Room 12'!M3</f>
        <v>0</v>
      </c>
      <c r="M25" s="82">
        <f>+'Room 12'!N3</f>
        <v>0</v>
      </c>
    </row>
    <row r="26" spans="1:13" x14ac:dyDescent="0.25">
      <c r="A26" s="24" t="s">
        <v>29</v>
      </c>
      <c r="B26" s="65" cm="1">
        <f t="array" ref="B26:C26">+'Room 13'!B3:C3</f>
        <v>0</v>
      </c>
      <c r="C26" s="2">
        <v>0</v>
      </c>
      <c r="D26" s="3">
        <f>+'Room 13'!C5</f>
        <v>0</v>
      </c>
      <c r="F26" s="3">
        <f>+'Room 13'!H3</f>
        <v>0</v>
      </c>
      <c r="G26" s="3">
        <f>+'Room 13'!C60+'Room 13'!D60</f>
        <v>0</v>
      </c>
      <c r="H26" s="3">
        <f>+'Room 13'!C90+'Room 13'!D90</f>
        <v>0</v>
      </c>
      <c r="I26" s="3">
        <f>+'Room 13'!C113+'Room 13'!D113</f>
        <v>0</v>
      </c>
      <c r="J26" s="67"/>
      <c r="K26" s="53">
        <f>+'Room 13'!L3</f>
        <v>1</v>
      </c>
      <c r="L26" s="53">
        <f>+'Room 13'!M3</f>
        <v>0</v>
      </c>
      <c r="M26" s="82">
        <f>+'Room 13'!N3</f>
        <v>0</v>
      </c>
    </row>
    <row r="27" spans="1:13" x14ac:dyDescent="0.25">
      <c r="A27" s="24" t="s">
        <v>30</v>
      </c>
      <c r="B27" s="65" cm="1">
        <f t="array" ref="B27:C27">+'Room 14'!B3:C3</f>
        <v>0</v>
      </c>
      <c r="C27" s="2">
        <v>0</v>
      </c>
      <c r="D27" s="3">
        <f>+'Room 14'!C5</f>
        <v>0</v>
      </c>
      <c r="F27" s="3">
        <f>+'Room 14'!H3</f>
        <v>0</v>
      </c>
      <c r="G27" s="3">
        <f>+'Room 14'!C60+'Room 14'!D60</f>
        <v>0</v>
      </c>
      <c r="H27" s="3">
        <f>+'Room 14'!C90+'Room 14'!D90</f>
        <v>0</v>
      </c>
      <c r="I27" s="3">
        <f>+'Room 14'!C113+'Room 14'!D113</f>
        <v>0</v>
      </c>
      <c r="J27" s="67"/>
      <c r="K27" s="53">
        <f>+'Room 13'!L3</f>
        <v>1</v>
      </c>
      <c r="L27" s="53">
        <f>+'Room 13'!M3</f>
        <v>0</v>
      </c>
      <c r="M27" s="82">
        <f>+'Room 13'!N3</f>
        <v>0</v>
      </c>
    </row>
    <row r="28" spans="1:13" x14ac:dyDescent="0.25">
      <c r="A28" s="24" t="s">
        <v>31</v>
      </c>
      <c r="B28" s="65" cm="1">
        <f t="array" ref="B28:C28">+'Room 15'!B3:C3</f>
        <v>0</v>
      </c>
      <c r="C28" s="2">
        <v>0</v>
      </c>
      <c r="D28" s="3">
        <f>+'Room 15'!C5</f>
        <v>0</v>
      </c>
      <c r="F28" s="3">
        <f>+'Room 15'!H3</f>
        <v>0</v>
      </c>
      <c r="G28" s="3">
        <f>+'Room 15'!C60+'Room 15'!D60</f>
        <v>0</v>
      </c>
      <c r="H28" s="3">
        <f>+'Room 15'!C90+'Room 15'!D90</f>
        <v>0</v>
      </c>
      <c r="I28" s="3">
        <f>+'Room 15'!C113+'Room 15'!D113</f>
        <v>0</v>
      </c>
      <c r="J28" s="67"/>
      <c r="K28" s="53">
        <f>+'Room 15'!L3</f>
        <v>1</v>
      </c>
      <c r="L28" s="53">
        <f>+'Room 15'!M3</f>
        <v>0</v>
      </c>
      <c r="M28" s="82">
        <f>+'Room 15'!N3</f>
        <v>0</v>
      </c>
    </row>
    <row r="29" spans="1:13" x14ac:dyDescent="0.25">
      <c r="A29" s="24" t="s">
        <v>32</v>
      </c>
      <c r="B29" s="65" cm="1">
        <f t="array" ref="B29:C29">+'Room 16'!B3:C3</f>
        <v>0</v>
      </c>
      <c r="C29" s="2">
        <v>0</v>
      </c>
      <c r="D29" s="3">
        <f>+'Room 16'!C5</f>
        <v>0</v>
      </c>
      <c r="F29" s="3">
        <f>+'Room 16'!H3</f>
        <v>0</v>
      </c>
      <c r="G29" s="3">
        <f>+'Room 16'!C60+'Room 16'!D60</f>
        <v>0</v>
      </c>
      <c r="H29" s="3">
        <f>+'Room 16'!C90+'Room 16'!D90</f>
        <v>0</v>
      </c>
      <c r="I29" s="3">
        <f>+'Room 16'!C113+'Room 16'!D113</f>
        <v>0</v>
      </c>
      <c r="J29" s="67"/>
      <c r="K29" s="53">
        <f>+'Room 16'!L3</f>
        <v>1</v>
      </c>
      <c r="L29" s="53">
        <f>+'Room 16'!M3</f>
        <v>0</v>
      </c>
      <c r="M29" s="82">
        <f>+'Room 16'!N3</f>
        <v>0</v>
      </c>
    </row>
    <row r="30" spans="1:13" ht="3" customHeight="1" thickBot="1" x14ac:dyDescent="0.3">
      <c r="A30" s="42"/>
      <c r="B30" s="28"/>
      <c r="C30" s="28"/>
      <c r="D30" s="28"/>
      <c r="E30" s="28"/>
      <c r="F30" s="28"/>
      <c r="G30" s="28"/>
      <c r="H30" s="28"/>
      <c r="I30" s="28"/>
      <c r="J30" s="28"/>
      <c r="K30" s="29"/>
      <c r="L30" s="28"/>
      <c r="M30" s="33"/>
    </row>
    <row r="31" spans="1:13" x14ac:dyDescent="0.25">
      <c r="A31" s="2" t="s">
        <v>33</v>
      </c>
      <c r="B31" t="s">
        <v>34</v>
      </c>
      <c r="G31" s="2" t="s">
        <v>35</v>
      </c>
      <c r="H31" t="s">
        <v>36</v>
      </c>
    </row>
    <row r="32" spans="1:13" ht="15" customHeight="1" x14ac:dyDescent="0.25">
      <c r="A32" s="2" t="s">
        <v>37</v>
      </c>
      <c r="B32" s="94" t="s">
        <v>38</v>
      </c>
      <c r="C32" s="94"/>
      <c r="D32" s="94"/>
      <c r="E32" s="94"/>
      <c r="F32" s="94"/>
      <c r="G32" s="94"/>
      <c r="H32" s="94"/>
      <c r="I32" s="94"/>
      <c r="J32" s="94"/>
      <c r="K32" s="94"/>
      <c r="L32" s="94"/>
      <c r="M32" s="94"/>
    </row>
    <row r="33" spans="1:13" x14ac:dyDescent="0.25">
      <c r="A33" s="58"/>
      <c r="B33" s="94"/>
      <c r="C33" s="94"/>
      <c r="D33" s="94"/>
      <c r="E33" s="94"/>
      <c r="F33" s="94"/>
      <c r="G33" s="94"/>
      <c r="H33" s="94"/>
      <c r="I33" s="94"/>
      <c r="J33" s="94"/>
      <c r="K33" s="94"/>
      <c r="L33" s="94"/>
      <c r="M33" s="94"/>
    </row>
    <row r="34" spans="1:13" x14ac:dyDescent="0.25">
      <c r="A34" s="58"/>
      <c r="B34" s="94"/>
      <c r="C34" s="94"/>
      <c r="D34" s="94"/>
      <c r="E34" s="94"/>
      <c r="F34" s="94"/>
      <c r="G34" s="94"/>
      <c r="H34" s="94"/>
      <c r="I34" s="94"/>
      <c r="J34" s="94"/>
      <c r="K34" s="94"/>
      <c r="L34" s="94"/>
      <c r="M34" s="94"/>
    </row>
    <row r="35" spans="1:13" ht="14.1" customHeight="1" x14ac:dyDescent="0.25">
      <c r="A35" s="2" t="s">
        <v>39</v>
      </c>
      <c r="B35" s="94" t="s">
        <v>40</v>
      </c>
      <c r="C35" s="94"/>
      <c r="D35" s="94"/>
      <c r="E35" s="94"/>
      <c r="F35" s="94"/>
      <c r="G35" s="94"/>
      <c r="H35" s="94"/>
      <c r="I35" s="94"/>
      <c r="J35" s="94"/>
      <c r="K35" s="94"/>
      <c r="L35" s="94"/>
      <c r="M35" s="94"/>
    </row>
    <row r="36" spans="1:13" x14ac:dyDescent="0.25">
      <c r="A36" s="2" t="s">
        <v>41</v>
      </c>
      <c r="B36" t="s">
        <v>42</v>
      </c>
    </row>
    <row r="37" spans="1:13" x14ac:dyDescent="0.25">
      <c r="A37" s="2" t="s">
        <v>43</v>
      </c>
      <c r="B37" t="s">
        <v>44</v>
      </c>
    </row>
    <row r="38" spans="1:13" x14ac:dyDescent="0.25">
      <c r="B38" t="s">
        <v>45</v>
      </c>
    </row>
  </sheetData>
  <protectedRanges>
    <protectedRange algorithmName="SHA-512" hashValue="NoatspfrlTHbfL8wk97IZUTYcmuiJwJXklVhyTSYYaudw33qZ1Wdu69PnVi8PBtekN/w2zSdebutuQW+5pgxUw==" saltValue="KyFjEVm4f/wnWUwCnBs6gg==" spinCount="100000" sqref="B8:B10" name="InspectressNames"/>
  </protectedRanges>
  <mergeCells count="14">
    <mergeCell ref="K5:M5"/>
    <mergeCell ref="B32:M34"/>
    <mergeCell ref="B35:M35"/>
    <mergeCell ref="D1:L2"/>
    <mergeCell ref="D3:L4"/>
    <mergeCell ref="D9:E9"/>
    <mergeCell ref="D10:E10"/>
    <mergeCell ref="B7:C7"/>
    <mergeCell ref="D6:H6"/>
    <mergeCell ref="D8:E8"/>
    <mergeCell ref="D7:E7"/>
    <mergeCell ref="K12:M12"/>
    <mergeCell ref="D12:I12"/>
    <mergeCell ref="K6:M6"/>
  </mergeCells>
  <pageMargins left="1.2" right="0.7" top="0.25" bottom="0.2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F98B-5CC6-4CBD-91F1-D8DD8409B48A}">
  <dimension ref="A1:N132"/>
  <sheetViews>
    <sheetView topLeftCell="A108" zoomScale="145" zoomScaleNormal="145" workbookViewId="0">
      <selection activeCell="C5" sqref="C5:F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46163</v>
      </c>
      <c r="C3" s="106"/>
      <c r="D3" s="12"/>
      <c r="E3" s="12"/>
      <c r="F3" s="14" t="s">
        <v>52</v>
      </c>
      <c r="G3" s="14"/>
      <c r="H3" s="57">
        <v>217</v>
      </c>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
        <v>60</v>
      </c>
      <c r="K9" s="19"/>
      <c r="L9" s="19"/>
      <c r="M9" s="19"/>
      <c r="N9" s="10"/>
    </row>
    <row r="10" spans="1:14" ht="12.95" customHeight="1" x14ac:dyDescent="0.25">
      <c r="A10" s="45" t="s">
        <v>61</v>
      </c>
      <c r="B10" s="4" t="str">
        <f t="shared" si="0"/>
        <v>x</v>
      </c>
      <c r="C10" s="3"/>
      <c r="D10" s="3"/>
      <c r="F10" s="9"/>
      <c r="G10" s="20"/>
      <c r="H10" s="11"/>
      <c r="I10" s="21"/>
      <c r="J10" s="9" t="s">
        <v>62</v>
      </c>
      <c r="K10" s="20"/>
      <c r="L10" s="20"/>
      <c r="M10" s="20"/>
      <c r="N10" s="11"/>
    </row>
    <row r="11" spans="1:14" ht="12.95" customHeight="1" x14ac:dyDescent="0.25">
      <c r="A11" s="45" t="s">
        <v>63</v>
      </c>
      <c r="B11" s="4" t="str">
        <f t="shared" si="0"/>
        <v>x</v>
      </c>
      <c r="C11" s="4"/>
      <c r="D11" s="4"/>
      <c r="F11" s="8"/>
      <c r="G11" s="19"/>
      <c r="H11" s="10"/>
      <c r="I11" s="21"/>
      <c r="J11" s="8" t="s">
        <v>64</v>
      </c>
      <c r="K11" s="19"/>
      <c r="L11" s="19"/>
      <c r="M11" s="19"/>
      <c r="N11" s="10"/>
    </row>
    <row r="12" spans="1:14" ht="12.95" customHeight="1" x14ac:dyDescent="0.25">
      <c r="A12" s="45" t="s">
        <v>65</v>
      </c>
      <c r="B12" s="4" t="str">
        <f t="shared" si="0"/>
        <v>x</v>
      </c>
      <c r="C12" s="3"/>
      <c r="D12" s="3"/>
      <c r="F12" s="9"/>
      <c r="G12" s="20"/>
      <c r="H12" s="11"/>
      <c r="I12" s="21"/>
      <c r="J12" s="9" t="s">
        <v>66</v>
      </c>
      <c r="K12" s="20"/>
      <c r="L12" s="20"/>
      <c r="M12" s="20"/>
      <c r="N12" s="11"/>
    </row>
    <row r="13" spans="1:14" ht="12.95" customHeight="1" x14ac:dyDescent="0.25">
      <c r="A13" s="45" t="s">
        <v>67</v>
      </c>
      <c r="B13" s="4" t="str">
        <f t="shared" si="0"/>
        <v>x</v>
      </c>
      <c r="C13" s="4"/>
      <c r="D13" s="4"/>
      <c r="F13" s="8"/>
      <c r="G13" s="19"/>
      <c r="H13" s="10"/>
      <c r="I13" s="21"/>
      <c r="J13" s="8" t="s">
        <v>68</v>
      </c>
      <c r="K13" s="19"/>
      <c r="L13" s="19"/>
      <c r="M13" s="19"/>
      <c r="N13" s="10"/>
    </row>
    <row r="14" spans="1:14" ht="12.95" customHeight="1" x14ac:dyDescent="0.25">
      <c r="A14" s="45" t="s">
        <v>69</v>
      </c>
      <c r="B14" s="4" t="str">
        <f t="shared" si="0"/>
        <v>x</v>
      </c>
      <c r="C14" s="3"/>
      <c r="D14" s="3"/>
      <c r="F14" s="9"/>
      <c r="G14" s="20"/>
      <c r="H14" s="11"/>
      <c r="I14" s="21"/>
      <c r="J14" s="9" t="s">
        <v>70</v>
      </c>
      <c r="K14" s="20"/>
      <c r="L14" s="20"/>
      <c r="M14" s="20"/>
      <c r="N14" s="11"/>
    </row>
    <row r="15" spans="1:14" ht="12.95" customHeight="1" x14ac:dyDescent="0.25">
      <c r="A15" s="45" t="s">
        <v>71</v>
      </c>
      <c r="B15" s="4" t="str">
        <f t="shared" si="0"/>
        <v>x</v>
      </c>
      <c r="C15" s="4"/>
      <c r="D15" s="4"/>
      <c r="F15" s="8"/>
      <c r="G15" s="19"/>
      <c r="H15" s="10"/>
      <c r="I15" s="21"/>
      <c r="J15" s="8" t="s">
        <v>72</v>
      </c>
      <c r="K15" s="19"/>
      <c r="L15" s="19"/>
      <c r="M15" s="19"/>
      <c r="N15" s="10"/>
    </row>
    <row r="16" spans="1:14" ht="12.95" customHeight="1" x14ac:dyDescent="0.25">
      <c r="A16" s="45" t="s">
        <v>73</v>
      </c>
      <c r="B16" s="4" t="str">
        <f t="shared" si="0"/>
        <v>x</v>
      </c>
      <c r="C16" s="3"/>
      <c r="D16" s="3"/>
      <c r="F16" s="9"/>
      <c r="G16" s="20"/>
      <c r="H16" s="11"/>
      <c r="I16" s="21"/>
      <c r="J16" s="9" t="s">
        <v>74</v>
      </c>
      <c r="K16" s="20"/>
      <c r="L16" s="20"/>
      <c r="M16" s="20"/>
      <c r="N16" s="11"/>
    </row>
    <row r="17" spans="1:14" ht="12.95" customHeight="1" x14ac:dyDescent="0.25">
      <c r="A17" s="45" t="s">
        <v>75</v>
      </c>
      <c r="B17" s="4" t="str">
        <f t="shared" si="0"/>
        <v>x</v>
      </c>
      <c r="C17" s="4"/>
      <c r="D17" s="4"/>
      <c r="F17" s="8"/>
      <c r="G17" s="19"/>
      <c r="H17" s="10"/>
      <c r="I17" s="21"/>
      <c r="J17" s="8" t="s">
        <v>76</v>
      </c>
      <c r="K17" s="19"/>
      <c r="L17" s="19"/>
      <c r="M17" s="19"/>
      <c r="N17" s="10"/>
    </row>
    <row r="18" spans="1:14" ht="12.95" customHeight="1" x14ac:dyDescent="0.25">
      <c r="A18" s="45" t="s">
        <v>77</v>
      </c>
      <c r="B18" s="4" t="str">
        <f t="shared" si="0"/>
        <v>x</v>
      </c>
      <c r="C18" s="3"/>
      <c r="D18" s="3"/>
      <c r="F18" s="9"/>
      <c r="G18" s="20"/>
      <c r="H18" s="11"/>
      <c r="I18" s="21"/>
      <c r="J18" s="9" t="s">
        <v>78</v>
      </c>
      <c r="K18" s="20"/>
      <c r="L18" s="20"/>
      <c r="M18" s="20"/>
      <c r="N18" s="11"/>
    </row>
    <row r="19" spans="1:14" ht="12.95" customHeight="1" x14ac:dyDescent="0.25">
      <c r="A19" s="45" t="s">
        <v>79</v>
      </c>
      <c r="B19" s="4" t="str">
        <f t="shared" si="0"/>
        <v>x</v>
      </c>
      <c r="C19" s="4"/>
      <c r="D19" s="4"/>
      <c r="F19" s="8"/>
      <c r="G19" s="19"/>
      <c r="H19" s="10"/>
      <c r="I19" s="21"/>
      <c r="J19" s="8" t="s">
        <v>80</v>
      </c>
      <c r="K19" s="19"/>
      <c r="L19" s="19"/>
      <c r="M19" s="19"/>
      <c r="N19" s="10"/>
    </row>
    <row r="20" spans="1:14" ht="12.95" customHeight="1" x14ac:dyDescent="0.25">
      <c r="A20" s="45" t="s">
        <v>81</v>
      </c>
      <c r="B20" s="4" t="str">
        <f t="shared" si="0"/>
        <v>x</v>
      </c>
      <c r="C20" s="3"/>
      <c r="D20" s="3"/>
      <c r="F20" s="9"/>
      <c r="G20" s="20"/>
      <c r="H20" s="11"/>
      <c r="I20" s="21"/>
      <c r="J20" s="9" t="s">
        <v>82</v>
      </c>
      <c r="K20" s="20"/>
      <c r="L20" s="20"/>
      <c r="M20" s="20"/>
      <c r="N20" s="11"/>
    </row>
    <row r="21" spans="1:14" ht="12.95" customHeight="1" x14ac:dyDescent="0.25">
      <c r="A21" s="45" t="s">
        <v>83</v>
      </c>
      <c r="B21" s="4" t="str">
        <f t="shared" si="0"/>
        <v>x</v>
      </c>
      <c r="C21" s="4"/>
      <c r="D21" s="4"/>
      <c r="F21" s="8"/>
      <c r="G21" s="19"/>
      <c r="H21" s="10"/>
      <c r="I21" s="21"/>
      <c r="J21" s="8" t="s">
        <v>84</v>
      </c>
      <c r="K21" s="19"/>
      <c r="L21" s="19"/>
      <c r="M21" s="19"/>
      <c r="N21" s="10"/>
    </row>
    <row r="22" spans="1:14" ht="12.95" customHeight="1" x14ac:dyDescent="0.25">
      <c r="A22" s="45" t="s">
        <v>85</v>
      </c>
      <c r="B22" s="4" t="str">
        <f t="shared" si="0"/>
        <v>x</v>
      </c>
      <c r="C22" s="3"/>
      <c r="D22" s="3"/>
      <c r="F22" s="9"/>
      <c r="G22" s="20"/>
      <c r="H22" s="11"/>
      <c r="I22" s="21"/>
      <c r="J22" s="9" t="s">
        <v>84</v>
      </c>
      <c r="K22" s="20"/>
      <c r="L22" s="20"/>
      <c r="M22" s="20"/>
      <c r="N22" s="11"/>
    </row>
    <row r="23" spans="1:14" ht="12.95" customHeight="1" x14ac:dyDescent="0.25">
      <c r="A23" s="45" t="s">
        <v>86</v>
      </c>
      <c r="B23" s="4" t="str">
        <f t="shared" si="0"/>
        <v>x</v>
      </c>
      <c r="C23" s="4"/>
      <c r="D23" s="4"/>
      <c r="F23" s="8"/>
      <c r="G23" s="19"/>
      <c r="H23" s="10"/>
      <c r="I23" s="21"/>
      <c r="J23" s="8" t="s">
        <v>87</v>
      </c>
      <c r="K23" s="19"/>
      <c r="L23" s="19"/>
      <c r="M23" s="19"/>
      <c r="N23" s="10"/>
    </row>
    <row r="24" spans="1:14" ht="12.95" customHeight="1" x14ac:dyDescent="0.25">
      <c r="A24" s="45" t="s">
        <v>88</v>
      </c>
      <c r="B24" s="4" t="str">
        <f t="shared" si="0"/>
        <v>x</v>
      </c>
      <c r="C24" s="3"/>
      <c r="D24" s="3"/>
      <c r="F24" s="9"/>
      <c r="G24" s="20"/>
      <c r="H24" s="11"/>
      <c r="I24" s="21"/>
      <c r="J24" s="9" t="s">
        <v>89</v>
      </c>
      <c r="K24" s="20"/>
      <c r="L24" s="20"/>
      <c r="M24" s="20"/>
      <c r="N24" s="11"/>
    </row>
    <row r="25" spans="1:14" ht="12.95" customHeight="1" x14ac:dyDescent="0.25">
      <c r="A25" s="45" t="s">
        <v>90</v>
      </c>
      <c r="B25" s="4" t="str">
        <f t="shared" si="0"/>
        <v>x</v>
      </c>
      <c r="C25" s="4"/>
      <c r="D25" s="4"/>
      <c r="F25" s="8"/>
      <c r="G25" s="19"/>
      <c r="H25" s="10"/>
      <c r="I25" s="21"/>
      <c r="J25" s="8" t="s">
        <v>91</v>
      </c>
      <c r="K25" s="19"/>
      <c r="L25" s="19"/>
      <c r="M25" s="19"/>
      <c r="N25" s="10"/>
    </row>
    <row r="26" spans="1:14" ht="12.95" customHeight="1" x14ac:dyDescent="0.25">
      <c r="A26" s="45" t="s">
        <v>92</v>
      </c>
      <c r="B26" s="4" t="str">
        <f t="shared" si="0"/>
        <v>x</v>
      </c>
      <c r="C26" s="3"/>
      <c r="D26" s="3"/>
      <c r="F26" s="9"/>
      <c r="G26" s="20"/>
      <c r="H26" s="11"/>
      <c r="I26" s="21"/>
      <c r="J26" s="9" t="s">
        <v>93</v>
      </c>
      <c r="K26" s="20"/>
      <c r="L26" s="20"/>
      <c r="M26" s="20"/>
      <c r="N26" s="11"/>
    </row>
    <row r="27" spans="1:14" ht="12.95" customHeight="1" x14ac:dyDescent="0.25">
      <c r="A27" s="45" t="s">
        <v>94</v>
      </c>
      <c r="B27" s="4" t="str">
        <f t="shared" si="0"/>
        <v>x</v>
      </c>
      <c r="C27" s="4"/>
      <c r="D27" s="4"/>
      <c r="F27" s="8"/>
      <c r="G27" s="19"/>
      <c r="H27" s="10"/>
      <c r="I27" s="21"/>
      <c r="J27" s="8" t="s">
        <v>95</v>
      </c>
      <c r="K27" s="19"/>
      <c r="L27" s="19"/>
      <c r="M27" s="19"/>
      <c r="N27" s="10"/>
    </row>
    <row r="28" spans="1:14" ht="12.95" customHeight="1" x14ac:dyDescent="0.25">
      <c r="A28" s="45" t="s">
        <v>96</v>
      </c>
      <c r="B28" s="4" t="str">
        <f t="shared" si="0"/>
        <v>x</v>
      </c>
      <c r="C28" s="3"/>
      <c r="D28" s="3"/>
      <c r="F28" s="9"/>
      <c r="G28" s="20"/>
      <c r="H28" s="11"/>
      <c r="I28" s="21"/>
      <c r="J28" s="9" t="s">
        <v>98</v>
      </c>
      <c r="K28" s="20"/>
      <c r="L28" s="20"/>
      <c r="M28" s="20"/>
      <c r="N28" s="11"/>
    </row>
    <row r="29" spans="1:14" ht="12.95" customHeight="1" x14ac:dyDescent="0.25">
      <c r="A29" s="45" t="s">
        <v>99</v>
      </c>
      <c r="B29" s="4" t="str">
        <f t="shared" si="0"/>
        <v>x</v>
      </c>
      <c r="C29" s="4"/>
      <c r="D29" s="6"/>
      <c r="F29" s="8"/>
      <c r="G29" s="19"/>
      <c r="H29" s="10"/>
      <c r="I29" s="21"/>
      <c r="J29" s="8" t="s">
        <v>100</v>
      </c>
      <c r="K29" s="19"/>
      <c r="L29" s="19"/>
      <c r="M29" s="19"/>
      <c r="N29" s="10"/>
    </row>
    <row r="30" spans="1:14" ht="12.95" customHeight="1" x14ac:dyDescent="0.25">
      <c r="A30" s="45" t="s">
        <v>101</v>
      </c>
      <c r="B30" s="4" t="str">
        <f t="shared" si="0"/>
        <v>x</v>
      </c>
      <c r="C30" s="3"/>
      <c r="D30" s="3"/>
      <c r="F30" s="9"/>
      <c r="G30" s="20"/>
      <c r="H30" s="11"/>
      <c r="I30" s="21"/>
      <c r="J30" s="9" t="s">
        <v>102</v>
      </c>
      <c r="K30" s="20"/>
      <c r="L30" s="20"/>
      <c r="M30" s="20"/>
      <c r="N30" s="11"/>
    </row>
    <row r="31" spans="1:14" ht="12.95" customHeight="1" x14ac:dyDescent="0.25">
      <c r="A31" s="45" t="s">
        <v>103</v>
      </c>
      <c r="B31" s="4" t="str">
        <f t="shared" si="0"/>
        <v>x</v>
      </c>
      <c r="C31" s="4"/>
      <c r="D31" s="4"/>
      <c r="F31" s="8"/>
      <c r="G31" s="19"/>
      <c r="H31" s="10"/>
      <c r="I31" s="21"/>
      <c r="J31" s="8" t="s">
        <v>104</v>
      </c>
      <c r="K31" s="19"/>
      <c r="L31" s="19"/>
      <c r="M31" s="19"/>
      <c r="N31" s="10"/>
    </row>
    <row r="32" spans="1:14" ht="12.95" customHeight="1" x14ac:dyDescent="0.25">
      <c r="A32" s="45" t="s">
        <v>105</v>
      </c>
      <c r="B32" s="4" t="str">
        <f t="shared" si="0"/>
        <v>x</v>
      </c>
      <c r="C32" s="3"/>
      <c r="D32" s="6"/>
      <c r="F32" s="9"/>
      <c r="G32" s="20"/>
      <c r="H32" s="11"/>
      <c r="I32" s="21"/>
      <c r="J32" s="9" t="s">
        <v>106</v>
      </c>
      <c r="K32" s="20"/>
      <c r="L32" s="20"/>
      <c r="M32" s="20"/>
      <c r="N32" s="11"/>
    </row>
    <row r="33" spans="1:14" ht="12.95" customHeight="1" x14ac:dyDescent="0.25">
      <c r="A33" s="45" t="s">
        <v>107</v>
      </c>
      <c r="B33" s="4" t="str">
        <f t="shared" si="0"/>
        <v>x</v>
      </c>
      <c r="C33" s="4"/>
      <c r="D33" s="6"/>
      <c r="F33" s="8"/>
      <c r="G33" s="19"/>
      <c r="H33" s="10"/>
      <c r="I33" s="21"/>
      <c r="J33" s="8" t="s">
        <v>108</v>
      </c>
      <c r="K33" s="19"/>
      <c r="L33" s="19"/>
      <c r="M33" s="19"/>
      <c r="N33" s="10"/>
    </row>
    <row r="34" spans="1:14" ht="12.95" customHeight="1" x14ac:dyDescent="0.25">
      <c r="A34" s="45" t="s">
        <v>109</v>
      </c>
      <c r="B34" s="4" t="str">
        <f t="shared" si="0"/>
        <v>x</v>
      </c>
      <c r="C34" s="3"/>
      <c r="D34" s="3"/>
      <c r="F34" s="9"/>
      <c r="G34" s="20"/>
      <c r="H34" s="11"/>
      <c r="I34" s="21"/>
      <c r="J34" s="9" t="s">
        <v>110</v>
      </c>
      <c r="K34" s="20"/>
      <c r="L34" s="20"/>
      <c r="M34" s="20"/>
      <c r="N34" s="11"/>
    </row>
    <row r="35" spans="1:14" ht="12.95" customHeight="1" x14ac:dyDescent="0.25">
      <c r="A35" s="45" t="s">
        <v>111</v>
      </c>
      <c r="B35" s="4" t="str">
        <f t="shared" si="0"/>
        <v>x</v>
      </c>
      <c r="C35" s="4"/>
      <c r="D35" s="4"/>
      <c r="F35" s="8"/>
      <c r="G35" s="19"/>
      <c r="H35" s="10"/>
      <c r="I35" s="21"/>
      <c r="J35" s="8" t="s">
        <v>112</v>
      </c>
      <c r="K35" s="19"/>
      <c r="L35" s="19"/>
      <c r="M35" s="19"/>
      <c r="N35" s="10"/>
    </row>
    <row r="36" spans="1:14" ht="12.95" customHeight="1" x14ac:dyDescent="0.25">
      <c r="A36" s="45" t="s">
        <v>113</v>
      </c>
      <c r="B36" s="4" t="str">
        <f t="shared" si="0"/>
        <v>x</v>
      </c>
      <c r="C36" s="3"/>
      <c r="D36" s="3"/>
      <c r="F36" s="9"/>
      <c r="G36" s="20"/>
      <c r="H36" s="11"/>
      <c r="I36" s="21"/>
      <c r="J36" s="9" t="s">
        <v>114</v>
      </c>
      <c r="K36" s="20"/>
      <c r="L36" s="20"/>
      <c r="M36" s="20"/>
      <c r="N36" s="11"/>
    </row>
    <row r="37" spans="1:14" ht="12.95" customHeight="1" x14ac:dyDescent="0.25">
      <c r="A37" s="45" t="s">
        <v>115</v>
      </c>
      <c r="B37" s="4" t="str">
        <f t="shared" si="0"/>
        <v>x</v>
      </c>
      <c r="C37" s="4"/>
      <c r="D37" s="4"/>
      <c r="F37" s="8"/>
      <c r="G37" s="19"/>
      <c r="H37" s="10"/>
      <c r="I37" s="21"/>
      <c r="J37" s="8" t="s">
        <v>116</v>
      </c>
      <c r="K37" s="19"/>
      <c r="L37" s="19"/>
      <c r="M37" s="19"/>
      <c r="N37" s="10"/>
    </row>
    <row r="38" spans="1:14" ht="12.95" customHeight="1" x14ac:dyDescent="0.25">
      <c r="A38" s="45" t="s">
        <v>117</v>
      </c>
      <c r="B38" s="4" t="str">
        <f t="shared" si="0"/>
        <v>x</v>
      </c>
      <c r="C38" s="3"/>
      <c r="D38" s="3"/>
      <c r="F38" s="9"/>
      <c r="G38" s="20"/>
      <c r="H38" s="11"/>
      <c r="I38" s="21"/>
      <c r="J38" s="9" t="s">
        <v>118</v>
      </c>
      <c r="K38" s="20"/>
      <c r="L38" s="20"/>
      <c r="M38" s="20"/>
      <c r="N38" s="11"/>
    </row>
    <row r="39" spans="1:14" ht="12.95" customHeight="1" x14ac:dyDescent="0.25">
      <c r="A39" s="45" t="s">
        <v>119</v>
      </c>
      <c r="B39" s="4" t="str">
        <f t="shared" si="0"/>
        <v>x</v>
      </c>
      <c r="C39" s="4"/>
      <c r="D39" s="4"/>
      <c r="F39" s="8"/>
      <c r="G39" s="19"/>
      <c r="H39" s="10"/>
      <c r="I39" s="21"/>
      <c r="J39" s="8" t="s">
        <v>120</v>
      </c>
      <c r="K39" s="19"/>
      <c r="L39" s="19"/>
      <c r="M39" s="19"/>
      <c r="N39" s="10"/>
    </row>
    <row r="40" spans="1:14" ht="12.95" customHeight="1" x14ac:dyDescent="0.25">
      <c r="A40" s="45" t="s">
        <v>121</v>
      </c>
      <c r="B40" s="4" t="str">
        <f t="shared" si="0"/>
        <v>x</v>
      </c>
      <c r="C40" s="3"/>
      <c r="D40" s="3"/>
      <c r="F40" s="9"/>
      <c r="G40" s="20"/>
      <c r="H40" s="11"/>
      <c r="I40" s="21"/>
      <c r="J40" s="9" t="s">
        <v>122</v>
      </c>
      <c r="K40" s="20"/>
      <c r="L40" s="20"/>
      <c r="M40" s="20"/>
      <c r="N40" s="11"/>
    </row>
    <row r="41" spans="1:14" ht="12.95" customHeight="1" x14ac:dyDescent="0.25">
      <c r="A41" s="45" t="s">
        <v>123</v>
      </c>
      <c r="B41" s="4" t="str">
        <f t="shared" si="0"/>
        <v>x</v>
      </c>
      <c r="C41" s="4"/>
      <c r="D41" s="4"/>
      <c r="F41" s="8"/>
      <c r="G41" s="19"/>
      <c r="H41" s="10"/>
      <c r="I41" s="21"/>
      <c r="J41" s="8" t="s">
        <v>124</v>
      </c>
      <c r="K41" s="19"/>
      <c r="L41" s="19"/>
      <c r="M41" s="19"/>
      <c r="N41" s="10"/>
    </row>
    <row r="42" spans="1:14" ht="12.95" customHeight="1" x14ac:dyDescent="0.25">
      <c r="A42" s="45" t="s">
        <v>125</v>
      </c>
      <c r="B42" s="4" t="str">
        <f t="shared" si="0"/>
        <v>x</v>
      </c>
      <c r="C42" s="3"/>
      <c r="D42" s="3"/>
      <c r="F42" s="9"/>
      <c r="G42" s="20"/>
      <c r="H42" s="11"/>
      <c r="I42" s="21"/>
      <c r="J42" s="9" t="s">
        <v>98</v>
      </c>
      <c r="K42" s="20"/>
      <c r="L42" s="20"/>
      <c r="M42" s="20"/>
      <c r="N42" s="11"/>
    </row>
    <row r="43" spans="1:14" ht="12.95" customHeight="1" x14ac:dyDescent="0.25">
      <c r="A43" s="45" t="s">
        <v>126</v>
      </c>
      <c r="B43" s="4" t="str">
        <f t="shared" si="0"/>
        <v>x</v>
      </c>
      <c r="C43" s="4"/>
      <c r="D43" s="6"/>
      <c r="F43" s="8"/>
      <c r="G43" s="19"/>
      <c r="H43" s="10"/>
      <c r="I43" s="21"/>
      <c r="J43" s="8" t="s">
        <v>127</v>
      </c>
      <c r="K43" s="19"/>
      <c r="L43" s="19"/>
      <c r="M43" s="19"/>
      <c r="N43" s="10"/>
    </row>
    <row r="44" spans="1:14" ht="12.95" customHeight="1" x14ac:dyDescent="0.25">
      <c r="A44" s="45" t="s">
        <v>101</v>
      </c>
      <c r="B44" s="4" t="str">
        <f t="shared" si="0"/>
        <v>x</v>
      </c>
      <c r="C44" s="3"/>
      <c r="D44" s="3"/>
      <c r="F44" s="9"/>
      <c r="G44" s="20"/>
      <c r="H44" s="11"/>
      <c r="I44" s="21"/>
      <c r="J44" s="9" t="s">
        <v>102</v>
      </c>
      <c r="K44" s="20"/>
      <c r="L44" s="20"/>
      <c r="M44" s="20"/>
      <c r="N44" s="11"/>
    </row>
    <row r="45" spans="1:14" ht="12.95" customHeight="1" x14ac:dyDescent="0.25">
      <c r="A45" s="45" t="s">
        <v>103</v>
      </c>
      <c r="B45" s="4" t="str">
        <f t="shared" si="0"/>
        <v>x</v>
      </c>
      <c r="C45" s="4"/>
      <c r="D45" s="4"/>
      <c r="F45" s="8"/>
      <c r="G45" s="19"/>
      <c r="H45" s="10"/>
      <c r="I45" s="21"/>
      <c r="J45" s="8" t="s">
        <v>104</v>
      </c>
      <c r="K45" s="19"/>
      <c r="L45" s="19"/>
      <c r="M45" s="19"/>
      <c r="N45" s="10"/>
    </row>
    <row r="46" spans="1:14" ht="12.95" customHeight="1" thickBot="1" x14ac:dyDescent="0.3">
      <c r="A46" s="45" t="s">
        <v>105</v>
      </c>
      <c r="B46" s="4" t="str">
        <f t="shared" si="0"/>
        <v>x</v>
      </c>
      <c r="C46" s="3"/>
      <c r="D46" s="6"/>
      <c r="F46" s="9"/>
      <c r="G46" s="20"/>
      <c r="H46" s="11"/>
      <c r="I46" s="21"/>
      <c r="J46" s="9" t="s">
        <v>128</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
        <v>108</v>
      </c>
      <c r="K49" s="19"/>
      <c r="L49" s="19"/>
      <c r="M49" s="19"/>
      <c r="N49" s="25"/>
    </row>
    <row r="50" spans="1:14" ht="14.1" customHeight="1" thickBot="1" x14ac:dyDescent="0.3">
      <c r="A50" s="46" t="s">
        <v>130</v>
      </c>
      <c r="B50" s="4" t="str">
        <f t="shared" si="1"/>
        <v>x</v>
      </c>
      <c r="C50" s="3"/>
      <c r="D50" s="3"/>
      <c r="F50" s="30"/>
      <c r="G50" s="31"/>
      <c r="H50" s="44"/>
      <c r="I50" s="21"/>
      <c r="J50" s="9" t="s">
        <v>110</v>
      </c>
      <c r="K50" s="20"/>
      <c r="L50" s="20"/>
      <c r="M50" s="20"/>
      <c r="N50" s="26"/>
    </row>
    <row r="51" spans="1:14" ht="12.95" customHeight="1" x14ac:dyDescent="0.25">
      <c r="A51" s="46" t="s">
        <v>131</v>
      </c>
      <c r="B51" s="4" t="str">
        <f t="shared" si="1"/>
        <v>x</v>
      </c>
      <c r="C51" s="4"/>
      <c r="D51" s="4"/>
      <c r="F51" s="8"/>
      <c r="G51" s="19"/>
      <c r="H51" s="10"/>
      <c r="I51" s="21"/>
      <c r="J51" s="8" t="s">
        <v>114</v>
      </c>
      <c r="K51" s="19"/>
      <c r="L51" s="19"/>
      <c r="M51" s="19"/>
      <c r="N51" s="25"/>
    </row>
    <row r="52" spans="1:14" ht="12.95" customHeight="1" x14ac:dyDescent="0.25">
      <c r="A52" s="46" t="s">
        <v>132</v>
      </c>
      <c r="B52" s="4" t="str">
        <f t="shared" si="1"/>
        <v>x</v>
      </c>
      <c r="C52" s="3"/>
      <c r="D52" s="3"/>
      <c r="F52" s="9"/>
      <c r="G52" s="20"/>
      <c r="H52" s="11"/>
      <c r="I52" s="21"/>
      <c r="J52" s="9" t="s">
        <v>133</v>
      </c>
      <c r="K52" s="20"/>
      <c r="L52" s="20"/>
      <c r="M52" s="20"/>
      <c r="N52" s="26"/>
    </row>
    <row r="53" spans="1:14" ht="12.95" customHeight="1" x14ac:dyDescent="0.25">
      <c r="A53" s="46" t="s">
        <v>134</v>
      </c>
      <c r="B53" s="4" t="str">
        <f t="shared" si="1"/>
        <v>x</v>
      </c>
      <c r="C53" s="4"/>
      <c r="D53" s="4"/>
      <c r="F53" s="8"/>
      <c r="G53" s="19"/>
      <c r="H53" s="10"/>
      <c r="I53" s="21"/>
      <c r="J53" s="8" t="s">
        <v>135</v>
      </c>
      <c r="K53" s="19"/>
      <c r="L53" s="19"/>
      <c r="M53" s="19"/>
      <c r="N53" s="25"/>
    </row>
    <row r="54" spans="1:14" ht="12.95" customHeight="1" x14ac:dyDescent="0.25">
      <c r="A54" s="46" t="s">
        <v>136</v>
      </c>
      <c r="B54" s="4" t="str">
        <f t="shared" si="1"/>
        <v>x</v>
      </c>
      <c r="C54" s="3"/>
      <c r="D54" s="3"/>
      <c r="F54" s="9"/>
      <c r="G54" s="20"/>
      <c r="H54" s="11"/>
      <c r="I54" s="21"/>
      <c r="J54" s="9" t="s">
        <v>137</v>
      </c>
      <c r="K54" s="20"/>
      <c r="L54" s="20"/>
      <c r="M54" s="20"/>
      <c r="N54" s="26"/>
    </row>
    <row r="55" spans="1:14" ht="12.95" customHeight="1" x14ac:dyDescent="0.25">
      <c r="A55" s="46" t="s">
        <v>138</v>
      </c>
      <c r="B55" s="4" t="str">
        <f t="shared" si="1"/>
        <v>x</v>
      </c>
      <c r="C55" s="4"/>
      <c r="D55" s="4"/>
      <c r="F55" s="8"/>
      <c r="G55" s="19"/>
      <c r="H55" s="10"/>
      <c r="I55" s="21"/>
      <c r="J55" s="8" t="s">
        <v>139</v>
      </c>
      <c r="K55" s="19"/>
      <c r="L55" s="19"/>
      <c r="M55" s="19"/>
      <c r="N55" s="25"/>
    </row>
    <row r="56" spans="1:14" ht="12.95" customHeight="1" x14ac:dyDescent="0.25">
      <c r="A56" s="46" t="s">
        <v>140</v>
      </c>
      <c r="B56" s="4" t="str">
        <f t="shared" si="1"/>
        <v>x</v>
      </c>
      <c r="C56" s="3"/>
      <c r="D56" s="3"/>
      <c r="F56" s="9"/>
      <c r="G56" s="20"/>
      <c r="H56" s="11"/>
      <c r="I56" s="21"/>
      <c r="J56" s="9" t="s">
        <v>141</v>
      </c>
      <c r="K56" s="20"/>
      <c r="L56" s="20"/>
      <c r="M56" s="20"/>
      <c r="N56" s="26"/>
    </row>
    <row r="57" spans="1:14" ht="12.95" customHeight="1" x14ac:dyDescent="0.25">
      <c r="A57" s="46" t="s">
        <v>142</v>
      </c>
      <c r="B57" s="4" t="str">
        <f t="shared" si="1"/>
        <v>x</v>
      </c>
      <c r="C57" s="4"/>
      <c r="D57" s="4"/>
      <c r="F57" s="8"/>
      <c r="G57" s="19"/>
      <c r="H57" s="10"/>
      <c r="I57" s="21"/>
      <c r="J57" s="8" t="s">
        <v>143</v>
      </c>
      <c r="K57" s="19"/>
      <c r="L57" s="19"/>
      <c r="M57" s="19"/>
      <c r="N57" s="25"/>
    </row>
    <row r="58" spans="1:14" ht="12.95" customHeight="1" x14ac:dyDescent="0.25">
      <c r="A58" s="46" t="s">
        <v>144</v>
      </c>
      <c r="B58" s="4" t="str">
        <f t="shared" si="1"/>
        <v>x</v>
      </c>
      <c r="C58" s="3"/>
      <c r="D58" s="3"/>
      <c r="F58" s="9"/>
      <c r="G58" s="20"/>
      <c r="H58" s="11"/>
      <c r="I58" s="21"/>
      <c r="J58" s="9" t="s">
        <v>145</v>
      </c>
      <c r="K58" s="20"/>
      <c r="L58" s="20"/>
      <c r="M58" s="20"/>
      <c r="N58" s="26"/>
    </row>
    <row r="59" spans="1:14" ht="12.95" customHeight="1" x14ac:dyDescent="0.25">
      <c r="A59" s="46" t="s">
        <v>146</v>
      </c>
      <c r="B59" s="4" t="str">
        <f t="shared" si="1"/>
        <v>x</v>
      </c>
      <c r="C59" s="4"/>
      <c r="D59" s="6"/>
      <c r="F59" s="8"/>
      <c r="G59" s="19"/>
      <c r="H59" s="10"/>
      <c r="I59" s="21"/>
      <c r="J59" s="8" t="s">
        <v>147</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
        <v>151</v>
      </c>
      <c r="K64" s="19"/>
      <c r="L64" s="19"/>
      <c r="M64" s="19"/>
      <c r="N64" s="25"/>
    </row>
    <row r="65" spans="1:14" ht="12.95" customHeight="1" x14ac:dyDescent="0.25">
      <c r="A65" s="24" t="s">
        <v>152</v>
      </c>
      <c r="B65" s="4" t="str">
        <f t="shared" si="2"/>
        <v>x</v>
      </c>
      <c r="C65" s="3"/>
      <c r="D65" s="3"/>
      <c r="E65" s="61"/>
      <c r="F65" s="9"/>
      <c r="G65" s="20"/>
      <c r="H65" s="20"/>
      <c r="I65" s="21"/>
      <c r="J65" s="9" t="s">
        <v>153</v>
      </c>
      <c r="K65" s="20"/>
      <c r="L65" s="20"/>
      <c r="M65" s="20"/>
      <c r="N65" s="26"/>
    </row>
    <row r="66" spans="1:14" ht="12.95" customHeight="1" x14ac:dyDescent="0.25">
      <c r="A66" s="24" t="s">
        <v>63</v>
      </c>
      <c r="B66" s="4" t="str">
        <f t="shared" si="2"/>
        <v>x</v>
      </c>
      <c r="C66" s="4"/>
      <c r="D66" s="4"/>
      <c r="E66" s="61"/>
      <c r="F66" s="8"/>
      <c r="G66" s="19"/>
      <c r="H66" s="19"/>
      <c r="I66" s="21"/>
      <c r="J66" s="8" t="s">
        <v>154</v>
      </c>
      <c r="K66" s="19"/>
      <c r="L66" s="19"/>
      <c r="M66" s="19"/>
      <c r="N66" s="25"/>
    </row>
    <row r="67" spans="1:14" ht="12.95" customHeight="1" x14ac:dyDescent="0.25">
      <c r="A67" s="24" t="s">
        <v>155</v>
      </c>
      <c r="B67" s="4" t="str">
        <f t="shared" si="2"/>
        <v>x</v>
      </c>
      <c r="C67" s="3"/>
      <c r="D67" s="3"/>
      <c r="E67" s="61"/>
      <c r="F67" s="9"/>
      <c r="G67" s="20"/>
      <c r="H67" s="20"/>
      <c r="I67" s="21"/>
      <c r="J67" s="9" t="s">
        <v>156</v>
      </c>
      <c r="K67" s="20"/>
      <c r="L67" s="20"/>
      <c r="M67" s="20"/>
      <c r="N67" s="26"/>
    </row>
    <row r="68" spans="1:14" ht="12.95" customHeight="1" x14ac:dyDescent="0.25">
      <c r="A68" s="24" t="s">
        <v>157</v>
      </c>
      <c r="B68" s="4" t="str">
        <f t="shared" si="2"/>
        <v>x</v>
      </c>
      <c r="C68" s="4"/>
      <c r="D68" s="4"/>
      <c r="E68" s="61"/>
      <c r="F68" s="8"/>
      <c r="G68" s="19"/>
      <c r="H68" s="19"/>
      <c r="I68" s="21"/>
      <c r="J68" s="8" t="s">
        <v>158</v>
      </c>
      <c r="K68" s="19"/>
      <c r="L68" s="19"/>
      <c r="M68" s="19"/>
      <c r="N68" s="25"/>
    </row>
    <row r="69" spans="1:14" ht="12.95" customHeight="1" x14ac:dyDescent="0.25">
      <c r="A69" s="24" t="s">
        <v>159</v>
      </c>
      <c r="B69" s="4" t="str">
        <f t="shared" si="2"/>
        <v>x</v>
      </c>
      <c r="C69" s="3"/>
      <c r="D69" s="6"/>
      <c r="E69" s="61"/>
      <c r="F69" s="9"/>
      <c r="G69" s="20"/>
      <c r="H69" s="20"/>
      <c r="I69" s="21"/>
      <c r="J69" s="9" t="s">
        <v>160</v>
      </c>
      <c r="K69" s="20"/>
      <c r="L69" s="20"/>
      <c r="M69" s="20"/>
      <c r="N69" s="26"/>
    </row>
    <row r="70" spans="1:14" ht="12.95" customHeight="1" x14ac:dyDescent="0.25">
      <c r="A70" s="24" t="s">
        <v>161</v>
      </c>
      <c r="B70" s="4" t="str">
        <f t="shared" si="2"/>
        <v>x</v>
      </c>
      <c r="C70" s="4"/>
      <c r="D70" s="6"/>
      <c r="E70" s="61"/>
      <c r="F70" s="8"/>
      <c r="G70" s="19"/>
      <c r="H70" s="19"/>
      <c r="I70" s="21"/>
      <c r="J70" s="8" t="s">
        <v>162</v>
      </c>
      <c r="K70" s="19"/>
      <c r="L70" s="19"/>
      <c r="M70" s="19"/>
      <c r="N70" s="25"/>
    </row>
    <row r="71" spans="1:14" ht="12.95" customHeight="1" x14ac:dyDescent="0.25">
      <c r="A71" s="24" t="s">
        <v>163</v>
      </c>
      <c r="B71" s="4" t="str">
        <f t="shared" si="2"/>
        <v>x</v>
      </c>
      <c r="C71" s="3"/>
      <c r="D71" s="3"/>
      <c r="E71" s="61"/>
      <c r="F71" s="9"/>
      <c r="G71" s="20"/>
      <c r="H71" s="20"/>
      <c r="I71" s="21"/>
      <c r="J71" s="9" t="s">
        <v>164</v>
      </c>
      <c r="K71" s="20"/>
      <c r="L71" s="20"/>
      <c r="M71" s="20"/>
      <c r="N71" s="26"/>
    </row>
    <row r="72" spans="1:14" ht="12.95" customHeight="1" x14ac:dyDescent="0.25">
      <c r="A72" s="24" t="s">
        <v>165</v>
      </c>
      <c r="B72" s="4" t="str">
        <f t="shared" si="2"/>
        <v>x</v>
      </c>
      <c r="C72" s="4"/>
      <c r="D72" s="4"/>
      <c r="E72" s="61"/>
      <c r="F72" s="8"/>
      <c r="G72" s="19"/>
      <c r="H72" s="19"/>
      <c r="I72" s="21"/>
      <c r="J72" s="8" t="s">
        <v>166</v>
      </c>
      <c r="K72" s="19"/>
      <c r="L72" s="19"/>
      <c r="M72" s="19"/>
      <c r="N72" s="25"/>
    </row>
    <row r="73" spans="1:14" ht="12.95" customHeight="1" x14ac:dyDescent="0.25">
      <c r="A73" s="24" t="s">
        <v>167</v>
      </c>
      <c r="B73" s="4" t="str">
        <f t="shared" si="2"/>
        <v>x</v>
      </c>
      <c r="C73" s="3"/>
      <c r="D73" s="3"/>
      <c r="E73" s="61"/>
      <c r="F73" s="9"/>
      <c r="G73" s="20"/>
      <c r="H73" s="20"/>
      <c r="I73" s="21"/>
      <c r="J73" s="9" t="s">
        <v>168</v>
      </c>
      <c r="K73" s="20"/>
      <c r="L73" s="20"/>
      <c r="M73" s="20"/>
      <c r="N73" s="26"/>
    </row>
    <row r="74" spans="1:14" ht="12.95" customHeight="1" x14ac:dyDescent="0.25">
      <c r="A74" s="24" t="s">
        <v>169</v>
      </c>
      <c r="B74" s="4" t="str">
        <f t="shared" si="2"/>
        <v>x</v>
      </c>
      <c r="C74" s="4"/>
      <c r="D74" s="4"/>
      <c r="E74" s="61"/>
      <c r="F74" s="8"/>
      <c r="G74" s="19"/>
      <c r="H74" s="19"/>
      <c r="I74" s="21"/>
      <c r="J74" s="8" t="s">
        <v>170</v>
      </c>
      <c r="K74" s="19"/>
      <c r="L74" s="19"/>
      <c r="M74" s="19"/>
      <c r="N74" s="25"/>
    </row>
    <row r="75" spans="1:14" ht="12.95" customHeight="1" x14ac:dyDescent="0.25">
      <c r="A75" s="24" t="s">
        <v>171</v>
      </c>
      <c r="B75" s="4" t="str">
        <f t="shared" si="2"/>
        <v>x</v>
      </c>
      <c r="C75" s="3"/>
      <c r="D75" s="3"/>
      <c r="E75" s="61"/>
      <c r="F75" s="9"/>
      <c r="G75" s="20"/>
      <c r="H75" s="20"/>
      <c r="I75" s="21"/>
      <c r="J75" s="9" t="s">
        <v>172</v>
      </c>
      <c r="K75" s="20"/>
      <c r="L75" s="20"/>
      <c r="M75" s="20"/>
      <c r="N75" s="26"/>
    </row>
    <row r="76" spans="1:14" ht="12.95" customHeight="1" x14ac:dyDescent="0.25">
      <c r="A76" s="24" t="s">
        <v>173</v>
      </c>
      <c r="B76" s="4" t="str">
        <f t="shared" si="2"/>
        <v>x</v>
      </c>
      <c r="C76" s="4"/>
      <c r="D76" s="6"/>
      <c r="E76" s="61"/>
      <c r="F76" s="8"/>
      <c r="G76" s="19"/>
      <c r="H76" s="19"/>
      <c r="I76" s="21"/>
      <c r="J76" s="8" t="s">
        <v>174</v>
      </c>
      <c r="K76" s="19"/>
      <c r="L76" s="19"/>
      <c r="M76" s="19"/>
      <c r="N76" s="25"/>
    </row>
    <row r="77" spans="1:14" ht="12.95" customHeight="1" x14ac:dyDescent="0.25">
      <c r="A77" s="24" t="s">
        <v>175</v>
      </c>
      <c r="B77" s="4" t="str">
        <f t="shared" si="2"/>
        <v>x</v>
      </c>
      <c r="C77" s="3"/>
      <c r="D77" s="3"/>
      <c r="E77" s="61"/>
      <c r="F77" s="9"/>
      <c r="G77" s="20"/>
      <c r="H77" s="20"/>
      <c r="I77" s="21"/>
      <c r="J77" s="9" t="s">
        <v>176</v>
      </c>
      <c r="K77" s="20"/>
      <c r="L77" s="20"/>
      <c r="M77" s="20"/>
      <c r="N77" s="26"/>
    </row>
    <row r="78" spans="1:14" ht="12.95" customHeight="1" x14ac:dyDescent="0.25">
      <c r="A78" s="24" t="s">
        <v>177</v>
      </c>
      <c r="B78" s="4" t="str">
        <f t="shared" si="2"/>
        <v>x</v>
      </c>
      <c r="C78" s="4"/>
      <c r="D78" s="4"/>
      <c r="E78" s="61"/>
      <c r="F78" s="8"/>
      <c r="G78" s="19"/>
      <c r="H78" s="19"/>
      <c r="I78" s="21"/>
      <c r="J78" s="8" t="s">
        <v>178</v>
      </c>
      <c r="K78" s="19"/>
      <c r="L78" s="19"/>
      <c r="M78" s="19"/>
      <c r="N78" s="25"/>
    </row>
    <row r="79" spans="1:14" ht="12.95" customHeight="1" x14ac:dyDescent="0.25">
      <c r="A79" s="24" t="s">
        <v>179</v>
      </c>
      <c r="B79" s="4" t="str">
        <f t="shared" si="2"/>
        <v>x</v>
      </c>
      <c r="C79" s="3"/>
      <c r="D79" s="3"/>
      <c r="E79" s="61"/>
      <c r="F79" s="9"/>
      <c r="G79" s="20"/>
      <c r="H79" s="20"/>
      <c r="I79" s="21"/>
      <c r="J79" s="9" t="s">
        <v>180</v>
      </c>
      <c r="K79" s="20"/>
      <c r="L79" s="20"/>
      <c r="M79" s="20"/>
      <c r="N79" s="26"/>
    </row>
    <row r="80" spans="1:14" ht="12.95" customHeight="1" x14ac:dyDescent="0.25">
      <c r="A80" s="24" t="s">
        <v>181</v>
      </c>
      <c r="B80" s="4" t="str">
        <f t="shared" si="2"/>
        <v>x</v>
      </c>
      <c r="C80" s="4"/>
      <c r="D80" s="4"/>
      <c r="E80" s="61"/>
      <c r="F80" s="8"/>
      <c r="G80" s="19"/>
      <c r="H80" s="19"/>
      <c r="I80" s="21"/>
      <c r="J80" s="8" t="s">
        <v>182</v>
      </c>
      <c r="K80" s="19"/>
      <c r="L80" s="19"/>
      <c r="M80" s="19"/>
      <c r="N80" s="25"/>
    </row>
    <row r="81" spans="1:14" ht="12.95" customHeight="1" x14ac:dyDescent="0.25">
      <c r="A81" s="24" t="s">
        <v>183</v>
      </c>
      <c r="B81" s="4" t="str">
        <f t="shared" si="2"/>
        <v>x</v>
      </c>
      <c r="C81" s="3"/>
      <c r="D81" s="3"/>
      <c r="E81" s="61"/>
      <c r="F81" s="9"/>
      <c r="G81" s="20"/>
      <c r="H81" s="20"/>
      <c r="I81" s="21"/>
      <c r="J81" s="9" t="s">
        <v>184</v>
      </c>
      <c r="K81" s="20"/>
      <c r="L81" s="20"/>
      <c r="M81" s="20"/>
      <c r="N81" s="26"/>
    </row>
    <row r="82" spans="1:14" ht="12.95" customHeight="1" x14ac:dyDescent="0.25">
      <c r="A82" s="24" t="s">
        <v>185</v>
      </c>
      <c r="B82" s="4" t="str">
        <f t="shared" si="2"/>
        <v>x</v>
      </c>
      <c r="C82" s="4"/>
      <c r="D82" s="4"/>
      <c r="E82" s="61"/>
      <c r="F82" s="8"/>
      <c r="G82" s="19"/>
      <c r="H82" s="19"/>
      <c r="I82" s="21"/>
      <c r="J82" s="8" t="s">
        <v>186</v>
      </c>
      <c r="K82" s="19"/>
      <c r="L82" s="19"/>
      <c r="M82" s="19"/>
      <c r="N82" s="25"/>
    </row>
    <row r="83" spans="1:14" ht="12.95" customHeight="1" x14ac:dyDescent="0.25">
      <c r="A83" s="24" t="s">
        <v>187</v>
      </c>
      <c r="B83" s="4" t="str">
        <f t="shared" si="2"/>
        <v>x</v>
      </c>
      <c r="C83" s="3"/>
      <c r="D83" s="3"/>
      <c r="E83" s="61"/>
      <c r="F83" s="9"/>
      <c r="G83" s="20"/>
      <c r="H83" s="20"/>
      <c r="I83" s="21"/>
      <c r="J83" s="9" t="s">
        <v>188</v>
      </c>
      <c r="K83" s="20"/>
      <c r="L83" s="20"/>
      <c r="M83" s="20"/>
      <c r="N83" s="26"/>
    </row>
    <row r="84" spans="1:14" ht="12.95" customHeight="1" x14ac:dyDescent="0.25">
      <c r="A84" s="24" t="s">
        <v>189</v>
      </c>
      <c r="B84" s="4" t="str">
        <f t="shared" si="2"/>
        <v>x</v>
      </c>
      <c r="C84" s="4"/>
      <c r="D84" s="4"/>
      <c r="E84" s="61"/>
      <c r="F84" s="8"/>
      <c r="G84" s="19"/>
      <c r="H84" s="19"/>
      <c r="I84" s="21"/>
      <c r="J84" s="8" t="s">
        <v>190</v>
      </c>
      <c r="K84" s="19"/>
      <c r="L84" s="19"/>
      <c r="M84" s="19"/>
      <c r="N84" s="25"/>
    </row>
    <row r="85" spans="1:14" ht="12.95" customHeight="1" x14ac:dyDescent="0.25">
      <c r="A85" s="24" t="s">
        <v>163</v>
      </c>
      <c r="B85" s="4" t="str">
        <f t="shared" si="2"/>
        <v>x</v>
      </c>
      <c r="C85" s="3"/>
      <c r="D85" s="3"/>
      <c r="E85" s="61"/>
      <c r="F85" s="9"/>
      <c r="G85" s="20"/>
      <c r="H85" s="20"/>
      <c r="I85" s="21"/>
      <c r="J85" s="9" t="s">
        <v>164</v>
      </c>
      <c r="K85" s="20"/>
      <c r="L85" s="20"/>
      <c r="M85" s="20"/>
      <c r="N85" s="26"/>
    </row>
    <row r="86" spans="1:14" ht="12.95" customHeight="1" x14ac:dyDescent="0.25">
      <c r="A86" s="24" t="s">
        <v>191</v>
      </c>
      <c r="B86" s="4" t="str">
        <f t="shared" si="2"/>
        <v>x</v>
      </c>
      <c r="C86" s="4"/>
      <c r="D86" s="4"/>
      <c r="E86" s="61"/>
      <c r="F86" s="8"/>
      <c r="G86" s="19"/>
      <c r="H86" s="19"/>
      <c r="I86" s="21"/>
      <c r="J86" s="8" t="s">
        <v>192</v>
      </c>
      <c r="K86" s="19"/>
      <c r="L86" s="19"/>
      <c r="M86" s="19"/>
      <c r="N86" s="25"/>
    </row>
    <row r="87" spans="1:14" ht="12.95" customHeight="1" x14ac:dyDescent="0.25">
      <c r="A87" s="24" t="s">
        <v>193</v>
      </c>
      <c r="B87" s="4" t="str">
        <f t="shared" si="2"/>
        <v>x</v>
      </c>
      <c r="C87" s="3"/>
      <c r="D87" s="3"/>
      <c r="E87" s="61"/>
      <c r="F87" s="9"/>
      <c r="G87" s="20"/>
      <c r="H87" s="20"/>
      <c r="I87" s="21"/>
      <c r="J87" s="9" t="s">
        <v>194</v>
      </c>
      <c r="K87" s="20"/>
      <c r="L87" s="20"/>
      <c r="M87" s="20"/>
      <c r="N87" s="26"/>
    </row>
    <row r="88" spans="1:14" ht="12.95" customHeight="1" x14ac:dyDescent="0.25">
      <c r="A88" s="24" t="s">
        <v>195</v>
      </c>
      <c r="B88" s="4" t="str">
        <f t="shared" si="2"/>
        <v>x</v>
      </c>
      <c r="C88" s="4"/>
      <c r="D88" s="4"/>
      <c r="E88" s="61"/>
      <c r="F88" s="8"/>
      <c r="G88" s="19"/>
      <c r="H88" s="19"/>
      <c r="I88" s="21"/>
      <c r="J88" s="8" t="s">
        <v>196</v>
      </c>
      <c r="K88" s="19"/>
      <c r="L88" s="19"/>
      <c r="M88" s="19"/>
      <c r="N88" s="25"/>
    </row>
    <row r="89" spans="1:14" ht="12.95" customHeight="1" x14ac:dyDescent="0.25">
      <c r="A89" s="24" t="s">
        <v>197</v>
      </c>
      <c r="B89" s="4" t="str">
        <f t="shared" si="2"/>
        <v>x</v>
      </c>
      <c r="C89" s="3"/>
      <c r="D89" s="3"/>
      <c r="E89" s="61"/>
      <c r="F89" s="9"/>
      <c r="G89" s="20"/>
      <c r="H89" s="11"/>
      <c r="I89" s="21"/>
      <c r="J89" s="9" t="s">
        <v>198</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
        <v>202</v>
      </c>
      <c r="K94" s="38"/>
      <c r="L94" s="38"/>
      <c r="M94" s="38"/>
      <c r="N94" s="39"/>
    </row>
    <row r="95" spans="1:14" ht="14.1" customHeight="1" x14ac:dyDescent="0.25">
      <c r="A95" s="24" t="s">
        <v>203</v>
      </c>
      <c r="B95" s="4" t="str">
        <f t="shared" si="3"/>
        <v>x</v>
      </c>
      <c r="C95" s="3"/>
      <c r="D95" s="3"/>
      <c r="F95" s="9"/>
      <c r="G95" s="20"/>
      <c r="H95" s="20"/>
      <c r="I95" s="21"/>
      <c r="J95" s="9" t="s">
        <v>204</v>
      </c>
      <c r="K95" s="20"/>
      <c r="L95" s="20"/>
      <c r="M95" s="20"/>
      <c r="N95" s="26"/>
    </row>
    <row r="96" spans="1:14" ht="14.1" customHeight="1" x14ac:dyDescent="0.25">
      <c r="A96" s="24" t="s">
        <v>205</v>
      </c>
      <c r="B96" s="4" t="str">
        <f t="shared" si="3"/>
        <v>x</v>
      </c>
      <c r="C96" s="4"/>
      <c r="D96" s="4"/>
      <c r="F96" s="8"/>
      <c r="G96" s="19"/>
      <c r="H96" s="19"/>
      <c r="I96" s="21"/>
      <c r="J96" s="8" t="s">
        <v>206</v>
      </c>
      <c r="K96" s="19"/>
      <c r="L96" s="19"/>
      <c r="M96" s="19"/>
      <c r="N96" s="25"/>
    </row>
    <row r="97" spans="1:14" ht="14.1" customHeight="1" x14ac:dyDescent="0.25">
      <c r="A97" s="24" t="s">
        <v>207</v>
      </c>
      <c r="B97" s="4" t="str">
        <f t="shared" si="3"/>
        <v>x</v>
      </c>
      <c r="C97" s="3"/>
      <c r="D97" s="6"/>
      <c r="F97" s="9"/>
      <c r="G97" s="20"/>
      <c r="H97" s="20"/>
      <c r="I97" s="21"/>
      <c r="J97" s="9" t="s">
        <v>208</v>
      </c>
      <c r="K97" s="20"/>
      <c r="L97" s="20"/>
      <c r="M97" s="20"/>
      <c r="N97" s="26"/>
    </row>
    <row r="98" spans="1:14" ht="14.1" customHeight="1" x14ac:dyDescent="0.25">
      <c r="A98" s="24" t="s">
        <v>134</v>
      </c>
      <c r="B98" s="4" t="str">
        <f t="shared" si="3"/>
        <v>x</v>
      </c>
      <c r="C98" s="4"/>
      <c r="D98" s="4"/>
      <c r="F98" s="8"/>
      <c r="G98" s="19"/>
      <c r="H98" s="19"/>
      <c r="I98" s="21"/>
      <c r="J98" s="8" t="s">
        <v>209</v>
      </c>
      <c r="K98" s="19"/>
      <c r="L98" s="19"/>
      <c r="M98" s="19"/>
      <c r="N98" s="25"/>
    </row>
    <row r="99" spans="1:14" ht="14.1" customHeight="1" x14ac:dyDescent="0.25">
      <c r="A99" s="24" t="s">
        <v>210</v>
      </c>
      <c r="B99" s="4" t="str">
        <f t="shared" si="3"/>
        <v>x</v>
      </c>
      <c r="C99" s="3"/>
      <c r="D99" s="6"/>
      <c r="F99" s="9"/>
      <c r="G99" s="20"/>
      <c r="H99" s="20"/>
      <c r="I99" s="21"/>
      <c r="J99" s="9" t="s">
        <v>211</v>
      </c>
      <c r="K99" s="20"/>
      <c r="L99" s="20"/>
      <c r="M99" s="20"/>
      <c r="N99" s="26"/>
    </row>
    <row r="100" spans="1:14" ht="14.1" customHeight="1" x14ac:dyDescent="0.25">
      <c r="A100" s="24" t="s">
        <v>212</v>
      </c>
      <c r="B100" s="4" t="str">
        <f t="shared" si="3"/>
        <v>x</v>
      </c>
      <c r="C100" s="4"/>
      <c r="D100" s="4"/>
      <c r="F100" s="8"/>
      <c r="G100" s="19"/>
      <c r="H100" s="19"/>
      <c r="I100" s="21"/>
      <c r="J100" s="8" t="s">
        <v>213</v>
      </c>
      <c r="K100" s="19"/>
      <c r="L100" s="19"/>
      <c r="M100" s="19"/>
      <c r="N100" s="25"/>
    </row>
    <row r="101" spans="1:14" ht="14.1" customHeight="1" x14ac:dyDescent="0.25">
      <c r="A101" s="24" t="s">
        <v>214</v>
      </c>
      <c r="B101" s="4" t="str">
        <f t="shared" si="3"/>
        <v>x</v>
      </c>
      <c r="C101" s="4"/>
      <c r="D101" s="4"/>
      <c r="F101" s="8"/>
      <c r="G101" s="19"/>
      <c r="H101" s="19"/>
      <c r="I101" s="21"/>
      <c r="J101" s="8" t="s">
        <v>215</v>
      </c>
      <c r="K101" s="19"/>
      <c r="L101" s="19"/>
      <c r="M101" s="19"/>
      <c r="N101" s="25"/>
    </row>
    <row r="102" spans="1:14" ht="14.1" customHeight="1" x14ac:dyDescent="0.25">
      <c r="A102" s="24" t="s">
        <v>216</v>
      </c>
      <c r="B102" s="4" t="str">
        <f t="shared" si="3"/>
        <v>x</v>
      </c>
      <c r="C102" s="3"/>
      <c r="D102" s="3"/>
      <c r="F102" s="9"/>
      <c r="G102" s="20"/>
      <c r="H102" s="20"/>
      <c r="I102" s="21"/>
      <c r="J102" s="9" t="s">
        <v>217</v>
      </c>
      <c r="K102" s="20"/>
      <c r="L102" s="20"/>
      <c r="M102" s="20"/>
      <c r="N102" s="26"/>
    </row>
    <row r="103" spans="1:14" ht="14.1" customHeight="1" x14ac:dyDescent="0.25">
      <c r="A103" s="24" t="s">
        <v>218</v>
      </c>
      <c r="B103" s="4" t="str">
        <f t="shared" si="3"/>
        <v>x</v>
      </c>
      <c r="C103" s="4"/>
      <c r="D103" s="4"/>
      <c r="F103" s="8"/>
      <c r="G103" s="19"/>
      <c r="H103" s="19"/>
      <c r="I103" s="21"/>
      <c r="J103" s="8" t="s">
        <v>219</v>
      </c>
      <c r="K103" s="19"/>
      <c r="L103" s="19"/>
      <c r="M103" s="19"/>
      <c r="N103" s="25"/>
    </row>
    <row r="104" spans="1:14" ht="14.1" customHeight="1" x14ac:dyDescent="0.25">
      <c r="A104" s="24" t="s">
        <v>220</v>
      </c>
      <c r="B104" s="4" t="str">
        <f t="shared" si="3"/>
        <v>x</v>
      </c>
      <c r="C104" s="4"/>
      <c r="D104" s="4"/>
      <c r="F104" s="8"/>
      <c r="G104" s="19"/>
      <c r="H104" s="19"/>
      <c r="I104" s="21"/>
      <c r="J104" s="8" t="s">
        <v>221</v>
      </c>
      <c r="K104" s="19"/>
      <c r="L104" s="19"/>
      <c r="M104" s="19"/>
      <c r="N104" s="25"/>
    </row>
    <row r="105" spans="1:14" ht="14.1" customHeight="1" x14ac:dyDescent="0.25">
      <c r="A105" s="24" t="s">
        <v>222</v>
      </c>
      <c r="B105" s="4" t="str">
        <f t="shared" si="3"/>
        <v>x</v>
      </c>
      <c r="C105" s="3"/>
      <c r="D105" s="6"/>
      <c r="F105" s="9"/>
      <c r="G105" s="20"/>
      <c r="H105" s="20"/>
      <c r="I105" s="21"/>
      <c r="J105" s="9" t="s">
        <v>223</v>
      </c>
      <c r="K105" s="20"/>
      <c r="L105" s="20"/>
      <c r="M105" s="20"/>
      <c r="N105" s="26"/>
    </row>
    <row r="106" spans="1:14" ht="14.1" customHeight="1" x14ac:dyDescent="0.25">
      <c r="A106" s="24" t="s">
        <v>224</v>
      </c>
      <c r="B106" s="4" t="str">
        <f t="shared" si="3"/>
        <v>x</v>
      </c>
      <c r="C106" s="4"/>
      <c r="D106" s="4"/>
      <c r="F106" s="8"/>
      <c r="G106" s="19"/>
      <c r="H106" s="19"/>
      <c r="I106" s="21"/>
      <c r="J106" s="8" t="s">
        <v>225</v>
      </c>
      <c r="K106" s="19"/>
      <c r="L106" s="19"/>
      <c r="M106" s="19"/>
      <c r="N106" s="25"/>
    </row>
    <row r="107" spans="1:14" ht="14.1" customHeight="1" x14ac:dyDescent="0.25">
      <c r="A107" s="24" t="s">
        <v>226</v>
      </c>
      <c r="B107" s="4" t="str">
        <f t="shared" si="3"/>
        <v>x</v>
      </c>
      <c r="C107" s="3"/>
      <c r="D107" s="3"/>
      <c r="F107" s="9"/>
      <c r="G107" s="20"/>
      <c r="H107" s="20"/>
      <c r="I107" s="21"/>
      <c r="J107" s="9" t="s">
        <v>227</v>
      </c>
      <c r="K107" s="20"/>
      <c r="L107" s="20"/>
      <c r="M107" s="20"/>
      <c r="N107" s="26"/>
    </row>
    <row r="108" spans="1:14" ht="14.1" customHeight="1" x14ac:dyDescent="0.25">
      <c r="A108" s="24" t="s">
        <v>228</v>
      </c>
      <c r="B108" s="4" t="str">
        <f t="shared" si="3"/>
        <v>x</v>
      </c>
      <c r="C108" s="4"/>
      <c r="D108" s="4"/>
      <c r="F108" s="8"/>
      <c r="G108" s="19"/>
      <c r="H108" s="19"/>
      <c r="I108" s="21"/>
      <c r="J108" s="8" t="s">
        <v>227</v>
      </c>
      <c r="K108" s="19"/>
      <c r="L108" s="19"/>
      <c r="M108" s="19"/>
      <c r="N108" s="25"/>
    </row>
    <row r="109" spans="1:14" ht="14.1" customHeight="1" x14ac:dyDescent="0.25">
      <c r="A109" s="24" t="s">
        <v>229</v>
      </c>
      <c r="B109" s="4" t="str">
        <f t="shared" si="3"/>
        <v>x</v>
      </c>
      <c r="C109" s="3"/>
      <c r="D109" s="3"/>
      <c r="F109" s="9"/>
      <c r="G109" s="20"/>
      <c r="H109" s="20"/>
      <c r="I109" s="21"/>
      <c r="J109" s="9" t="s">
        <v>227</v>
      </c>
      <c r="K109" s="20"/>
      <c r="L109" s="20"/>
      <c r="M109" s="20"/>
      <c r="N109" s="26"/>
    </row>
    <row r="110" spans="1:14" ht="14.1" customHeight="1" x14ac:dyDescent="0.25">
      <c r="A110" s="24" t="s">
        <v>230</v>
      </c>
      <c r="B110" s="4" t="str">
        <f t="shared" si="3"/>
        <v>x</v>
      </c>
      <c r="C110" s="4"/>
      <c r="D110" s="4"/>
      <c r="F110" s="8"/>
      <c r="G110" s="19"/>
      <c r="H110" s="19"/>
      <c r="I110" s="21"/>
      <c r="J110" s="8" t="s">
        <v>231</v>
      </c>
      <c r="K110" s="19"/>
      <c r="L110" s="19"/>
      <c r="M110" s="19"/>
      <c r="N110" s="25"/>
    </row>
    <row r="111" spans="1:14" ht="14.1" customHeight="1" x14ac:dyDescent="0.25">
      <c r="A111" s="24" t="s">
        <v>232</v>
      </c>
      <c r="B111" s="4" t="str">
        <f t="shared" si="3"/>
        <v>x</v>
      </c>
      <c r="C111" s="3"/>
      <c r="D111" s="3"/>
      <c r="F111" s="9"/>
      <c r="G111" s="20"/>
      <c r="H111" s="20"/>
      <c r="I111" s="21"/>
      <c r="J111" s="9" t="s">
        <v>233</v>
      </c>
      <c r="K111" s="20"/>
      <c r="L111" s="20"/>
      <c r="M111" s="20"/>
      <c r="N111" s="26"/>
    </row>
    <row r="112" spans="1:14" ht="14.1" customHeight="1" x14ac:dyDescent="0.25">
      <c r="A112" s="24" t="s">
        <v>234</v>
      </c>
      <c r="B112" s="4" t="str">
        <f t="shared" si="3"/>
        <v>x</v>
      </c>
      <c r="C112" s="4"/>
      <c r="D112" s="4"/>
      <c r="F112" s="8"/>
      <c r="G112" s="19"/>
      <c r="H112" s="19"/>
      <c r="I112" s="21"/>
      <c r="J112" s="8" t="s">
        <v>235</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xH5Gg6quNZmJL5JwKM8J17T10MNiLpNvGvq9FzHy2Jo2a3xRP181MmD6/xHFsx1ohAKWPtb7PjVx3b06U316qA==" saltValue="3EY32Apt/rAFAG/o/WNjbA==" spinCount="100000" sheet="1" objects="1" scenarios="1"/>
  <protectedRanges>
    <protectedRange algorithmName="SHA-512" hashValue="5gK5Jyjg5s+XcZON8m6KLYkHr95x/ANKFJXWmT2nM6G7W5BFZT1qVZPw+QWJhBnoMla2yKd7mtcEt43x2ZWepw==" saltValue="gDAFKpVksFdJFIZL8PAa6w==" spinCount="100000" sqref="C5:F5" name="Inspectedby"/>
    <protectedRange algorithmName="SHA-512" hashValue="q9X8sjQ+H7VbcOeyhIaXH4GTRtPZIMKeNdG380OtlROVbI8tuxLMYKvfPp0qZAwwpU3aDF97nKEu21CqhkkAhA==" saltValue="zoiu1OjhhlUycim1ikOZVg==" spinCount="100000" sqref="C5" name="InspectressName"/>
    <protectedRange algorithmName="SHA-512" hashValue="O2AKEiPm9hl7IZ6tpbjIRkZSOGgws3mCZe52DaA9t/jl0nnXSucMWmkeA5gPT8l+P4fOGdY0POQ4oTEYEbedaw==" saltValue="l0sKH+/ut729X1+z1Tqy7g==" spinCount="100000" sqref="C94:H112" name="pg4"/>
    <protectedRange algorithmName="SHA-512" hashValue="U3Ir5lqQk+aH9iI+zvNriyTHzp1DEiza//x3T5/3ICIFIHXg7K8MI9/xadf6rNh3+rwXX7uE2E3vNYx8bJ8TKg==" saltValue="w1OZq0DC+ZC59/8knh8qMw==" spinCount="100000" sqref="C64:H89" name="pg3"/>
    <protectedRange algorithmName="SHA-512" hashValue="kN/ulZwD5gsq6hF89XRH4+ziGB9kI9vCXEiw1bYTT/SzgPpK/GENmUB80wCBOiGhJoYHFYJYhW+ZRMaZf0Bfvw==" saltValue="3iUo2KuG3X/Zk61bX0L7dg==" spinCount="100000" sqref="C49:H59" name="Pg2"/>
    <protectedRange algorithmName="SHA-512" hashValue="haEQ+EzPJhE4hBr07Zb+ghM8MsDaZhKrUWnuczqExcplBVvlqRI2azgqKhB3MmGh/7V8Iyz7YOTJOgKysacR3g==" saltValue="K+IEjCoodbRDhimWU8o98g==" spinCount="100000" sqref="C9:H46" name="InspectionResults"/>
    <protectedRange algorithmName="SHA-512" hashValue="s2coHfixAFSd/BofzQOxKNGWg7KLgM+evjWQ4odd8C8wKi1piKPyOfpgF+eFB9MLJ9Myd0wZCwXLgxLz798X6g==" saltValue="Y3pqRnNQlK/4JtG4fso+wg==" spinCount="100000" sqref="B3:H3" name="HeaderInfo"/>
    <protectedRange algorithmName="SHA-512" hashValue="15bfE5BxZszTpB2hJlLEK6AIBT46fBIWkFdui2DWWstKpJfuCyWtbOfEINVhKXRhJEXDcePAWNGCNINVOFywCQ==" saltValue="XMEe1KUh/V2laNKRE3ITbg==" spinCount="100000" sqref="A117" name="Comments"/>
    <protectedRange algorithmName="SHA-512" hashValue="24tkVO45P1KYN599EvzuzrlWfUBsy8CXvR3Zhee6MlxMfN/35Bjqiy7PKKuz8eprr8Yws/F1PDWHzo26aQXang==" saltValue="CJwWhY3+DgkH66t+RfKj8A==" spinCount="100000" sqref="J9:N46" name="LookingFor1"/>
    <protectedRange algorithmName="SHA-512" hashValue="lWvMpxzRVzbWZNihKfwhXBISL6wuqJEsNK0ThuVr5ehxCDrFrVZhWSeTDoNiebu9BfgB9Xwd/2kGX3kGY+zjWA==" saltValue="gDoyxAsEU66NmWbOS6od/Q==" spinCount="100000" sqref="J49:N59" name="Lookingfor2"/>
    <protectedRange algorithmName="SHA-512" hashValue="staWyGF2Lf+ceRg2a7Vn7WkHUHagm1ztmnqgpaU2OuL9MQlhTD+ZS7IsaC0dn3q555AxZQz81iBKdrdT/bdTAQ==" saltValue="zuRwx/1x95fxl0L1nBKd+Q==" spinCount="100000" sqref="J64:N89" name="Lookingfor3"/>
    <protectedRange algorithmName="SHA-512" hashValue="xmWYkCkB9mIFbDyjTqxrNjK+hSy3iTV5zewKtzKrOshv3y/iAbEzJ0TE1Usp+34wYCOPneDQEXfeN/WuIOQdkQ==" saltValue="+QH4uogQyRmt2yGSZEdoYA==" spinCount="100000" sqref="J94:J112" name="lookingfor4"/>
  </protectedRanges>
  <mergeCells count="16">
    <mergeCell ref="B3:C3"/>
    <mergeCell ref="C1:J2"/>
    <mergeCell ref="A117:N132"/>
    <mergeCell ref="A5:B5"/>
    <mergeCell ref="C5:F5"/>
    <mergeCell ref="J63:N63"/>
    <mergeCell ref="A62:N62"/>
    <mergeCell ref="A47:N47"/>
    <mergeCell ref="A6:N7"/>
    <mergeCell ref="F63:H63"/>
    <mergeCell ref="A116:N116"/>
    <mergeCell ref="F48:H48"/>
    <mergeCell ref="J48:N48"/>
    <mergeCell ref="F8:H8"/>
    <mergeCell ref="J8:N8"/>
    <mergeCell ref="A93:N93"/>
  </mergeCells>
  <conditionalFormatting sqref="B9:B46">
    <cfRule type="cellIs" dxfId="63" priority="4" operator="equal">
      <formula>0</formula>
    </cfRule>
  </conditionalFormatting>
  <conditionalFormatting sqref="B49:B59">
    <cfRule type="cellIs" dxfId="62" priority="3" operator="equal">
      <formula>0</formula>
    </cfRule>
  </conditionalFormatting>
  <conditionalFormatting sqref="B64:B89">
    <cfRule type="cellIs" dxfId="61" priority="2" operator="equal">
      <formula>0</formula>
    </cfRule>
  </conditionalFormatting>
  <conditionalFormatting sqref="B94:B112">
    <cfRule type="cellIs" dxfId="60" priority="1" operator="equal">
      <formula>0</formula>
    </cfRule>
  </conditionalFormatting>
  <pageMargins left="0.5" right="0.2" top="0.25" bottom="0.25" header="0" footer="0"/>
  <pageSetup scale="94" orientation="landscape" r:id="rId1"/>
  <rowBreaks count="1" manualBreakCount="1">
    <brk id="46"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2DA6CCE-1427-4B97-862E-D692FA2BA76B}">
          <x14:formula1>
            <xm:f>'Monthly Report'!$B$8:$B$10</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5AEE-FBCF-426D-BF9E-068A29A1006E}">
  <dimension ref="A1:N132"/>
  <sheetViews>
    <sheetView topLeftCell="A126" zoomScale="145" zoomScaleNormal="145" workbookViewId="0">
      <selection activeCell="H3" sqref="H3"/>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46163</v>
      </c>
      <c r="C3" s="106"/>
      <c r="D3" s="12"/>
      <c r="E3" s="12"/>
      <c r="F3" s="14" t="s">
        <v>52</v>
      </c>
      <c r="G3" s="14"/>
      <c r="H3" s="57">
        <v>313</v>
      </c>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izr1HaaD7Q1rS/9uMZuoKzX9v2hsXCrPOJR2/Pbp5qgoeS+V9MbvLYG09yDDj9U0/PP0N7Kpyf2Ori5UHHZCqA==" saltValue="v8+NENNQJKa2Ir6OGOQeYQ==" spinCount="100000" sheet="1" objects="1" scenarios="1"/>
  <protectedRanges>
    <protectedRange algorithmName="SHA-512" hashValue="q9X8sjQ+H7VbcOeyhIaXH4GTRtPZIMKeNdG380OtlROVbI8tuxLMYKvfPp0qZAwwpU3aDF97nKEu21CqhkkAhA==" saltValue="zoiu1OjhhlUycim1ikOZVg==" spinCount="100000" sqref="C5:F5" name="InspectressName"/>
    <protectedRange algorithmName="SHA-512" hashValue="O2AKEiPm9hl7IZ6tpbjIRkZSOGgws3mCZe52DaA9t/jl0nnXSucMWmkeA5gPT8l+P4fOGdY0POQ4oTEYEbedaw==" saltValue="l0sKH+/ut729X1+z1Tqy7g==" spinCount="100000" sqref="C94:H112" name="pg4"/>
    <protectedRange algorithmName="SHA-512" hashValue="U3Ir5lqQk+aH9iI+zvNriyTHzp1DEiza//x3T5/3ICIFIHXg7K8MI9/xadf6rNh3+rwXX7uE2E3vNYx8bJ8TKg==" saltValue="w1OZq0DC+ZC59/8knh8qMw==" spinCount="100000" sqref="C64:H89" name="pg3"/>
    <protectedRange algorithmName="SHA-512" hashValue="kN/ulZwD5gsq6hF89XRH4+ziGB9kI9vCXEiw1bYTT/SzgPpK/GENmUB80wCBOiGhJoYHFYJYhW+ZRMaZf0Bfvw==" saltValue="3iUo2KuG3X/Zk61bX0L7dg==" spinCount="100000" sqref="C49:H59" name="Pg2"/>
    <protectedRange algorithmName="SHA-512" hashValue="haEQ+EzPJhE4hBr07Zb+ghM8MsDaZhKrUWnuczqExcplBVvlqRI2azgqKhB3MmGh/7V8Iyz7YOTJOgKysacR3g==" saltValue="K+IEjCoodbRDhimWU8o98g==" spinCount="100000" sqref="C9:H46" name="InspectionResults"/>
    <protectedRange algorithmName="SHA-512" hashValue="s2coHfixAFSd/BofzQOxKNGWg7KLgM+evjWQ4odd8C8wKi1piKPyOfpgF+eFB9MLJ9Myd0wZCwXLgxLz798X6g==" saltValue="Y3pqRnNQlK/4JtG4fso+wg==" spinCount="100000" sqref="B3:H3" name="HeaderInfo"/>
    <protectedRange algorithmName="SHA-512" hashValue="15bfE5BxZszTpB2hJlLEK6AIBT46fBIWkFdui2DWWstKpJfuCyWtbOfEINVhKXRhJEXDcePAWNGCNINVOFywCQ==" saltValue="XMEe1KUh/V2laNKRE3ITbg==" spinCount="100000" sqref="A117" name="Comments"/>
  </protectedRanges>
  <mergeCells count="16">
    <mergeCell ref="A93:N93"/>
    <mergeCell ref="A116:N116"/>
    <mergeCell ref="A117:N132"/>
    <mergeCell ref="A47:N47"/>
    <mergeCell ref="F48:H48"/>
    <mergeCell ref="J48:N48"/>
    <mergeCell ref="A62:N62"/>
    <mergeCell ref="F63:H63"/>
    <mergeCell ref="J63:N63"/>
    <mergeCell ref="F8:H8"/>
    <mergeCell ref="J8:N8"/>
    <mergeCell ref="C1:J2"/>
    <mergeCell ref="B3:C3"/>
    <mergeCell ref="A5:B5"/>
    <mergeCell ref="C5:F5"/>
    <mergeCell ref="A6:N7"/>
  </mergeCells>
  <conditionalFormatting sqref="B9:B46">
    <cfRule type="cellIs" dxfId="59" priority="4" operator="equal">
      <formula>0</formula>
    </cfRule>
  </conditionalFormatting>
  <conditionalFormatting sqref="B49:B59">
    <cfRule type="cellIs" dxfId="58" priority="3" operator="equal">
      <formula>0</formula>
    </cfRule>
  </conditionalFormatting>
  <conditionalFormatting sqref="B64:B89">
    <cfRule type="cellIs" dxfId="57" priority="2" operator="equal">
      <formula>0</formula>
    </cfRule>
  </conditionalFormatting>
  <conditionalFormatting sqref="B94:B112">
    <cfRule type="cellIs" dxfId="56" priority="1" operator="equal">
      <formula>0</formula>
    </cfRule>
  </conditionalFormatting>
  <pageMargins left="0.5" right="0.2" top="0.25" bottom="0.25" header="0" footer="0"/>
  <pageSetup scale="94" orientation="landscape" r:id="rId1"/>
  <rowBreaks count="1" manualBreakCount="1">
    <brk id="46"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A69E31-78CC-4A30-AA6C-049CF77F5EAD}">
          <x14:formula1>
            <xm:f>'Monthly Report'!$B$8:$B$10</xm:f>
          </x14:formula1>
          <xm:sqref>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84B4-8C19-42D7-9131-8CD6B6139C2D}">
  <dimension ref="A1:N132"/>
  <sheetViews>
    <sheetView topLeftCell="A47" zoomScaleNormal="100" workbookViewId="0">
      <selection activeCell="C70" sqref="C70"/>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46163</v>
      </c>
      <c r="C3" s="106"/>
      <c r="D3" s="12"/>
      <c r="E3" s="12"/>
      <c r="F3" s="14" t="s">
        <v>52</v>
      </c>
      <c r="G3" s="14"/>
      <c r="H3" s="57">
        <v>103</v>
      </c>
      <c r="I3" s="12"/>
      <c r="J3" s="13" t="s">
        <v>53</v>
      </c>
      <c r="K3" s="43">
        <f>+C60+D60+C90+D90</f>
        <v>1</v>
      </c>
      <c r="L3" s="51">
        <f>+(B60+B90)/75</f>
        <v>0.98666666666666669</v>
      </c>
      <c r="M3" s="51">
        <f>+(C60+C90)/75</f>
        <v>1.3333333333333334E-2</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f t="shared" si="2"/>
        <v>0</v>
      </c>
      <c r="C70" s="4" t="s">
        <v>241</v>
      </c>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25</v>
      </c>
      <c r="C90" s="35">
        <f>COUNTIF(C64:C89,"x")</f>
        <v>1</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RJVf+900c8uhMCbgH3Pd/0i6b425EI9MsBReIQVP7UTB8GpLpengya5fJH61eM695ZqcninntSAZ6PwAi6ntTw==" saltValue="MlZdCNGb2mEyKDolDZJvpg=="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55" priority="4" operator="equal">
      <formula>0</formula>
    </cfRule>
  </conditionalFormatting>
  <conditionalFormatting sqref="B49:B59">
    <cfRule type="cellIs" dxfId="54" priority="3" operator="equal">
      <formula>0</formula>
    </cfRule>
  </conditionalFormatting>
  <conditionalFormatting sqref="B64:B89">
    <cfRule type="cellIs" dxfId="53" priority="2" operator="equal">
      <formula>0</formula>
    </cfRule>
  </conditionalFormatting>
  <conditionalFormatting sqref="B94:B112">
    <cfRule type="cellIs" dxfId="52" priority="1" operator="equal">
      <formula>0</formula>
    </cfRule>
  </conditionalFormatting>
  <pageMargins left="0.5" right="0.2" top="0.2" bottom="0.2" header="0" footer="0"/>
  <pageSetup scale="90" orientation="landscape" r:id="rId1"/>
  <rowBreaks count="2" manualBreakCount="2">
    <brk id="46" max="16383" man="1"/>
    <brk id="91"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01626E8-BF4C-4231-AECB-F0C1FB7452E1}">
          <x14:formula1>
            <xm:f>'Monthly Report'!$B$8:$B$10</xm:f>
          </x14:formula1>
          <xm:sqref>C5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94C4-7C12-4D56-8D00-CB5F84E13A0D}">
  <dimension ref="A1:N132"/>
  <sheetViews>
    <sheetView topLeftCell="A42" zoomScaleNormal="100" workbookViewId="0">
      <selection activeCell="C5" sqref="C5:F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46163</v>
      </c>
      <c r="C3" s="106"/>
      <c r="D3" s="12"/>
      <c r="E3" s="12"/>
      <c r="F3" s="14" t="s">
        <v>52</v>
      </c>
      <c r="G3" s="14"/>
      <c r="H3" s="57">
        <v>408</v>
      </c>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mydzFYaPjgWb+Lc3ejFXgq5RSxzL9qP8tHlWGDjPLYYCqr/QMivIwIW0lFPZSgG/3FRHuN1wdkSWAwuk23pxcg==" saltValue="1JUVwRL/Oh3Kn065WiqRxQ=="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51" priority="4" operator="equal">
      <formula>0</formula>
    </cfRule>
  </conditionalFormatting>
  <conditionalFormatting sqref="B49:B59">
    <cfRule type="cellIs" dxfId="50" priority="3" operator="equal">
      <formula>0</formula>
    </cfRule>
  </conditionalFormatting>
  <conditionalFormatting sqref="B64:B89">
    <cfRule type="cellIs" dxfId="49" priority="2" operator="equal">
      <formula>0</formula>
    </cfRule>
  </conditionalFormatting>
  <conditionalFormatting sqref="B94:B112">
    <cfRule type="cellIs" dxfId="48" priority="1" operator="equal">
      <formula>0</formula>
    </cfRule>
  </conditionalFormatting>
  <pageMargins left="0.5" right="0.2" top="0.2" bottom="0.2" header="0" footer="0"/>
  <pageSetup scale="90" orientation="landscape" r:id="rId1"/>
  <rowBreaks count="2" manualBreakCount="2">
    <brk id="46" max="16383" man="1"/>
    <brk id="91"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62EC4F7-93DB-4DE8-B5BE-2B78D6652A2D}">
          <x14:formula1>
            <xm:f>'Monthly Report'!$B$8:$B$10</xm:f>
          </x14:formula1>
          <xm:sqref>C5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03826-FA2F-447E-ABB5-10F631931C4C}">
  <dimension ref="A1:N132"/>
  <sheetViews>
    <sheetView topLeftCell="A79" zoomScaleNormal="100" workbookViewId="0">
      <selection activeCell="H3" sqref="H3"/>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46163</v>
      </c>
      <c r="C3" s="106"/>
      <c r="D3" s="12"/>
      <c r="E3" s="12"/>
      <c r="F3" s="14" t="s">
        <v>52</v>
      </c>
      <c r="G3" s="14"/>
      <c r="H3" s="57">
        <v>212</v>
      </c>
      <c r="I3" s="12"/>
      <c r="J3" s="13" t="s">
        <v>53</v>
      </c>
      <c r="K3" s="43">
        <f>+C60+D60+C90+D90</f>
        <v>1</v>
      </c>
      <c r="L3" s="51">
        <f>+(B60+B90)/75</f>
        <v>0.98666666666666669</v>
      </c>
      <c r="M3" s="51">
        <f>+(C60+C90)/75</f>
        <v>1.3333333333333334E-2</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f t="shared" ref="B9:B46" si="0">+IF(OR(C9="x",D9="x"),0,"x")</f>
        <v>0</v>
      </c>
      <c r="C9" s="4" t="s">
        <v>97</v>
      </c>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48</v>
      </c>
      <c r="C60" s="35">
        <f>COUNTIF(C9:C59,"x")</f>
        <v>1</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a/GwSE2LrIrM8bSadOHg0SUhRgsW8AYNeCxgB99Co2lSFfXt9K7hPOn8vVducaulKDR9H+O7vrSVxC8cYIK6A==" saltValue="IZrOMsidO/NXNXQBzJ+Odw=="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47" priority="4" operator="equal">
      <formula>0</formula>
    </cfRule>
  </conditionalFormatting>
  <conditionalFormatting sqref="B49:B59">
    <cfRule type="cellIs" dxfId="46" priority="3" operator="equal">
      <formula>0</formula>
    </cfRule>
  </conditionalFormatting>
  <conditionalFormatting sqref="B64:B89">
    <cfRule type="cellIs" dxfId="45" priority="2" operator="equal">
      <formula>0</formula>
    </cfRule>
  </conditionalFormatting>
  <conditionalFormatting sqref="B94:B112">
    <cfRule type="cellIs" dxfId="44" priority="1" operator="equal">
      <formula>0</formula>
    </cfRule>
  </conditionalFormatting>
  <pageMargins left="0.5" right="0.2" top="0.2" bottom="0.2" header="0" footer="0"/>
  <pageSetup scale="90" orientation="landscape" r:id="rId1"/>
  <rowBreaks count="2" manualBreakCount="2">
    <brk id="46" max="16383" man="1"/>
    <brk id="91"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8A0ABD-4EDC-4BD8-AE01-78095914D9E3}">
          <x14:formula1>
            <xm:f>'Monthly Report'!$B$8:$B$10</xm:f>
          </x14:formula1>
          <xm:sqref>C5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FB274-A516-45E8-A34B-ADF8EE28D32D}">
  <dimension ref="A1:N132"/>
  <sheetViews>
    <sheetView topLeftCell="A21" zoomScaleNormal="100" workbookViewId="0">
      <selection activeCell="C5" sqref="C5:F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46168</v>
      </c>
      <c r="C3" s="106"/>
      <c r="D3" s="12"/>
      <c r="E3" s="12"/>
      <c r="F3" s="14" t="s">
        <v>52</v>
      </c>
      <c r="G3" s="14"/>
      <c r="H3" s="57">
        <v>313</v>
      </c>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ccodACEbms5+etI4M/qlmoePVu6jrF/Nlzr1yG9ZBC/OB30OIGHH+sr/J+S7evEVdlxxVURx2L2FtOqAV1ZFBg==" saltValue="uMIVbF+fdry5WxKZXxvaRA==" spinCount="100000" sheet="1" objects="1" scenarios="1"/>
  <protectedRanges>
    <protectedRange algorithmName="SHA-512" hashValue="q9X8sjQ+H7VbcOeyhIaXH4GTRtPZIMKeNdG380OtlROVbI8tuxLMYKvfPp0qZAwwpU3aDF97nKEu21CqhkkAhA==" saltValue="zoiu1OjhhlUycim1ikOZVg==" spinCount="100000" sqref="C5" name="InspectressName_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43" priority="4" operator="equal">
      <formula>0</formula>
    </cfRule>
  </conditionalFormatting>
  <conditionalFormatting sqref="B49:B59">
    <cfRule type="cellIs" dxfId="42" priority="3" operator="equal">
      <formula>0</formula>
    </cfRule>
  </conditionalFormatting>
  <conditionalFormatting sqref="B64:B89">
    <cfRule type="cellIs" dxfId="41" priority="2" operator="equal">
      <formula>0</formula>
    </cfRule>
  </conditionalFormatting>
  <conditionalFormatting sqref="B94:B112">
    <cfRule type="cellIs" dxfId="40" priority="1" operator="equal">
      <formula>0</formula>
    </cfRule>
  </conditionalFormatting>
  <pageMargins left="0.5" right="0.2" top="0.2" bottom="0.2" header="0" footer="0"/>
  <pageSetup scale="90" orientation="landscape" r:id="rId1"/>
  <rowBreaks count="2" manualBreakCount="2">
    <brk id="46" max="16383" man="1"/>
    <brk id="91"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D9A0FE2-3552-4051-8E7F-C0FEE395B088}">
          <x14:formula1>
            <xm:f>'Monthly Report'!$B$8:$B$10</xm:f>
          </x14:formula1>
          <xm:sqref>C5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EADE-7B51-47DC-93BF-F52326AAB7FE}">
  <dimension ref="A1:N132"/>
  <sheetViews>
    <sheetView topLeftCell="A31" zoomScaleNormal="100" workbookViewId="0">
      <selection activeCell="C59" sqref="C59"/>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46168</v>
      </c>
      <c r="C3" s="106"/>
      <c r="D3" s="12"/>
      <c r="E3" s="12"/>
      <c r="F3" s="14" t="s">
        <v>52</v>
      </c>
      <c r="G3" s="14"/>
      <c r="H3" s="57">
        <v>315</v>
      </c>
      <c r="I3" s="12"/>
      <c r="J3" s="13" t="s">
        <v>53</v>
      </c>
      <c r="K3" s="43">
        <f>+C60+D60+C90+D90</f>
        <v>1</v>
      </c>
      <c r="L3" s="51">
        <f>+(B60+B90)/75</f>
        <v>0.98666666666666669</v>
      </c>
      <c r="M3" s="51">
        <f>+(C60+C90)/75</f>
        <v>1.3333333333333334E-2</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f t="shared" si="1"/>
        <v>0</v>
      </c>
      <c r="C59" s="4" t="s">
        <v>241</v>
      </c>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48</v>
      </c>
      <c r="C60" s="35">
        <f>COUNTIF(C9:C59,"x")</f>
        <v>1</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m2akGrrfAqhTblSxOnxXV4kOX5rlI1gltujVOzeRO3iITH8x3OlvrjNIP1EbqZIAleniwoUGosG+HZK1lqkWVA==" saltValue="x28N5B+hZ4YJIwuSCyx2lw=="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39" priority="4" operator="equal">
      <formula>0</formula>
    </cfRule>
  </conditionalFormatting>
  <conditionalFormatting sqref="B49:B59">
    <cfRule type="cellIs" dxfId="38" priority="3" operator="equal">
      <formula>0</formula>
    </cfRule>
  </conditionalFormatting>
  <conditionalFormatting sqref="B64:B89">
    <cfRule type="cellIs" dxfId="37" priority="2" operator="equal">
      <formula>0</formula>
    </cfRule>
  </conditionalFormatting>
  <conditionalFormatting sqref="B94:B112">
    <cfRule type="cellIs" dxfId="36" priority="1" operator="equal">
      <formula>0</formula>
    </cfRule>
  </conditionalFormatting>
  <pageMargins left="0.5" right="0.2" top="0.2" bottom="0.2" header="0" footer="0"/>
  <pageSetup scale="90" orientation="landscape" r:id="rId1"/>
  <rowBreaks count="2" manualBreakCount="2">
    <brk id="46" max="16383" man="1"/>
    <brk id="92"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3F8D09A-BAB9-4B8C-AD2A-681D12467D61}">
          <x14:formula1>
            <xm:f>'Monthly Report'!$B$8:$B$10</xm:f>
          </x14:formula1>
          <xm:sqref>C5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E40C-1E90-47D7-8734-67CB6A7B1C92}">
  <dimension ref="A1:N132"/>
  <sheetViews>
    <sheetView topLeftCell="A48" zoomScaleNormal="100" workbookViewId="0">
      <selection activeCell="H58" sqref="H58"/>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v>46168</v>
      </c>
      <c r="C3" s="106"/>
      <c r="D3" s="12"/>
      <c r="E3" s="12"/>
      <c r="F3" s="14" t="s">
        <v>52</v>
      </c>
      <c r="G3" s="14"/>
      <c r="H3" s="57">
        <v>200</v>
      </c>
      <c r="I3" s="12"/>
      <c r="J3" s="13" t="s">
        <v>53</v>
      </c>
      <c r="K3" s="43">
        <f>+C60+D60+C90+D90</f>
        <v>1</v>
      </c>
      <c r="L3" s="51">
        <f>+(B60+B90)/75</f>
        <v>0.98666666666666669</v>
      </c>
      <c r="M3" s="51">
        <f>+(C60+C90)/75</f>
        <v>1.3333333333333334E-2</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t="s">
        <v>240</v>
      </c>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f t="shared" si="1"/>
        <v>0</v>
      </c>
      <c r="C59" s="4" t="s">
        <v>241</v>
      </c>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48</v>
      </c>
      <c r="C60" s="35">
        <f>COUNTIF(C9:C59,"x")</f>
        <v>1</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h2W2tQzjMfy3M868Dbb9MTf2u/DufGJHwMp7NXnum2AGHAy6Xukho92TqaUq3MvNlwu43X3C6hN0/Im8YEb3FA==" saltValue="CHY3OFWvvmvUDOstjrQLNA=="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35" priority="4" operator="equal">
      <formula>0</formula>
    </cfRule>
  </conditionalFormatting>
  <conditionalFormatting sqref="B49:B59">
    <cfRule type="cellIs" dxfId="34" priority="3" operator="equal">
      <formula>0</formula>
    </cfRule>
  </conditionalFormatting>
  <conditionalFormatting sqref="B64:B89">
    <cfRule type="cellIs" dxfId="33" priority="2" operator="equal">
      <formula>0</formula>
    </cfRule>
  </conditionalFormatting>
  <conditionalFormatting sqref="B94:B112">
    <cfRule type="cellIs" dxfId="32" priority="1" operator="equal">
      <formula>0</formula>
    </cfRule>
  </conditionalFormatting>
  <pageMargins left="0.5" right="0.2" top="0.2" bottom="0.2" header="0" footer="0"/>
  <pageSetup scale="90" orientation="landscape" r:id="rId1"/>
  <rowBreaks count="2" manualBreakCount="2">
    <brk id="46" max="16383" man="1"/>
    <brk id="90"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6FD4ABA-EB1C-4FEA-A6EF-F2E2CC4A6AA3}">
          <x14:formula1>
            <xm:f>'Monthly Report'!$B$8:$B$10</xm:f>
          </x14:formula1>
          <xm:sqref>C5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5C4E-72DF-485C-A6BF-35002B85B559}">
  <dimension ref="A1:N132"/>
  <sheetViews>
    <sheetView tabSelected="1" zoomScaleNormal="100" workbookViewId="0">
      <selection activeCell="U5" sqref="U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o94hiVCYWfRZ5kClgrSdROZvY13cfjsMlbji4EYjDIvE9Vbvr4/ebFyietXgiELFIOk3/pWFyLmcTyuIUgiCpg==" saltValue="OoqNgXyzDuoAOn1W6AdsXg=="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31" priority="4" operator="equal">
      <formula>0</formula>
    </cfRule>
  </conditionalFormatting>
  <conditionalFormatting sqref="B49:B59">
    <cfRule type="cellIs" dxfId="30" priority="3" operator="equal">
      <formula>0</formula>
    </cfRule>
  </conditionalFormatting>
  <conditionalFormatting sqref="B64:B89">
    <cfRule type="cellIs" dxfId="29" priority="2" operator="equal">
      <formula>0</formula>
    </cfRule>
  </conditionalFormatting>
  <conditionalFormatting sqref="B94:B112">
    <cfRule type="cellIs" dxfId="28" priority="1" operator="equal">
      <formula>0</formula>
    </cfRule>
  </conditionalFormatting>
  <pageMargins left="0.5" right="0.2" top="0.2" bottom="0.2" header="0" footer="0"/>
  <pageSetup scale="89" orientation="landscape" r:id="rId1"/>
  <rowBreaks count="2" manualBreakCount="2">
    <brk id="46" max="16383" man="1"/>
    <brk id="91"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52F34AB-62CB-4537-B255-F14AF64B6A5C}">
          <x14:formula1>
            <xm:f>'Monthly Report'!$B$8:$B$10</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B47AA-3B3A-49F0-9CCD-DD24A2F2DA83}">
  <dimension ref="A1:N132"/>
  <sheetViews>
    <sheetView zoomScaleNormal="100" workbookViewId="0">
      <selection activeCell="S15" sqref="S1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2ACEf0Bn3OhRjJtS8GJ3Jgk6y1+TUGKoc6cRo7lG5kk+jYdepgm2m+G4fL9GALqovFal59fnTLvbX9YmCNkWg==" saltValue="GjbWupytZxs278b6yjpL/g=="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27" priority="4" operator="equal">
      <formula>0</formula>
    </cfRule>
  </conditionalFormatting>
  <conditionalFormatting sqref="B49:B59">
    <cfRule type="cellIs" dxfId="26" priority="3" operator="equal">
      <formula>0</formula>
    </cfRule>
  </conditionalFormatting>
  <conditionalFormatting sqref="B64:B89">
    <cfRule type="cellIs" dxfId="25" priority="2" operator="equal">
      <formula>0</formula>
    </cfRule>
  </conditionalFormatting>
  <conditionalFormatting sqref="B94:B112">
    <cfRule type="cellIs" dxfId="24" priority="1" operator="equal">
      <formula>0</formula>
    </cfRule>
  </conditionalFormatting>
  <pageMargins left="0.5" right="0.2" top="0.4" bottom="0.2" header="0" footer="0"/>
  <pageSetup scale="90" orientation="landscape" r:id="rId1"/>
  <rowBreaks count="2" manualBreakCount="2">
    <brk id="46" max="16383" man="1"/>
    <brk id="92" max="1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08FE40B-515E-4383-9327-15CDA1AD015F}">
          <x14:formula1>
            <xm:f>'Monthly Report'!$B$8:$B$10</xm:f>
          </x14:formula1>
          <xm:sqref>C5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9CE8-C11C-43A5-AB28-F3B5FD0F4288}">
  <dimension ref="A1:N132"/>
  <sheetViews>
    <sheetView zoomScaleNormal="100" workbookViewId="0">
      <selection activeCell="C5" sqref="C5:F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vaff39vm6LVpKkalqmnpuqNaupEUAmPJCAQJbD4VErxEC0zkMxuG14mklpLRH9xaoPbHGDl73a7BqK2SEL5Fdg==" saltValue="mRiSv8cIwe0iyQxl8o0IoQ=="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23" priority="4" operator="equal">
      <formula>0</formula>
    </cfRule>
  </conditionalFormatting>
  <conditionalFormatting sqref="B49:B59">
    <cfRule type="cellIs" dxfId="22" priority="3" operator="equal">
      <formula>0</formula>
    </cfRule>
  </conditionalFormatting>
  <conditionalFormatting sqref="B64:B89">
    <cfRule type="cellIs" dxfId="21" priority="2" operator="equal">
      <formula>0</formula>
    </cfRule>
  </conditionalFormatting>
  <conditionalFormatting sqref="B94:B112">
    <cfRule type="cellIs" dxfId="20" priority="1" operator="equal">
      <formula>0</formula>
    </cfRule>
  </conditionalFormatting>
  <pageMargins left="0.5" right="0.2" top="0.4" bottom="0.2" header="0" footer="0"/>
  <pageSetup scale="88" orientation="landscape" r:id="rId1"/>
  <rowBreaks count="2" manualBreakCount="2">
    <brk id="46" max="16383" man="1"/>
    <brk id="92" max="1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1703567-572F-4DE3-8D9F-0D40DA500467}">
          <x14:formula1>
            <xm:f>'Monthly Report'!$B$8:$B$10</xm:f>
          </x14:formula1>
          <xm:sqref>C5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0C34-0540-4038-8F60-05106DD6E678}">
  <dimension ref="A1:N132"/>
  <sheetViews>
    <sheetView zoomScaleNormal="100" workbookViewId="0">
      <selection activeCell="C5" sqref="C5:F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1IJw0O5XdDnNj+X1uEZKqyZfn3INJcn5yaHPzl8Layhz/BB+yNRaZA9Y6krXZi47Wtx3xxFbCWE4mNzDOxi3Pg==" saltValue="TNH6EHmQ3XdEyKwLAT5k1w=="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19" priority="4" operator="equal">
      <formula>0</formula>
    </cfRule>
  </conditionalFormatting>
  <conditionalFormatting sqref="B49:B59">
    <cfRule type="cellIs" dxfId="18" priority="3" operator="equal">
      <formula>0</formula>
    </cfRule>
  </conditionalFormatting>
  <conditionalFormatting sqref="B64:B89">
    <cfRule type="cellIs" dxfId="17" priority="2" operator="equal">
      <formula>0</formula>
    </cfRule>
  </conditionalFormatting>
  <conditionalFormatting sqref="B94:B112">
    <cfRule type="cellIs" dxfId="16" priority="1" operator="equal">
      <formula>0</formula>
    </cfRule>
  </conditionalFormatting>
  <pageMargins left="0.5" right="0.2" top="0.4" bottom="0.2" header="0" footer="0"/>
  <pageSetup scale="88" orientation="landscape" r:id="rId1"/>
  <rowBreaks count="2" manualBreakCount="2">
    <brk id="46" max="16383" man="1"/>
    <brk id="92"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E86557F-324E-4B6F-9680-2DECDCBDE668}">
          <x14:formula1>
            <xm:f>'Monthly Report'!$B$8:$B$10</xm:f>
          </x14:formula1>
          <xm:sqref>C5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9CF84-9D12-4A25-ACA7-54844524AA53}">
  <dimension ref="A1:N132"/>
  <sheetViews>
    <sheetView zoomScaleNormal="100" workbookViewId="0">
      <selection activeCell="C5" sqref="C5:F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pE3yN6pjyX5/7isx/QhezuG8u3aTYboiWVVuc03ki+5wzC4n1VfWQAtm85ra8muhMbjaYjn17p70NdyBk52NUw==" saltValue="7tAo8UMHp70epushtydgAQ=="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15" priority="4" operator="equal">
      <formula>0</formula>
    </cfRule>
  </conditionalFormatting>
  <conditionalFormatting sqref="B49:B59">
    <cfRule type="cellIs" dxfId="14" priority="3" operator="equal">
      <formula>0</formula>
    </cfRule>
  </conditionalFormatting>
  <conditionalFormatting sqref="B64:B89">
    <cfRule type="cellIs" dxfId="13" priority="2" operator="equal">
      <formula>0</formula>
    </cfRule>
  </conditionalFormatting>
  <conditionalFormatting sqref="B94:B112">
    <cfRule type="cellIs" dxfId="12" priority="1" operator="equal">
      <formula>0</formula>
    </cfRule>
  </conditionalFormatting>
  <pageMargins left="0.5" right="0.2" top="0.4" bottom="0.2" header="0" footer="0"/>
  <pageSetup scale="90" orientation="landscape" r:id="rId1"/>
  <rowBreaks count="2" manualBreakCount="2">
    <brk id="46" max="16383" man="1"/>
    <brk id="92" max="1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FA35F7E-7D3E-43CD-BDF9-F3CA2610DFB2}">
          <x14:formula1>
            <xm:f>'Monthly Report'!$B$8:$B$10</xm:f>
          </x14:formula1>
          <xm:sqref>C5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124D-9344-4E38-9CE9-BEC9B241F180}">
  <dimension ref="A1:N132"/>
  <sheetViews>
    <sheetView zoomScaleNormal="100" workbookViewId="0">
      <selection activeCell="V32" sqref="V32"/>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nVMqkZXVPQVBqC4gNt+Es8Ji/wRwxQ7gG6VGXIgOxhtHrXqXMzj/ehErM+T6hmbjnfQ3yz+IBwy6V7b6aGqnTQ==" saltValue="Hh9FZLRTpv96Irmyfhuqrg=="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11" priority="4" operator="equal">
      <formula>0</formula>
    </cfRule>
  </conditionalFormatting>
  <conditionalFormatting sqref="B49:B59">
    <cfRule type="cellIs" dxfId="10" priority="3" operator="equal">
      <formula>0</formula>
    </cfRule>
  </conditionalFormatting>
  <conditionalFormatting sqref="B64:B89">
    <cfRule type="cellIs" dxfId="9" priority="2" operator="equal">
      <formula>0</formula>
    </cfRule>
  </conditionalFormatting>
  <conditionalFormatting sqref="B94:B112">
    <cfRule type="cellIs" dxfId="8" priority="1" operator="equal">
      <formula>0</formula>
    </cfRule>
  </conditionalFormatting>
  <pageMargins left="0.7" right="0.2" top="0.4" bottom="0.2" header="0" footer="0"/>
  <pageSetup scale="88" orientation="landscape" r:id="rId1"/>
  <rowBreaks count="2" manualBreakCount="2">
    <brk id="46" max="16383" man="1"/>
    <brk id="92" max="1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5964724-1B86-4245-8DCB-A8F4E6B3478B}">
          <x14:formula1>
            <xm:f>'Monthly Report'!$B$8:$B$10</xm:f>
          </x14:formula1>
          <xm:sqref>C5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B3FFC-908C-4486-89BA-1936B697B8E6}">
  <dimension ref="A1:N132"/>
  <sheetViews>
    <sheetView zoomScaleNormal="100" workbookViewId="0">
      <selection activeCell="R15" sqref="R15"/>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O6WMjux9Q04raMDjxfns2T/0sALUA8l8IegZqlr4/qIAaa1cor4t4GG1C0u9K4wbnjMl8ERlOtbtbK8fUbTBA==" saltValue="pg/7jeiBbFyvFEg0fMtKOA=="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7" priority="4" operator="equal">
      <formula>0</formula>
    </cfRule>
  </conditionalFormatting>
  <conditionalFormatting sqref="B49:B59">
    <cfRule type="cellIs" dxfId="6" priority="3" operator="equal">
      <formula>0</formula>
    </cfRule>
  </conditionalFormatting>
  <conditionalFormatting sqref="B64:B89">
    <cfRule type="cellIs" dxfId="5" priority="2" operator="equal">
      <formula>0</formula>
    </cfRule>
  </conditionalFormatting>
  <conditionalFormatting sqref="B94:B112">
    <cfRule type="cellIs" dxfId="4" priority="1" operator="equal">
      <formula>0</formula>
    </cfRule>
  </conditionalFormatting>
  <pageMargins left="0.5" right="0.2" top="0.4" bottom="0.2" header="0" footer="0"/>
  <pageSetup scale="88" orientation="landscape" r:id="rId1"/>
  <rowBreaks count="2" manualBreakCount="2">
    <brk id="46" max="16383" man="1"/>
    <brk id="92" max="1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F96AC30-5524-454F-96FA-6885010679BA}">
          <x14:formula1>
            <xm:f>'Monthly Report'!$B$8:$B$10</xm:f>
          </x14:formula1>
          <xm:sqref>C5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6C98-A210-4FE1-AD91-70B9F8BB4238}">
  <dimension ref="A1:N132"/>
  <sheetViews>
    <sheetView zoomScaleNormal="100" workbookViewId="0">
      <selection activeCell="B2" sqref="B2"/>
    </sheetView>
  </sheetViews>
  <sheetFormatPr defaultRowHeight="15" x14ac:dyDescent="0.25"/>
  <cols>
    <col min="1" max="1" width="20.7109375" customWidth="1"/>
    <col min="2" max="2" width="7.28515625" style="1" customWidth="1"/>
    <col min="3" max="3" width="6.7109375" customWidth="1"/>
    <col min="4" max="4" width="6.7109375" style="1" customWidth="1"/>
    <col min="5" max="5" width="0.5703125" customWidth="1"/>
    <col min="6" max="6" width="13.140625" customWidth="1"/>
    <col min="7" max="7" width="0.85546875" customWidth="1"/>
    <col min="8" max="8" width="11.85546875" customWidth="1"/>
    <col min="9" max="9" width="0.7109375" customWidth="1"/>
    <col min="10" max="10" width="19.28515625" customWidth="1"/>
    <col min="11" max="11" width="11.7109375" customWidth="1"/>
    <col min="12" max="12" width="11.28515625" customWidth="1"/>
    <col min="13" max="13" width="11.5703125" customWidth="1"/>
    <col min="14" max="14" width="12.28515625" customWidth="1"/>
  </cols>
  <sheetData>
    <row r="1" spans="1:14" ht="18.75" customHeight="1" x14ac:dyDescent="0.25">
      <c r="B1" s="22"/>
      <c r="C1" s="107" t="s">
        <v>46</v>
      </c>
      <c r="D1" s="107"/>
      <c r="E1" s="107"/>
      <c r="F1" s="107"/>
      <c r="G1" s="107"/>
      <c r="H1" s="107"/>
      <c r="I1" s="107"/>
      <c r="J1" s="107"/>
    </row>
    <row r="2" spans="1:14" ht="25.5" customHeight="1" thickBot="1" x14ac:dyDescent="0.3">
      <c r="A2" s="34"/>
      <c r="B2" s="22"/>
      <c r="C2" s="107"/>
      <c r="D2" s="107"/>
      <c r="E2" s="107"/>
      <c r="F2" s="107"/>
      <c r="G2" s="107"/>
      <c r="H2" s="107"/>
      <c r="I2" s="107"/>
      <c r="J2" s="107"/>
      <c r="K2" s="7" t="s">
        <v>47</v>
      </c>
      <c r="L2" s="7" t="s">
        <v>48</v>
      </c>
      <c r="M2" s="7" t="s">
        <v>49</v>
      </c>
      <c r="N2" s="7" t="s">
        <v>50</v>
      </c>
    </row>
    <row r="3" spans="1:14" ht="14.25" customHeight="1" thickBot="1" x14ac:dyDescent="0.3">
      <c r="A3" s="14" t="s">
        <v>51</v>
      </c>
      <c r="B3" s="105"/>
      <c r="C3" s="106"/>
      <c r="D3" s="12"/>
      <c r="E3" s="12"/>
      <c r="F3" s="14" t="s">
        <v>52</v>
      </c>
      <c r="G3" s="14"/>
      <c r="H3" s="57"/>
      <c r="I3" s="12"/>
      <c r="J3" s="13" t="s">
        <v>53</v>
      </c>
      <c r="K3" s="43">
        <f>+C60+D60+C90+D90</f>
        <v>0</v>
      </c>
      <c r="L3" s="51">
        <f>+(B60+B90)/75</f>
        <v>1</v>
      </c>
      <c r="M3" s="51">
        <f>+(C60+C90)/75</f>
        <v>0</v>
      </c>
      <c r="N3" s="52">
        <f>1-(L3+M3)</f>
        <v>0</v>
      </c>
    </row>
    <row r="4" spans="1:14" ht="4.5" customHeight="1" thickBot="1" x14ac:dyDescent="0.3">
      <c r="A4" s="14"/>
      <c r="B4" s="15"/>
      <c r="C4" s="15"/>
      <c r="D4" s="15"/>
      <c r="E4" s="12"/>
      <c r="F4" s="14"/>
      <c r="G4" s="14"/>
      <c r="H4" s="12"/>
      <c r="I4" s="12"/>
      <c r="J4" s="12"/>
      <c r="K4" s="12"/>
      <c r="L4" s="12"/>
      <c r="M4" s="12"/>
      <c r="N4" s="12"/>
    </row>
    <row r="5" spans="1:14" ht="17.25" customHeight="1" thickBot="1" x14ac:dyDescent="0.35">
      <c r="A5" s="115" t="s">
        <v>54</v>
      </c>
      <c r="B5" s="115"/>
      <c r="C5" s="116"/>
      <c r="D5" s="117"/>
      <c r="E5" s="117"/>
      <c r="F5" s="118"/>
      <c r="G5" s="55"/>
      <c r="H5" s="86" t="s">
        <v>55</v>
      </c>
      <c r="I5" s="1"/>
      <c r="J5" s="5" t="s">
        <v>56</v>
      </c>
      <c r="K5" s="3">
        <f>C113+D113</f>
        <v>0</v>
      </c>
      <c r="L5" s="53">
        <f>+B113/19</f>
        <v>1</v>
      </c>
      <c r="M5" s="53">
        <f>+C113/17</f>
        <v>0</v>
      </c>
      <c r="N5" s="53">
        <f>1-(L5+M5)</f>
        <v>0</v>
      </c>
    </row>
    <row r="6" spans="1:14" ht="11.25" customHeight="1" x14ac:dyDescent="0.25">
      <c r="A6" s="127" t="s">
        <v>6</v>
      </c>
      <c r="B6" s="127"/>
      <c r="C6" s="127"/>
      <c r="D6" s="127"/>
      <c r="E6" s="127"/>
      <c r="F6" s="127"/>
      <c r="G6" s="127"/>
      <c r="H6" s="127"/>
      <c r="I6" s="127"/>
      <c r="J6" s="127"/>
      <c r="K6" s="127"/>
      <c r="L6" s="127"/>
      <c r="M6" s="127"/>
      <c r="N6" s="127"/>
    </row>
    <row r="7" spans="1:14" ht="9" customHeight="1" x14ac:dyDescent="0.25">
      <c r="A7" s="127"/>
      <c r="B7" s="127"/>
      <c r="C7" s="127"/>
      <c r="D7" s="127"/>
      <c r="E7" s="127"/>
      <c r="F7" s="127"/>
      <c r="G7" s="127"/>
      <c r="H7" s="127"/>
      <c r="I7" s="127"/>
      <c r="J7" s="127"/>
      <c r="K7" s="127"/>
      <c r="L7" s="127"/>
      <c r="M7" s="127"/>
      <c r="N7" s="127"/>
    </row>
    <row r="8" spans="1:14" ht="14.25" customHeight="1" x14ac:dyDescent="0.25">
      <c r="A8" s="18"/>
      <c r="B8" s="7" t="s">
        <v>10</v>
      </c>
      <c r="C8" s="7" t="s">
        <v>11</v>
      </c>
      <c r="D8" s="23" t="s">
        <v>12</v>
      </c>
      <c r="E8" s="7"/>
      <c r="F8" s="132" t="s">
        <v>57</v>
      </c>
      <c r="G8" s="132"/>
      <c r="H8" s="132"/>
      <c r="I8" s="7"/>
      <c r="J8" s="133" t="s">
        <v>58</v>
      </c>
      <c r="K8" s="133"/>
      <c r="L8" s="133"/>
      <c r="M8" s="133"/>
      <c r="N8" s="133"/>
    </row>
    <row r="9" spans="1:14" ht="12.95" customHeight="1" x14ac:dyDescent="0.25">
      <c r="A9" s="45" t="s">
        <v>59</v>
      </c>
      <c r="B9" s="4" t="str">
        <f t="shared" ref="B9:B46" si="0">+IF(OR(C9="x",D9="x"),0,"x")</f>
        <v>x</v>
      </c>
      <c r="C9" s="4"/>
      <c r="D9" s="4"/>
      <c r="F9" s="8"/>
      <c r="G9" s="19"/>
      <c r="H9" s="10"/>
      <c r="I9" s="21"/>
      <c r="J9" s="8" t="str">
        <f>+'Room 1'!J9</f>
        <v>Clean &amp; free of scuffs</v>
      </c>
      <c r="K9" s="19"/>
      <c r="L9" s="19"/>
      <c r="M9" s="19"/>
      <c r="N9" s="10"/>
    </row>
    <row r="10" spans="1:14" ht="12.95" customHeight="1" x14ac:dyDescent="0.25">
      <c r="A10" s="45" t="s">
        <v>61</v>
      </c>
      <c r="B10" s="4" t="str">
        <f t="shared" si="0"/>
        <v>x</v>
      </c>
      <c r="C10" s="3"/>
      <c r="D10" s="3"/>
      <c r="F10" s="9"/>
      <c r="G10" s="20"/>
      <c r="H10" s="11"/>
      <c r="I10" s="21"/>
      <c r="J10" s="90" t="str">
        <f>+'Room 1'!J10</f>
        <v>Bulbs working, no bugs or debris</v>
      </c>
      <c r="K10" s="20"/>
      <c r="L10" s="20"/>
      <c r="M10" s="20"/>
      <c r="N10" s="11"/>
    </row>
    <row r="11" spans="1:14" ht="12.95" customHeight="1" x14ac:dyDescent="0.25">
      <c r="A11" s="45" t="s">
        <v>63</v>
      </c>
      <c r="B11" s="4" t="str">
        <f t="shared" si="0"/>
        <v>x</v>
      </c>
      <c r="C11" s="4"/>
      <c r="D11" s="4"/>
      <c r="F11" s="8"/>
      <c r="G11" s="19"/>
      <c r="H11" s="10"/>
      <c r="I11" s="21"/>
      <c r="J11" s="8" t="str">
        <f>+'Room 1'!J11</f>
        <v xml:space="preserve">No streaks, no dust </v>
      </c>
      <c r="K11" s="19"/>
      <c r="L11" s="19"/>
      <c r="M11" s="19"/>
      <c r="N11" s="10"/>
    </row>
    <row r="12" spans="1:14" ht="12.95" customHeight="1" x14ac:dyDescent="0.25">
      <c r="A12" s="45" t="s">
        <v>65</v>
      </c>
      <c r="B12" s="4" t="str">
        <f t="shared" si="0"/>
        <v>x</v>
      </c>
      <c r="C12" s="3"/>
      <c r="D12" s="3"/>
      <c r="F12" s="9"/>
      <c r="G12" s="20"/>
      <c r="H12" s="11"/>
      <c r="I12" s="21"/>
      <c r="J12" s="90" t="str">
        <f>+'Room 1'!J12</f>
        <v>Clean &amp; bag tied</v>
      </c>
      <c r="K12" s="20"/>
      <c r="L12" s="20"/>
      <c r="M12" s="20"/>
      <c r="N12" s="11"/>
    </row>
    <row r="13" spans="1:14" ht="12.95" customHeight="1" x14ac:dyDescent="0.25">
      <c r="A13" s="45" t="s">
        <v>67</v>
      </c>
      <c r="B13" s="4" t="str">
        <f t="shared" si="0"/>
        <v>x</v>
      </c>
      <c r="C13" s="4"/>
      <c r="D13" s="4"/>
      <c r="F13" s="8"/>
      <c r="G13" s="19"/>
      <c r="H13" s="10"/>
      <c r="I13" s="21"/>
      <c r="J13" s="8" t="str">
        <f>+'Room 1'!J13</f>
        <v>No soil spots on wall or furniture piece behind trash can</v>
      </c>
      <c r="K13" s="19"/>
      <c r="L13" s="19"/>
      <c r="M13" s="19"/>
      <c r="N13" s="10"/>
    </row>
    <row r="14" spans="1:14" ht="12.95" customHeight="1" x14ac:dyDescent="0.25">
      <c r="A14" s="45" t="s">
        <v>69</v>
      </c>
      <c r="B14" s="4" t="str">
        <f t="shared" si="0"/>
        <v>x</v>
      </c>
      <c r="C14" s="3"/>
      <c r="D14" s="3"/>
      <c r="F14" s="9"/>
      <c r="G14" s="20"/>
      <c r="H14" s="11"/>
      <c r="I14" s="21"/>
      <c r="J14" s="90" t="str">
        <f>+'Room 1'!J14</f>
        <v>Clean surface &amp; no fingerprints</v>
      </c>
      <c r="K14" s="20"/>
      <c r="L14" s="20"/>
      <c r="M14" s="20"/>
      <c r="N14" s="11"/>
    </row>
    <row r="15" spans="1:14" ht="12.95" customHeight="1" x14ac:dyDescent="0.25">
      <c r="A15" s="45" t="s">
        <v>71</v>
      </c>
      <c r="B15" s="4" t="str">
        <f t="shared" si="0"/>
        <v>x</v>
      </c>
      <c r="C15" s="4"/>
      <c r="D15" s="4"/>
      <c r="F15" s="8"/>
      <c r="G15" s="19"/>
      <c r="H15" s="10"/>
      <c r="I15" s="21"/>
      <c r="J15" s="8" t="str">
        <f>+'Room 1'!J15</f>
        <v>Seat / back clean, no dust on base</v>
      </c>
      <c r="K15" s="19"/>
      <c r="L15" s="19"/>
      <c r="M15" s="19"/>
      <c r="N15" s="10"/>
    </row>
    <row r="16" spans="1:14" ht="12.95" customHeight="1" x14ac:dyDescent="0.25">
      <c r="A16" s="45" t="s">
        <v>73</v>
      </c>
      <c r="B16" s="4" t="str">
        <f t="shared" si="0"/>
        <v>x</v>
      </c>
      <c r="C16" s="3"/>
      <c r="D16" s="3"/>
      <c r="F16" s="9"/>
      <c r="G16" s="20"/>
      <c r="H16" s="11"/>
      <c r="I16" s="21"/>
      <c r="J16" s="90" t="str">
        <f>+'Room 1'!J16</f>
        <v>No soiled spots</v>
      </c>
      <c r="K16" s="20"/>
      <c r="L16" s="20"/>
      <c r="M16" s="20"/>
      <c r="N16" s="11"/>
    </row>
    <row r="17" spans="1:14" ht="12.95" customHeight="1" x14ac:dyDescent="0.25">
      <c r="A17" s="45" t="s">
        <v>75</v>
      </c>
      <c r="B17" s="4" t="str">
        <f t="shared" si="0"/>
        <v>x</v>
      </c>
      <c r="C17" s="4"/>
      <c r="D17" s="4"/>
      <c r="F17" s="8"/>
      <c r="G17" s="19"/>
      <c r="H17" s="10"/>
      <c r="I17" s="21"/>
      <c r="J17" s="8" t="str">
        <f>+'Room 1'!J17</f>
        <v>Sat. &amp; Hskpg card, Channel Guide &amp; other - present &amp; in perfect condition</v>
      </c>
      <c r="K17" s="19"/>
      <c r="L17" s="19"/>
      <c r="M17" s="19"/>
      <c r="N17" s="10"/>
    </row>
    <row r="18" spans="1:14" ht="12.95" customHeight="1" x14ac:dyDescent="0.25">
      <c r="A18" s="45" t="s">
        <v>77</v>
      </c>
      <c r="B18" s="4" t="str">
        <f t="shared" si="0"/>
        <v>x</v>
      </c>
      <c r="C18" s="3"/>
      <c r="D18" s="3"/>
      <c r="F18" s="9"/>
      <c r="G18" s="20"/>
      <c r="H18" s="11"/>
      <c r="I18" s="21"/>
      <c r="J18" s="90" t="str">
        <f>+'Room 1'!J18</f>
        <v>Brewer clean inside &amp; no debris or soiled spots on or below tray</v>
      </c>
      <c r="K18" s="20"/>
      <c r="L18" s="20"/>
      <c r="M18" s="20"/>
      <c r="N18" s="11"/>
    </row>
    <row r="19" spans="1:14" ht="12.95" customHeight="1" x14ac:dyDescent="0.25">
      <c r="A19" s="45" t="s">
        <v>79</v>
      </c>
      <c r="B19" s="4" t="str">
        <f t="shared" si="0"/>
        <v>x</v>
      </c>
      <c r="C19" s="4"/>
      <c r="D19" s="4"/>
      <c r="F19" s="8"/>
      <c r="G19" s="19"/>
      <c r="H19" s="10"/>
      <c r="I19" s="21"/>
      <c r="J19" s="8" t="str">
        <f>+'Room 1'!J19</f>
        <v>Clean inside and out with liner</v>
      </c>
      <c r="K19" s="19"/>
      <c r="L19" s="19"/>
      <c r="M19" s="19"/>
      <c r="N19" s="10"/>
    </row>
    <row r="20" spans="1:14" ht="12.95" customHeight="1" x14ac:dyDescent="0.25">
      <c r="A20" s="45" t="s">
        <v>81</v>
      </c>
      <c r="B20" s="4" t="str">
        <f t="shared" si="0"/>
        <v>x</v>
      </c>
      <c r="C20" s="3"/>
      <c r="D20" s="3"/>
      <c r="F20" s="9"/>
      <c r="G20" s="20"/>
      <c r="H20" s="11"/>
      <c r="I20" s="21"/>
      <c r="J20" s="90" t="str">
        <f>+'Room 1'!J20</f>
        <v>Proper quantity of items &amp; presented properly</v>
      </c>
      <c r="K20" s="20"/>
      <c r="L20" s="20"/>
      <c r="M20" s="20"/>
      <c r="N20" s="11"/>
    </row>
    <row r="21" spans="1:14" ht="12.95" customHeight="1" x14ac:dyDescent="0.25">
      <c r="A21" s="45" t="s">
        <v>83</v>
      </c>
      <c r="B21" s="4" t="str">
        <f t="shared" si="0"/>
        <v>x</v>
      </c>
      <c r="C21" s="4"/>
      <c r="D21" s="4"/>
      <c r="F21" s="8"/>
      <c r="G21" s="19"/>
      <c r="H21" s="10"/>
      <c r="I21" s="21"/>
      <c r="J21" s="8" t="str">
        <f>+'Room 1'!J21</f>
        <v>Clean inside and out, no dust on top of microwave or around it in the cabinet.</v>
      </c>
      <c r="K21" s="19"/>
      <c r="L21" s="19"/>
      <c r="M21" s="19"/>
      <c r="N21" s="10"/>
    </row>
    <row r="22" spans="1:14" ht="12.95" customHeight="1" x14ac:dyDescent="0.25">
      <c r="A22" s="45" t="s">
        <v>85</v>
      </c>
      <c r="B22" s="4" t="str">
        <f t="shared" si="0"/>
        <v>x</v>
      </c>
      <c r="C22" s="3"/>
      <c r="D22" s="3"/>
      <c r="F22" s="9"/>
      <c r="G22" s="20"/>
      <c r="H22" s="11"/>
      <c r="I22" s="21"/>
      <c r="J22" s="90" t="str">
        <f>+'Room 1'!J22</f>
        <v>Clean inside and out, no dust on top of microwave or around it in the cabinet.</v>
      </c>
      <c r="K22" s="20"/>
      <c r="L22" s="20"/>
      <c r="M22" s="20"/>
      <c r="N22" s="11"/>
    </row>
    <row r="23" spans="1:14" ht="12.95" customHeight="1" x14ac:dyDescent="0.25">
      <c r="A23" s="45" t="s">
        <v>86</v>
      </c>
      <c r="B23" s="4" t="str">
        <f t="shared" si="0"/>
        <v>x</v>
      </c>
      <c r="C23" s="4"/>
      <c r="D23" s="4"/>
      <c r="F23" s="8"/>
      <c r="G23" s="19"/>
      <c r="H23" s="10"/>
      <c r="I23" s="21"/>
      <c r="J23" s="8" t="str">
        <f>+'Room 1'!J23</f>
        <v>Surface &amp; drawers clean</v>
      </c>
      <c r="K23" s="19"/>
      <c r="L23" s="19"/>
      <c r="M23" s="19"/>
      <c r="N23" s="10"/>
    </row>
    <row r="24" spans="1:14" ht="12.95" customHeight="1" x14ac:dyDescent="0.25">
      <c r="A24" s="45" t="s">
        <v>88</v>
      </c>
      <c r="B24" s="4" t="str">
        <f t="shared" si="0"/>
        <v>x</v>
      </c>
      <c r="C24" s="3"/>
      <c r="D24" s="3"/>
      <c r="F24" s="9"/>
      <c r="G24" s="20"/>
      <c r="H24" s="11"/>
      <c r="I24" s="21"/>
      <c r="J24" s="90" t="str">
        <f>+'Room 1'!J24</f>
        <v>Not soiled, no debris under cushion or behind chair</v>
      </c>
      <c r="K24" s="20"/>
      <c r="L24" s="20"/>
      <c r="M24" s="20"/>
      <c r="N24" s="11"/>
    </row>
    <row r="25" spans="1:14" ht="12.95" customHeight="1" x14ac:dyDescent="0.25">
      <c r="A25" s="45" t="s">
        <v>90</v>
      </c>
      <c r="B25" s="4" t="str">
        <f t="shared" si="0"/>
        <v>x</v>
      </c>
      <c r="C25" s="4"/>
      <c r="D25" s="4"/>
      <c r="F25" s="8"/>
      <c r="G25" s="19"/>
      <c r="H25" s="10"/>
      <c r="I25" s="21"/>
      <c r="J25" s="8" t="str">
        <f>+'Room 1'!J25</f>
        <v>No dust, bugs or other debris</v>
      </c>
      <c r="K25" s="19"/>
      <c r="L25" s="19"/>
      <c r="M25" s="19"/>
      <c r="N25" s="10"/>
    </row>
    <row r="26" spans="1:14" ht="12.95" customHeight="1" x14ac:dyDescent="0.25">
      <c r="A26" s="45" t="s">
        <v>92</v>
      </c>
      <c r="B26" s="4" t="str">
        <f t="shared" si="0"/>
        <v>x</v>
      </c>
      <c r="C26" s="3"/>
      <c r="D26" s="3"/>
      <c r="F26" s="9"/>
      <c r="G26" s="20"/>
      <c r="H26" s="11"/>
      <c r="I26" s="21"/>
      <c r="J26" s="90" t="str">
        <f>+'Room 1'!J26</f>
        <v>No visible smears or hand/finger prints</v>
      </c>
      <c r="K26" s="20"/>
      <c r="L26" s="20"/>
      <c r="M26" s="20"/>
      <c r="N26" s="11"/>
    </row>
    <row r="27" spans="1:14" ht="12.95" customHeight="1" x14ac:dyDescent="0.25">
      <c r="A27" s="45" t="s">
        <v>94</v>
      </c>
      <c r="B27" s="4" t="str">
        <f t="shared" si="0"/>
        <v>x</v>
      </c>
      <c r="C27" s="4"/>
      <c r="D27" s="4"/>
      <c r="F27" s="8"/>
      <c r="G27" s="19"/>
      <c r="H27" s="10"/>
      <c r="I27" s="21"/>
      <c r="J27" s="8" t="str">
        <f>+'Room 1'!J27</f>
        <v>No dust, filter fairly clean</v>
      </c>
      <c r="K27" s="19"/>
      <c r="L27" s="19"/>
      <c r="M27" s="19"/>
      <c r="N27" s="10"/>
    </row>
    <row r="28" spans="1:14" ht="12.95" customHeight="1" x14ac:dyDescent="0.25">
      <c r="A28" s="45" t="s">
        <v>96</v>
      </c>
      <c r="B28" s="4" t="str">
        <f t="shared" si="0"/>
        <v>x</v>
      </c>
      <c r="C28" s="3"/>
      <c r="D28" s="3"/>
      <c r="F28" s="9"/>
      <c r="G28" s="20"/>
      <c r="H28" s="11"/>
      <c r="I28" s="21"/>
      <c r="J28" s="90" t="str">
        <f>+'Room 1'!J28</f>
        <v>Clean surface, no dust on top</v>
      </c>
      <c r="K28" s="20"/>
      <c r="L28" s="20"/>
      <c r="M28" s="20"/>
      <c r="N28" s="11"/>
    </row>
    <row r="29" spans="1:14" ht="12.95" customHeight="1" x14ac:dyDescent="0.25">
      <c r="A29" s="45" t="s">
        <v>99</v>
      </c>
      <c r="B29" s="4" t="str">
        <f t="shared" si="0"/>
        <v>x</v>
      </c>
      <c r="C29" s="4"/>
      <c r="D29" s="6"/>
      <c r="F29" s="8"/>
      <c r="G29" s="19"/>
      <c r="H29" s="10"/>
      <c r="I29" s="21"/>
      <c r="J29" s="8" t="str">
        <f>+'Room 1'!J29</f>
        <v>Made per standard - 4" btwn pillows &amp; fold, properly tucked, looks clean/crisp</v>
      </c>
      <c r="K29" s="19"/>
      <c r="L29" s="19"/>
      <c r="M29" s="19"/>
      <c r="N29" s="10"/>
    </row>
    <row r="30" spans="1:14" ht="12.95" customHeight="1" x14ac:dyDescent="0.25">
      <c r="A30" s="45" t="s">
        <v>101</v>
      </c>
      <c r="B30" s="4" t="str">
        <f t="shared" si="0"/>
        <v>x</v>
      </c>
      <c r="C30" s="3"/>
      <c r="D30" s="3"/>
      <c r="F30" s="9"/>
      <c r="G30" s="20"/>
      <c r="H30" s="11"/>
      <c r="I30" s="21"/>
      <c r="J30" s="90" t="str">
        <f>+'Room 1'!J30</f>
        <v>Even length &amp; straight, not wrinkled</v>
      </c>
      <c r="K30" s="20"/>
      <c r="L30" s="20"/>
      <c r="M30" s="20"/>
      <c r="N30" s="11"/>
    </row>
    <row r="31" spans="1:14" ht="12.95" customHeight="1" x14ac:dyDescent="0.25">
      <c r="A31" s="45" t="s">
        <v>103</v>
      </c>
      <c r="B31" s="4" t="str">
        <f t="shared" si="0"/>
        <v>x</v>
      </c>
      <c r="C31" s="4"/>
      <c r="D31" s="4"/>
      <c r="F31" s="8"/>
      <c r="G31" s="19"/>
      <c r="H31" s="10"/>
      <c r="I31" s="21"/>
      <c r="J31" s="8" t="str">
        <f>+'Room 1'!J31</f>
        <v>Full sized &amp; appealing appearance</v>
      </c>
      <c r="K31" s="19"/>
      <c r="L31" s="19"/>
      <c r="M31" s="19"/>
      <c r="N31" s="10"/>
    </row>
    <row r="32" spans="1:14" ht="12.95" customHeight="1" x14ac:dyDescent="0.25">
      <c r="A32" s="45" t="s">
        <v>105</v>
      </c>
      <c r="B32" s="4" t="str">
        <f t="shared" si="0"/>
        <v>x</v>
      </c>
      <c r="C32" s="3"/>
      <c r="D32" s="6"/>
      <c r="F32" s="9"/>
      <c r="G32" s="20"/>
      <c r="H32" s="11"/>
      <c r="I32" s="21"/>
      <c r="J32" s="90" t="str">
        <f>+'Room 1'!J32</f>
        <v>Not wrinkled, properly tucked &amp; top corners pointed</v>
      </c>
      <c r="K32" s="20"/>
      <c r="L32" s="20"/>
      <c r="M32" s="20"/>
      <c r="N32" s="11"/>
    </row>
    <row r="33" spans="1:14" ht="12.95" customHeight="1" x14ac:dyDescent="0.25">
      <c r="A33" s="45" t="s">
        <v>107</v>
      </c>
      <c r="B33" s="4" t="str">
        <f t="shared" si="0"/>
        <v>x</v>
      </c>
      <c r="C33" s="4"/>
      <c r="D33" s="6"/>
      <c r="F33" s="8"/>
      <c r="G33" s="19"/>
      <c r="H33" s="10"/>
      <c r="I33" s="21"/>
      <c r="J33" s="8" t="str">
        <f>+'Room 1'!J33</f>
        <v>Pulled tight, not or minimally wrinkled, no stains</v>
      </c>
      <c r="K33" s="19"/>
      <c r="L33" s="19"/>
      <c r="M33" s="19"/>
      <c r="N33" s="10"/>
    </row>
    <row r="34" spans="1:14" ht="12.95" customHeight="1" x14ac:dyDescent="0.25">
      <c r="A34" s="45" t="s">
        <v>109</v>
      </c>
      <c r="B34" s="4" t="str">
        <f t="shared" si="0"/>
        <v>x</v>
      </c>
      <c r="C34" s="3"/>
      <c r="D34" s="3"/>
      <c r="F34" s="9"/>
      <c r="G34" s="20"/>
      <c r="H34" s="11"/>
      <c r="I34" s="21"/>
      <c r="J34" s="90" t="str">
        <f>+'Room 1'!J34</f>
        <v>No dust</v>
      </c>
      <c r="K34" s="20"/>
      <c r="L34" s="20"/>
      <c r="M34" s="20"/>
      <c r="N34" s="11"/>
    </row>
    <row r="35" spans="1:14" ht="12.95" customHeight="1" x14ac:dyDescent="0.25">
      <c r="A35" s="45" t="s">
        <v>111</v>
      </c>
      <c r="B35" s="4" t="str">
        <f t="shared" si="0"/>
        <v>x</v>
      </c>
      <c r="C35" s="4"/>
      <c r="D35" s="4"/>
      <c r="F35" s="8"/>
      <c r="G35" s="19"/>
      <c r="H35" s="10"/>
      <c r="I35" s="21"/>
      <c r="J35" s="8" t="str">
        <f>+'Room 1'!J35</f>
        <v>Crumbs / debris in area where vacuum won't go</v>
      </c>
      <c r="K35" s="19"/>
      <c r="L35" s="19"/>
      <c r="M35" s="19"/>
      <c r="N35" s="10"/>
    </row>
    <row r="36" spans="1:14" ht="12.95" customHeight="1" x14ac:dyDescent="0.25">
      <c r="A36" s="45" t="s">
        <v>113</v>
      </c>
      <c r="B36" s="4" t="str">
        <f t="shared" si="0"/>
        <v>x</v>
      </c>
      <c r="C36" s="3"/>
      <c r="D36" s="3"/>
      <c r="F36" s="9"/>
      <c r="G36" s="20"/>
      <c r="H36" s="11"/>
      <c r="I36" s="21"/>
      <c r="J36" s="90" t="str">
        <f>+'Room 1'!J36</f>
        <v xml:space="preserve">Clean top surface, both sides, drawer and wall behind nightstand </v>
      </c>
      <c r="K36" s="20"/>
      <c r="L36" s="20"/>
      <c r="M36" s="20"/>
      <c r="N36" s="11"/>
    </row>
    <row r="37" spans="1:14" ht="12.95" customHeight="1" x14ac:dyDescent="0.25">
      <c r="A37" s="45" t="s">
        <v>115</v>
      </c>
      <c r="B37" s="4" t="str">
        <f t="shared" si="0"/>
        <v>x</v>
      </c>
      <c r="C37" s="4"/>
      <c r="D37" s="4"/>
      <c r="F37" s="8"/>
      <c r="G37" s="19"/>
      <c r="H37" s="10"/>
      <c r="I37" s="21"/>
      <c r="J37" s="8" t="str">
        <f>+'Room 1'!J37</f>
        <v>Present, pad is in new condition</v>
      </c>
      <c r="K37" s="19"/>
      <c r="L37" s="19"/>
      <c r="M37" s="19"/>
      <c r="N37" s="10"/>
    </row>
    <row r="38" spans="1:14" ht="12.95" customHeight="1" x14ac:dyDescent="0.25">
      <c r="A38" s="45" t="s">
        <v>117</v>
      </c>
      <c r="B38" s="4" t="str">
        <f t="shared" si="0"/>
        <v>x</v>
      </c>
      <c r="C38" s="3"/>
      <c r="D38" s="3"/>
      <c r="F38" s="9"/>
      <c r="G38" s="20"/>
      <c r="H38" s="11"/>
      <c r="I38" s="21"/>
      <c r="J38" s="90" t="str">
        <f>+'Room 1'!J38</f>
        <v>Cradle &amp; Handset clean, faceplate in good condition and has right room #</v>
      </c>
      <c r="K38" s="20"/>
      <c r="L38" s="20"/>
      <c r="M38" s="20"/>
      <c r="N38" s="11"/>
    </row>
    <row r="39" spans="1:14" ht="12.95" customHeight="1" x14ac:dyDescent="0.25">
      <c r="A39" s="45" t="s">
        <v>119</v>
      </c>
      <c r="B39" s="4" t="str">
        <f t="shared" si="0"/>
        <v>x</v>
      </c>
      <c r="C39" s="4"/>
      <c r="D39" s="4"/>
      <c r="F39" s="8"/>
      <c r="G39" s="19"/>
      <c r="H39" s="10"/>
      <c r="I39" s="21"/>
      <c r="J39" s="8" t="str">
        <f>+'Room 1'!J39</f>
        <v>Clean, display working and time set accurately.</v>
      </c>
      <c r="K39" s="19"/>
      <c r="L39" s="19"/>
      <c r="M39" s="19"/>
      <c r="N39" s="10"/>
    </row>
    <row r="40" spans="1:14" ht="12.95" customHeight="1" x14ac:dyDescent="0.25">
      <c r="A40" s="45" t="s">
        <v>121</v>
      </c>
      <c r="B40" s="4" t="str">
        <f t="shared" si="0"/>
        <v>x</v>
      </c>
      <c r="C40" s="3"/>
      <c r="D40" s="3"/>
      <c r="F40" s="9"/>
      <c r="G40" s="20"/>
      <c r="H40" s="11"/>
      <c r="I40" s="21"/>
      <c r="J40" s="90" t="str">
        <f>+'Room 1'!J40</f>
        <v>No dust, bulbs working &amp; same color</v>
      </c>
      <c r="K40" s="20"/>
      <c r="L40" s="20"/>
      <c r="M40" s="20"/>
      <c r="N40" s="11"/>
    </row>
    <row r="41" spans="1:14" ht="12.95" customHeight="1" x14ac:dyDescent="0.25">
      <c r="A41" s="45" t="s">
        <v>123</v>
      </c>
      <c r="B41" s="4" t="str">
        <f t="shared" si="0"/>
        <v>x</v>
      </c>
      <c r="C41" s="4"/>
      <c r="D41" s="4"/>
      <c r="F41" s="8"/>
      <c r="G41" s="19"/>
      <c r="H41" s="10"/>
      <c r="I41" s="21"/>
      <c r="J41" s="8" t="str">
        <f>+'Room 1'!J41</f>
        <v>Straight, seam in back, clean</v>
      </c>
      <c r="K41" s="19"/>
      <c r="L41" s="19"/>
      <c r="M41" s="19"/>
      <c r="N41" s="10"/>
    </row>
    <row r="42" spans="1:14" ht="12.95" customHeight="1" x14ac:dyDescent="0.25">
      <c r="A42" s="45" t="s">
        <v>125</v>
      </c>
      <c r="B42" s="4" t="str">
        <f t="shared" si="0"/>
        <v>x</v>
      </c>
      <c r="C42" s="3"/>
      <c r="D42" s="3"/>
      <c r="F42" s="9"/>
      <c r="G42" s="20"/>
      <c r="H42" s="11"/>
      <c r="I42" s="21"/>
      <c r="J42" s="90" t="str">
        <f>+'Room 1'!J42</f>
        <v>Clean surface, no dust on top</v>
      </c>
      <c r="K42" s="20"/>
      <c r="L42" s="20"/>
      <c r="M42" s="20"/>
      <c r="N42" s="11"/>
    </row>
    <row r="43" spans="1:14" ht="12.95" customHeight="1" x14ac:dyDescent="0.25">
      <c r="A43" s="45" t="s">
        <v>126</v>
      </c>
      <c r="B43" s="4" t="str">
        <f t="shared" si="0"/>
        <v>x</v>
      </c>
      <c r="C43" s="4"/>
      <c r="D43" s="6"/>
      <c r="F43" s="8"/>
      <c r="G43" s="19"/>
      <c r="H43" s="10"/>
      <c r="I43" s="21"/>
      <c r="J43" s="8" t="str">
        <f>+'Room 1'!J43</f>
        <v>Made per standard - 4" between pillows &amp; fold, properly tucked</v>
      </c>
      <c r="K43" s="19"/>
      <c r="L43" s="19"/>
      <c r="M43" s="19"/>
      <c r="N43" s="10"/>
    </row>
    <row r="44" spans="1:14" ht="12.95" customHeight="1" x14ac:dyDescent="0.25">
      <c r="A44" s="45" t="s">
        <v>101</v>
      </c>
      <c r="B44" s="4" t="str">
        <f t="shared" si="0"/>
        <v>x</v>
      </c>
      <c r="C44" s="3"/>
      <c r="D44" s="3"/>
      <c r="F44" s="9"/>
      <c r="G44" s="20"/>
      <c r="H44" s="11"/>
      <c r="I44" s="21"/>
      <c r="J44" s="90" t="str">
        <f>+'Room 1'!J44</f>
        <v>Even length &amp; straight, not wrinkled</v>
      </c>
      <c r="K44" s="20"/>
      <c r="L44" s="20"/>
      <c r="M44" s="20"/>
      <c r="N44" s="11"/>
    </row>
    <row r="45" spans="1:14" ht="12.95" customHeight="1" x14ac:dyDescent="0.25">
      <c r="A45" s="45" t="s">
        <v>103</v>
      </c>
      <c r="B45" s="4" t="str">
        <f t="shared" si="0"/>
        <v>x</v>
      </c>
      <c r="C45" s="4"/>
      <c r="D45" s="4"/>
      <c r="F45" s="8"/>
      <c r="G45" s="19"/>
      <c r="H45" s="10"/>
      <c r="I45" s="21"/>
      <c r="J45" s="8" t="str">
        <f>+'Room 1'!J45</f>
        <v>Full sized &amp; appealing appearance</v>
      </c>
      <c r="K45" s="19"/>
      <c r="L45" s="19"/>
      <c r="M45" s="19"/>
      <c r="N45" s="10"/>
    </row>
    <row r="46" spans="1:14" ht="12.95" customHeight="1" thickBot="1" x14ac:dyDescent="0.3">
      <c r="A46" s="45" t="s">
        <v>105</v>
      </c>
      <c r="B46" s="4" t="str">
        <f t="shared" si="0"/>
        <v>x</v>
      </c>
      <c r="C46" s="3"/>
      <c r="D46" s="6"/>
      <c r="F46" s="9"/>
      <c r="G46" s="20"/>
      <c r="H46" s="11"/>
      <c r="I46" s="21"/>
      <c r="J46" s="90" t="str">
        <f>+'Room 1'!J46</f>
        <v>Not wrinkled, properly tuckeed &amp; top corners pointed</v>
      </c>
      <c r="K46" s="20"/>
      <c r="L46" s="20"/>
      <c r="M46" s="20"/>
      <c r="N46" s="11"/>
    </row>
    <row r="47" spans="1:14" ht="24" customHeight="1" thickBot="1" x14ac:dyDescent="0.3">
      <c r="A47" s="124" t="s">
        <v>129</v>
      </c>
      <c r="B47" s="125"/>
      <c r="C47" s="125"/>
      <c r="D47" s="125"/>
      <c r="E47" s="125"/>
      <c r="F47" s="125"/>
      <c r="G47" s="125"/>
      <c r="H47" s="125"/>
      <c r="I47" s="125"/>
      <c r="J47" s="125"/>
      <c r="K47" s="125"/>
      <c r="L47" s="125"/>
      <c r="M47" s="125"/>
      <c r="N47" s="126"/>
    </row>
    <row r="48" spans="1:14" ht="16.5" customHeight="1" x14ac:dyDescent="0.25">
      <c r="A48" s="64"/>
      <c r="B48" s="48" t="s">
        <v>10</v>
      </c>
      <c r="C48" s="48" t="s">
        <v>11</v>
      </c>
      <c r="D48" s="49" t="s">
        <v>12</v>
      </c>
      <c r="E48" s="48"/>
      <c r="F48" s="128" t="s">
        <v>57</v>
      </c>
      <c r="G48" s="128"/>
      <c r="H48" s="128"/>
      <c r="I48" s="48"/>
      <c r="J48" s="119" t="s">
        <v>58</v>
      </c>
      <c r="K48" s="119"/>
      <c r="L48" s="119"/>
      <c r="M48" s="119"/>
      <c r="N48" s="120"/>
    </row>
    <row r="49" spans="1:14" ht="14.1" customHeight="1" x14ac:dyDescent="0.25">
      <c r="A49" s="46" t="s">
        <v>107</v>
      </c>
      <c r="B49" s="4" t="str">
        <f t="shared" ref="B49:B59" si="1">+IF(OR(C49="x",D49="x"),0,"x")</f>
        <v>x</v>
      </c>
      <c r="C49" s="4"/>
      <c r="D49" s="6"/>
      <c r="F49" s="8"/>
      <c r="G49" s="19"/>
      <c r="H49" s="10"/>
      <c r="I49" s="21"/>
      <c r="J49" s="8" t="str">
        <f>+'Room 1'!J49</f>
        <v>Pulled tight, not or minimally wrinkled, no stains</v>
      </c>
      <c r="K49" s="19"/>
      <c r="L49" s="19"/>
      <c r="M49" s="19"/>
      <c r="N49" s="25"/>
    </row>
    <row r="50" spans="1:14" ht="14.1" customHeight="1" thickBot="1" x14ac:dyDescent="0.3">
      <c r="A50" s="46" t="s">
        <v>130</v>
      </c>
      <c r="B50" s="4" t="str">
        <f t="shared" si="1"/>
        <v>x</v>
      </c>
      <c r="C50" s="3"/>
      <c r="D50" s="3"/>
      <c r="F50" s="30"/>
      <c r="G50" s="31"/>
      <c r="H50" s="44"/>
      <c r="I50" s="21"/>
      <c r="J50" s="90" t="str">
        <f>+'Room 1'!J50</f>
        <v>No dust</v>
      </c>
      <c r="K50" s="20"/>
      <c r="L50" s="20"/>
      <c r="M50" s="20"/>
      <c r="N50" s="26"/>
    </row>
    <row r="51" spans="1:14" ht="12.95" customHeight="1" x14ac:dyDescent="0.25">
      <c r="A51" s="46" t="s">
        <v>131</v>
      </c>
      <c r="B51" s="4" t="str">
        <f t="shared" si="1"/>
        <v>x</v>
      </c>
      <c r="C51" s="4"/>
      <c r="D51" s="4"/>
      <c r="F51" s="8"/>
      <c r="G51" s="19"/>
      <c r="H51" s="10"/>
      <c r="I51" s="21"/>
      <c r="J51" s="8" t="str">
        <f>+'Room 1'!J51</f>
        <v xml:space="preserve">Clean top surface, both sides, drawer and wall behind nightstand </v>
      </c>
      <c r="K51" s="19"/>
      <c r="L51" s="19"/>
      <c r="M51" s="19"/>
      <c r="N51" s="25"/>
    </row>
    <row r="52" spans="1:14" ht="12.95" customHeight="1" x14ac:dyDescent="0.25">
      <c r="A52" s="46" t="s">
        <v>132</v>
      </c>
      <c r="B52" s="4" t="str">
        <f t="shared" si="1"/>
        <v>x</v>
      </c>
      <c r="C52" s="3"/>
      <c r="D52" s="3"/>
      <c r="F52" s="9"/>
      <c r="G52" s="20"/>
      <c r="H52" s="11"/>
      <c r="I52" s="21"/>
      <c r="J52" s="90" t="str">
        <f>+'Room 1'!J52</f>
        <v>No soiled cushions, zipper to back</v>
      </c>
      <c r="K52" s="20"/>
      <c r="L52" s="20"/>
      <c r="M52" s="20"/>
      <c r="N52" s="26"/>
    </row>
    <row r="53" spans="1:14" ht="12.95" customHeight="1" x14ac:dyDescent="0.25">
      <c r="A53" s="46" t="s">
        <v>134</v>
      </c>
      <c r="B53" s="4" t="str">
        <f t="shared" si="1"/>
        <v>x</v>
      </c>
      <c r="C53" s="4"/>
      <c r="D53" s="4"/>
      <c r="F53" s="8"/>
      <c r="G53" s="19"/>
      <c r="H53" s="10"/>
      <c r="I53" s="21"/>
      <c r="J53" s="8" t="str">
        <f>+'Room 1'!J53</f>
        <v>No dirty linen, mattress clean no debris underneath</v>
      </c>
      <c r="K53" s="19"/>
      <c r="L53" s="19"/>
      <c r="M53" s="19"/>
      <c r="N53" s="25"/>
    </row>
    <row r="54" spans="1:14" ht="12.95" customHeight="1" x14ac:dyDescent="0.25">
      <c r="A54" s="46" t="s">
        <v>136</v>
      </c>
      <c r="B54" s="4" t="str">
        <f t="shared" si="1"/>
        <v>x</v>
      </c>
      <c r="C54" s="3"/>
      <c r="D54" s="3"/>
      <c r="F54" s="9"/>
      <c r="G54" s="20"/>
      <c r="H54" s="11"/>
      <c r="I54" s="21"/>
      <c r="J54" s="90" t="str">
        <f>+'Room 1'!J54</f>
        <v xml:space="preserve">Clean surface, no dust or soil on legs  </v>
      </c>
      <c r="K54" s="20"/>
      <c r="L54" s="20"/>
      <c r="M54" s="20"/>
      <c r="N54" s="26"/>
    </row>
    <row r="55" spans="1:14" ht="12.95" customHeight="1" x14ac:dyDescent="0.25">
      <c r="A55" s="46" t="s">
        <v>138</v>
      </c>
      <c r="B55" s="4" t="str">
        <f t="shared" si="1"/>
        <v>x</v>
      </c>
      <c r="C55" s="4"/>
      <c r="D55" s="4"/>
      <c r="F55" s="8"/>
      <c r="G55" s="19"/>
      <c r="H55" s="10"/>
      <c r="I55" s="21"/>
      <c r="J55" s="8" t="str">
        <f>+'Room 1'!J55</f>
        <v>Not scuffed or soiled</v>
      </c>
      <c r="K55" s="19"/>
      <c r="L55" s="19"/>
      <c r="M55" s="19"/>
      <c r="N55" s="25"/>
    </row>
    <row r="56" spans="1:14" ht="12.95" customHeight="1" x14ac:dyDescent="0.25">
      <c r="A56" s="46" t="s">
        <v>140</v>
      </c>
      <c r="B56" s="4" t="str">
        <f t="shared" si="1"/>
        <v>x</v>
      </c>
      <c r="C56" s="3"/>
      <c r="D56" s="3"/>
      <c r="F56" s="9"/>
      <c r="G56" s="20"/>
      <c r="H56" s="11"/>
      <c r="I56" s="21"/>
      <c r="J56" s="90" t="str">
        <f>+'Room 1'!J56</f>
        <v>Proper number of matching hangers, laundry bag</v>
      </c>
      <c r="K56" s="20"/>
      <c r="L56" s="20"/>
      <c r="M56" s="20"/>
      <c r="N56" s="26"/>
    </row>
    <row r="57" spans="1:14" ht="12.95" customHeight="1" x14ac:dyDescent="0.25">
      <c r="A57" s="46" t="s">
        <v>142</v>
      </c>
      <c r="B57" s="4" t="str">
        <f t="shared" si="1"/>
        <v>x</v>
      </c>
      <c r="C57" s="4"/>
      <c r="D57" s="4"/>
      <c r="F57" s="8"/>
      <c r="G57" s="19"/>
      <c r="H57" s="10"/>
      <c r="I57" s="21"/>
      <c r="J57" s="8" t="str">
        <f>+'Room 1'!J57</f>
        <v>no water in iron, cord neatly wrapped, board cover not stained / soiled</v>
      </c>
      <c r="K57" s="19"/>
      <c r="L57" s="19"/>
      <c r="M57" s="19"/>
      <c r="N57" s="25"/>
    </row>
    <row r="58" spans="1:14" ht="12.95" customHeight="1" x14ac:dyDescent="0.25">
      <c r="A58" s="46" t="s">
        <v>144</v>
      </c>
      <c r="B58" s="4" t="str">
        <f t="shared" si="1"/>
        <v>x</v>
      </c>
      <c r="C58" s="3"/>
      <c r="D58" s="3"/>
      <c r="F58" s="9"/>
      <c r="G58" s="20"/>
      <c r="H58" s="11"/>
      <c r="I58" s="21"/>
      <c r="J58" s="90" t="str">
        <f>+'Room 1'!J58</f>
        <v>Clean</v>
      </c>
      <c r="K58" s="20"/>
      <c r="L58" s="20"/>
      <c r="M58" s="20"/>
      <c r="N58" s="26"/>
    </row>
    <row r="59" spans="1:14" ht="12.95" customHeight="1" x14ac:dyDescent="0.25">
      <c r="A59" s="46" t="s">
        <v>146</v>
      </c>
      <c r="B59" s="4" t="str">
        <f t="shared" si="1"/>
        <v>x</v>
      </c>
      <c r="C59" s="4"/>
      <c r="D59" s="6"/>
      <c r="F59" s="8"/>
      <c r="G59" s="19"/>
      <c r="H59" s="10"/>
      <c r="I59" s="21"/>
      <c r="J59" s="8" t="str">
        <f>+'Room 1'!J59</f>
        <v>Carpet thoroughly vacuumed &amp; free of debris &amp; soiling - incl. corners / edges</v>
      </c>
      <c r="K59" s="19"/>
      <c r="L59" s="19"/>
      <c r="M59" s="19"/>
      <c r="N59" s="25"/>
    </row>
    <row r="60" spans="1:14" ht="15.75" thickBot="1" x14ac:dyDescent="0.3">
      <c r="A60" s="27" t="s">
        <v>148</v>
      </c>
      <c r="B60" s="56">
        <f>COUNTIF(B9:B59,"x")</f>
        <v>49</v>
      </c>
      <c r="C60" s="35">
        <f>COUNTIF(C9:C59,"x")</f>
        <v>0</v>
      </c>
      <c r="D60" s="35">
        <f>(COUNTIF(D9:D59,"x")*2)+(COUNTIF(D59,"x")+COUNTIF(D49,"x")+COUNTIF(D46,"x")+COUNTIF(D43,"x")+COUNTIF(D33,"x")+COUNTIF(D32,"x")+COUNTIF(D29,"x"))*2</f>
        <v>0</v>
      </c>
      <c r="E60" s="28"/>
      <c r="F60" s="28" t="s">
        <v>149</v>
      </c>
      <c r="G60" s="28"/>
      <c r="H60" s="28"/>
      <c r="I60" s="28"/>
      <c r="J60" s="28"/>
      <c r="K60" s="28"/>
      <c r="L60" s="28"/>
      <c r="M60" s="28"/>
      <c r="N60" s="33"/>
    </row>
    <row r="61" spans="1:14" ht="5.25" customHeight="1" thickBot="1" x14ac:dyDescent="0.3">
      <c r="A61" s="5"/>
      <c r="C61" s="1"/>
    </row>
    <row r="62" spans="1:14" ht="21.75" thickBot="1" x14ac:dyDescent="0.4">
      <c r="A62" s="121" t="s">
        <v>7</v>
      </c>
      <c r="B62" s="122"/>
      <c r="C62" s="122"/>
      <c r="D62" s="122"/>
      <c r="E62" s="122"/>
      <c r="F62" s="122"/>
      <c r="G62" s="122"/>
      <c r="H62" s="122"/>
      <c r="I62" s="122"/>
      <c r="J62" s="122"/>
      <c r="K62" s="122"/>
      <c r="L62" s="122"/>
      <c r="M62" s="122"/>
      <c r="N62" s="123"/>
    </row>
    <row r="63" spans="1:14" ht="15.75" x14ac:dyDescent="0.25">
      <c r="A63" s="47"/>
      <c r="B63" s="48" t="s">
        <v>10</v>
      </c>
      <c r="C63" s="48" t="s">
        <v>11</v>
      </c>
      <c r="D63" s="49" t="s">
        <v>12</v>
      </c>
      <c r="E63" s="48"/>
      <c r="F63" s="128" t="s">
        <v>57</v>
      </c>
      <c r="G63" s="128"/>
      <c r="H63" s="128"/>
      <c r="I63" s="48"/>
      <c r="J63" s="119" t="s">
        <v>58</v>
      </c>
      <c r="K63" s="119"/>
      <c r="L63" s="119"/>
      <c r="M63" s="119"/>
      <c r="N63" s="120"/>
    </row>
    <row r="64" spans="1:14" ht="12.95" customHeight="1" x14ac:dyDescent="0.25">
      <c r="A64" s="24" t="s">
        <v>150</v>
      </c>
      <c r="B64" s="4" t="str">
        <f t="shared" ref="B64:B89" si="2">+IF(OR(C64="x",D64="x"),0,"x")</f>
        <v>x</v>
      </c>
      <c r="C64" s="4"/>
      <c r="D64" s="4"/>
      <c r="E64" s="61"/>
      <c r="F64" s="8"/>
      <c r="G64" s="19"/>
      <c r="H64" s="19"/>
      <c r="I64" s="21"/>
      <c r="J64" s="8" t="str">
        <f>+'Room 1'!J64</f>
        <v>Clean &amp; no lint or hair in filter screen</v>
      </c>
      <c r="K64" s="19"/>
      <c r="L64" s="19"/>
      <c r="M64" s="19"/>
      <c r="N64" s="25"/>
    </row>
    <row r="65" spans="1:14" ht="12.95" customHeight="1" x14ac:dyDescent="0.25">
      <c r="A65" s="24" t="s">
        <v>152</v>
      </c>
      <c r="B65" s="4" t="str">
        <f t="shared" si="2"/>
        <v>x</v>
      </c>
      <c r="C65" s="3"/>
      <c r="D65" s="3"/>
      <c r="E65" s="61"/>
      <c r="F65" s="9"/>
      <c r="G65" s="20"/>
      <c r="H65" s="20"/>
      <c r="I65" s="21"/>
      <c r="J65" s="90" t="str">
        <f>+'Room 1'!J65</f>
        <v>Clean and adequately filled</v>
      </c>
      <c r="K65" s="20"/>
      <c r="L65" s="20"/>
      <c r="M65" s="20"/>
      <c r="N65" s="26"/>
    </row>
    <row r="66" spans="1:14" ht="12.95" customHeight="1" x14ac:dyDescent="0.25">
      <c r="A66" s="24" t="s">
        <v>63</v>
      </c>
      <c r="B66" s="4" t="str">
        <f t="shared" si="2"/>
        <v>x</v>
      </c>
      <c r="C66" s="4"/>
      <c r="D66" s="4"/>
      <c r="E66" s="61"/>
      <c r="F66" s="8"/>
      <c r="G66" s="19"/>
      <c r="H66" s="19"/>
      <c r="I66" s="21"/>
      <c r="J66" s="8" t="str">
        <f>+'Room 1'!J66</f>
        <v>No dust around edges, no spots or smudges on mirror</v>
      </c>
      <c r="K66" s="19"/>
      <c r="L66" s="19"/>
      <c r="M66" s="19"/>
      <c r="N66" s="25"/>
    </row>
    <row r="67" spans="1:14" ht="12.95" customHeight="1" x14ac:dyDescent="0.25">
      <c r="A67" s="24" t="s">
        <v>155</v>
      </c>
      <c r="B67" s="4" t="str">
        <f t="shared" si="2"/>
        <v>x</v>
      </c>
      <c r="C67" s="3"/>
      <c r="D67" s="3"/>
      <c r="E67" s="61"/>
      <c r="F67" s="9"/>
      <c r="G67" s="20"/>
      <c r="H67" s="20"/>
      <c r="I67" s="21"/>
      <c r="J67" s="90" t="str">
        <f>+'Room 1'!J67</f>
        <v>Properly stocked and presented</v>
      </c>
      <c r="K67" s="20"/>
      <c r="L67" s="20"/>
      <c r="M67" s="20"/>
      <c r="N67" s="26"/>
    </row>
    <row r="68" spans="1:14" ht="12.95" customHeight="1" x14ac:dyDescent="0.25">
      <c r="A68" s="24" t="s">
        <v>157</v>
      </c>
      <c r="B68" s="4" t="str">
        <f t="shared" si="2"/>
        <v>x</v>
      </c>
      <c r="C68" s="4"/>
      <c r="D68" s="4"/>
      <c r="E68" s="61"/>
      <c r="F68" s="8"/>
      <c r="G68" s="19"/>
      <c r="H68" s="19"/>
      <c r="I68" s="21"/>
      <c r="J68" s="8" t="str">
        <f>+'Room 1'!J68</f>
        <v>Clean - top and on vanity underneath</v>
      </c>
      <c r="K68" s="19"/>
      <c r="L68" s="19"/>
      <c r="M68" s="19"/>
      <c r="N68" s="25"/>
    </row>
    <row r="69" spans="1:14" ht="12.95" customHeight="1" x14ac:dyDescent="0.25">
      <c r="A69" s="24" t="s">
        <v>159</v>
      </c>
      <c r="B69" s="4" t="str">
        <f t="shared" si="2"/>
        <v>x</v>
      </c>
      <c r="C69" s="3"/>
      <c r="D69" s="6"/>
      <c r="E69" s="61"/>
      <c r="F69" s="9"/>
      <c r="G69" s="20"/>
      <c r="H69" s="20"/>
      <c r="I69" s="21"/>
      <c r="J69" s="90" t="str">
        <f>+'Room 1'!J69</f>
        <v xml:space="preserve">Sweep vanity surface with your hand into sink - </v>
      </c>
      <c r="K69" s="20"/>
      <c r="L69" s="20"/>
      <c r="M69" s="20"/>
      <c r="N69" s="26"/>
    </row>
    <row r="70" spans="1:14" ht="12.95" customHeight="1" x14ac:dyDescent="0.25">
      <c r="A70" s="24" t="s">
        <v>161</v>
      </c>
      <c r="B70" s="4" t="str">
        <f t="shared" si="2"/>
        <v>x</v>
      </c>
      <c r="C70" s="4"/>
      <c r="D70" s="6"/>
      <c r="E70" s="61"/>
      <c r="F70" s="8"/>
      <c r="G70" s="19"/>
      <c r="H70" s="19"/>
      <c r="I70" s="21"/>
      <c r="J70" s="8" t="str">
        <f>+'Room 1'!J70</f>
        <v>No hair or debris from vanity sweep</v>
      </c>
      <c r="K70" s="19"/>
      <c r="L70" s="19"/>
      <c r="M70" s="19"/>
      <c r="N70" s="25"/>
    </row>
    <row r="71" spans="1:14" ht="12.95" customHeight="1" x14ac:dyDescent="0.25">
      <c r="A71" s="24" t="s">
        <v>163</v>
      </c>
      <c r="B71" s="4" t="str">
        <f t="shared" si="2"/>
        <v>x</v>
      </c>
      <c r="C71" s="3"/>
      <c r="D71" s="3"/>
      <c r="E71" s="61"/>
      <c r="F71" s="9"/>
      <c r="G71" s="20"/>
      <c r="H71" s="20"/>
      <c r="I71" s="21"/>
      <c r="J71" s="90" t="str">
        <f>+'Room 1'!J71</f>
        <v>No water spots or discoloration</v>
      </c>
      <c r="K71" s="20"/>
      <c r="L71" s="20"/>
      <c r="M71" s="20"/>
      <c r="N71" s="26"/>
    </row>
    <row r="72" spans="1:14" ht="12.95" customHeight="1" x14ac:dyDescent="0.25">
      <c r="A72" s="24" t="s">
        <v>165</v>
      </c>
      <c r="B72" s="4" t="str">
        <f t="shared" si="2"/>
        <v>x</v>
      </c>
      <c r="C72" s="4"/>
      <c r="D72" s="4"/>
      <c r="E72" s="61"/>
      <c r="F72" s="8"/>
      <c r="G72" s="19"/>
      <c r="H72" s="19"/>
      <c r="I72" s="21"/>
      <c r="J72" s="8" t="str">
        <f>+'Room 1'!J72</f>
        <v>No dust on cabinet / shelf</v>
      </c>
      <c r="K72" s="19"/>
      <c r="L72" s="19"/>
      <c r="M72" s="19"/>
      <c r="N72" s="25"/>
    </row>
    <row r="73" spans="1:14" ht="12.95" customHeight="1" x14ac:dyDescent="0.25">
      <c r="A73" s="24" t="s">
        <v>167</v>
      </c>
      <c r="B73" s="4" t="str">
        <f t="shared" si="2"/>
        <v>x</v>
      </c>
      <c r="C73" s="3"/>
      <c r="D73" s="3"/>
      <c r="E73" s="61"/>
      <c r="F73" s="9"/>
      <c r="G73" s="20"/>
      <c r="H73" s="20"/>
      <c r="I73" s="21"/>
      <c r="J73" s="90" t="str">
        <f>+'Room 1'!J73</f>
        <v>Proper # and neat standardized presentation</v>
      </c>
      <c r="K73" s="20"/>
      <c r="L73" s="20"/>
      <c r="M73" s="20"/>
      <c r="N73" s="26"/>
    </row>
    <row r="74" spans="1:14" ht="12.95" customHeight="1" x14ac:dyDescent="0.25">
      <c r="A74" s="24" t="s">
        <v>169</v>
      </c>
      <c r="B74" s="4" t="str">
        <f t="shared" si="2"/>
        <v>x</v>
      </c>
      <c r="C74" s="4"/>
      <c r="D74" s="4"/>
      <c r="E74" s="61"/>
      <c r="F74" s="8"/>
      <c r="G74" s="19"/>
      <c r="H74" s="19"/>
      <c r="I74" s="21"/>
      <c r="J74" s="8" t="str">
        <f>+'Room 1'!J74</f>
        <v>TP end folded and backup roll present</v>
      </c>
      <c r="K74" s="19"/>
      <c r="L74" s="19"/>
      <c r="M74" s="19"/>
      <c r="N74" s="25"/>
    </row>
    <row r="75" spans="1:14" ht="12.95" customHeight="1" x14ac:dyDescent="0.25">
      <c r="A75" s="24" t="s">
        <v>171</v>
      </c>
      <c r="B75" s="4" t="str">
        <f t="shared" si="2"/>
        <v>x</v>
      </c>
      <c r="C75" s="3"/>
      <c r="D75" s="3"/>
      <c r="E75" s="61"/>
      <c r="F75" s="9"/>
      <c r="G75" s="20"/>
      <c r="H75" s="20"/>
      <c r="I75" s="21"/>
      <c r="J75" s="90" t="str">
        <f>+'Room 1'!J75</f>
        <v>No visible urine stains on tile or discolored grout</v>
      </c>
      <c r="K75" s="20"/>
      <c r="L75" s="20"/>
      <c r="M75" s="20"/>
      <c r="N75" s="26"/>
    </row>
    <row r="76" spans="1:14" ht="12.95" customHeight="1" x14ac:dyDescent="0.25">
      <c r="A76" s="24" t="s">
        <v>173</v>
      </c>
      <c r="B76" s="4" t="str">
        <f t="shared" si="2"/>
        <v>x</v>
      </c>
      <c r="C76" s="4"/>
      <c r="D76" s="6"/>
      <c r="E76" s="61"/>
      <c r="F76" s="8"/>
      <c r="G76" s="19"/>
      <c r="H76" s="19"/>
      <c r="I76" s="21"/>
      <c r="J76" s="8" t="str">
        <f>+'Room 1'!J76</f>
        <v>Bowl, lid, seat, base free from hair, urine or stains, no visible waterline</v>
      </c>
      <c r="K76" s="19"/>
      <c r="L76" s="19"/>
      <c r="M76" s="19"/>
      <c r="N76" s="25"/>
    </row>
    <row r="77" spans="1:14" ht="12.95" customHeight="1" x14ac:dyDescent="0.25">
      <c r="A77" s="24" t="s">
        <v>175</v>
      </c>
      <c r="B77" s="4" t="str">
        <f t="shared" si="2"/>
        <v>x</v>
      </c>
      <c r="C77" s="3"/>
      <c r="D77" s="3"/>
      <c r="E77" s="61"/>
      <c r="F77" s="9"/>
      <c r="G77" s="20"/>
      <c r="H77" s="20"/>
      <c r="I77" s="21"/>
      <c r="J77" s="90" t="str">
        <f>+'Room 1'!J77</f>
        <v>Proper number and standard presentation of towels</v>
      </c>
      <c r="K77" s="20"/>
      <c r="L77" s="20"/>
      <c r="M77" s="20"/>
      <c r="N77" s="26"/>
    </row>
    <row r="78" spans="1:14" ht="12.95" customHeight="1" x14ac:dyDescent="0.25">
      <c r="A78" s="24" t="s">
        <v>177</v>
      </c>
      <c r="B78" s="4" t="str">
        <f t="shared" si="2"/>
        <v>x</v>
      </c>
      <c r="C78" s="4"/>
      <c r="D78" s="4"/>
      <c r="E78" s="61"/>
      <c r="F78" s="8"/>
      <c r="G78" s="19"/>
      <c r="H78" s="19"/>
      <c r="I78" s="21"/>
      <c r="J78" s="8" t="str">
        <f>+'Room 1'!J78</f>
        <v xml:space="preserve">Clean and presented properly </v>
      </c>
      <c r="K78" s="19"/>
      <c r="L78" s="19"/>
      <c r="M78" s="19"/>
      <c r="N78" s="25"/>
    </row>
    <row r="79" spans="1:14" ht="12.95" customHeight="1" x14ac:dyDescent="0.25">
      <c r="A79" s="24" t="s">
        <v>179</v>
      </c>
      <c r="B79" s="4" t="str">
        <f t="shared" si="2"/>
        <v>x</v>
      </c>
      <c r="C79" s="3"/>
      <c r="D79" s="3"/>
      <c r="E79" s="61"/>
      <c r="F79" s="9"/>
      <c r="G79" s="20"/>
      <c r="H79" s="20"/>
      <c r="I79" s="21"/>
      <c r="J79" s="90" t="str">
        <f>+'Room 1'!J79</f>
        <v>No water spots or residue, clean &amp; adequately filled</v>
      </c>
      <c r="K79" s="20"/>
      <c r="L79" s="20"/>
      <c r="M79" s="20"/>
      <c r="N79" s="26"/>
    </row>
    <row r="80" spans="1:14" ht="12.95" customHeight="1" x14ac:dyDescent="0.25">
      <c r="A80" s="24" t="s">
        <v>181</v>
      </c>
      <c r="B80" s="4" t="str">
        <f t="shared" si="2"/>
        <v>x</v>
      </c>
      <c r="C80" s="4"/>
      <c r="D80" s="4"/>
      <c r="E80" s="61"/>
      <c r="F80" s="8"/>
      <c r="G80" s="19"/>
      <c r="H80" s="19"/>
      <c r="I80" s="21"/>
      <c r="J80" s="8" t="str">
        <f>+'Room 1'!J80</f>
        <v>No hair, water spots or soap scum</v>
      </c>
      <c r="K80" s="19"/>
      <c r="L80" s="19"/>
      <c r="M80" s="19"/>
      <c r="N80" s="25"/>
    </row>
    <row r="81" spans="1:14" ht="12.95" customHeight="1" x14ac:dyDescent="0.25">
      <c r="A81" s="24" t="s">
        <v>183</v>
      </c>
      <c r="B81" s="4" t="str">
        <f t="shared" si="2"/>
        <v>x</v>
      </c>
      <c r="C81" s="3"/>
      <c r="D81" s="3"/>
      <c r="E81" s="61"/>
      <c r="F81" s="9"/>
      <c r="G81" s="20"/>
      <c r="H81" s="20"/>
      <c r="I81" s="21"/>
      <c r="J81" s="90" t="str">
        <f>+'Room 1'!J81</f>
        <v>Wipe horizontal surface with hand to check for soap scum</v>
      </c>
      <c r="K81" s="20"/>
      <c r="L81" s="20"/>
      <c r="M81" s="20"/>
      <c r="N81" s="26"/>
    </row>
    <row r="82" spans="1:14" ht="12.95" customHeight="1" x14ac:dyDescent="0.25">
      <c r="A82" s="24" t="s">
        <v>185</v>
      </c>
      <c r="B82" s="4" t="str">
        <f t="shared" si="2"/>
        <v>x</v>
      </c>
      <c r="C82" s="4"/>
      <c r="D82" s="4"/>
      <c r="E82" s="61"/>
      <c r="F82" s="8"/>
      <c r="G82" s="19"/>
      <c r="H82" s="19"/>
      <c r="I82" s="21"/>
      <c r="J82" s="8" t="str">
        <f>+'Room 1'!J82</f>
        <v>No hairs, debris or soap scum residue</v>
      </c>
      <c r="K82" s="19"/>
      <c r="L82" s="19"/>
      <c r="M82" s="19"/>
      <c r="N82" s="25"/>
    </row>
    <row r="83" spans="1:14" ht="12.95" customHeight="1" x14ac:dyDescent="0.25">
      <c r="A83" s="24" t="s">
        <v>187</v>
      </c>
      <c r="B83" s="4" t="str">
        <f t="shared" si="2"/>
        <v>x</v>
      </c>
      <c r="C83" s="3"/>
      <c r="D83" s="3"/>
      <c r="E83" s="61"/>
      <c r="F83" s="9"/>
      <c r="G83" s="20"/>
      <c r="H83" s="20"/>
      <c r="I83" s="21"/>
      <c r="J83" s="90" t="str">
        <f>+'Room 1'!J83</f>
        <v>Glued properly, no discoloration of mat or around the edges</v>
      </c>
      <c r="K83" s="20"/>
      <c r="L83" s="20"/>
      <c r="M83" s="20"/>
      <c r="N83" s="26"/>
    </row>
    <row r="84" spans="1:14" ht="12.95" customHeight="1" x14ac:dyDescent="0.25">
      <c r="A84" s="24" t="s">
        <v>189</v>
      </c>
      <c r="B84" s="4" t="str">
        <f t="shared" si="2"/>
        <v>x</v>
      </c>
      <c r="C84" s="4"/>
      <c r="D84" s="4"/>
      <c r="E84" s="61"/>
      <c r="F84" s="8"/>
      <c r="G84" s="19"/>
      <c r="H84" s="19"/>
      <c r="I84" s="21"/>
      <c r="J84" s="8" t="str">
        <f>+'Room 1'!J84</f>
        <v>No calcuim / lime buildup or waterspots on chrome</v>
      </c>
      <c r="K84" s="19"/>
      <c r="L84" s="19"/>
      <c r="M84" s="19"/>
      <c r="N84" s="25"/>
    </row>
    <row r="85" spans="1:14" ht="12.95" customHeight="1" x14ac:dyDescent="0.25">
      <c r="A85" s="24" t="s">
        <v>163</v>
      </c>
      <c r="B85" s="4" t="str">
        <f t="shared" si="2"/>
        <v>x</v>
      </c>
      <c r="C85" s="3"/>
      <c r="D85" s="3"/>
      <c r="E85" s="61"/>
      <c r="F85" s="9"/>
      <c r="G85" s="20"/>
      <c r="H85" s="20"/>
      <c r="I85" s="21"/>
      <c r="J85" s="90" t="str">
        <f>+'Room 1'!J85</f>
        <v>No water spots or discoloration</v>
      </c>
      <c r="K85" s="20"/>
      <c r="L85" s="20"/>
      <c r="M85" s="20"/>
      <c r="N85" s="26"/>
    </row>
    <row r="86" spans="1:14" ht="12.95" customHeight="1" x14ac:dyDescent="0.25">
      <c r="A86" s="24" t="s">
        <v>191</v>
      </c>
      <c r="B86" s="4" t="str">
        <f t="shared" si="2"/>
        <v>x</v>
      </c>
      <c r="C86" s="4"/>
      <c r="D86" s="4"/>
      <c r="E86" s="61"/>
      <c r="F86" s="8"/>
      <c r="G86" s="19"/>
      <c r="H86" s="19"/>
      <c r="I86" s="21"/>
      <c r="J86" s="8" t="str">
        <f>+'Room 1'!J86</f>
        <v>Free from water spots and smudges</v>
      </c>
      <c r="K86" s="19"/>
      <c r="L86" s="19"/>
      <c r="M86" s="19"/>
      <c r="N86" s="25"/>
    </row>
    <row r="87" spans="1:14" ht="12.95" customHeight="1" x14ac:dyDescent="0.25">
      <c r="A87" s="24" t="s">
        <v>193</v>
      </c>
      <c r="B87" s="4" t="str">
        <f t="shared" si="2"/>
        <v>x</v>
      </c>
      <c r="C87" s="3"/>
      <c r="D87" s="3"/>
      <c r="E87" s="61"/>
      <c r="F87" s="9"/>
      <c r="G87" s="20"/>
      <c r="H87" s="20"/>
      <c r="I87" s="21"/>
      <c r="J87" s="90" t="str">
        <f>+'Room 1'!J87</f>
        <v>No water spots or mildew in tracks or corners</v>
      </c>
      <c r="K87" s="20"/>
      <c r="L87" s="20"/>
      <c r="M87" s="20"/>
      <c r="N87" s="26"/>
    </row>
    <row r="88" spans="1:14" ht="12.95" customHeight="1" x14ac:dyDescent="0.25">
      <c r="A88" s="24" t="s">
        <v>195</v>
      </c>
      <c r="B88" s="4" t="str">
        <f t="shared" si="2"/>
        <v>x</v>
      </c>
      <c r="C88" s="4"/>
      <c r="D88" s="4"/>
      <c r="E88" s="61"/>
      <c r="F88" s="8"/>
      <c r="G88" s="19"/>
      <c r="H88" s="19"/>
      <c r="I88" s="21"/>
      <c r="J88" s="8" t="str">
        <f>+'Room 1'!J88</f>
        <v>No hair or debris, no sticky cleaner residue, grout color matches wall tile grout</v>
      </c>
      <c r="K88" s="19"/>
      <c r="L88" s="19"/>
      <c r="M88" s="19"/>
      <c r="N88" s="25"/>
    </row>
    <row r="89" spans="1:14" ht="12.95" customHeight="1" x14ac:dyDescent="0.25">
      <c r="A89" s="24" t="s">
        <v>197</v>
      </c>
      <c r="B89" s="4" t="str">
        <f t="shared" si="2"/>
        <v>x</v>
      </c>
      <c r="C89" s="3"/>
      <c r="D89" s="3"/>
      <c r="E89" s="61"/>
      <c r="F89" s="9"/>
      <c r="G89" s="20"/>
      <c r="H89" s="11"/>
      <c r="I89" s="21"/>
      <c r="J89" s="90" t="str">
        <f>+'Room 1'!J89</f>
        <v>No scuffs / scars or spots from hairspray residue</v>
      </c>
      <c r="K89" s="20"/>
      <c r="L89" s="20"/>
      <c r="M89" s="20"/>
      <c r="N89" s="26"/>
    </row>
    <row r="90" spans="1:14" ht="15.75" customHeight="1" thickBot="1" x14ac:dyDescent="0.3">
      <c r="A90" s="27" t="s">
        <v>199</v>
      </c>
      <c r="B90" s="56">
        <f>COUNTIF(B64:B89,"x")</f>
        <v>26</v>
      </c>
      <c r="C90" s="35">
        <f>COUNTIF(C64:C89,"x")</f>
        <v>0</v>
      </c>
      <c r="D90" s="35">
        <f>(COUNTIF(D64:D89,"x")*2)+(COUNTIF(D69,"x")+COUNTIF(D70,"x")+COUNTIF(D76,"x"))*4</f>
        <v>0</v>
      </c>
      <c r="E90" s="62"/>
      <c r="F90" s="31" t="s">
        <v>200</v>
      </c>
      <c r="G90" s="31"/>
      <c r="H90" s="31"/>
      <c r="I90" s="32"/>
      <c r="J90" s="30"/>
      <c r="K90" s="31"/>
      <c r="L90" s="31"/>
      <c r="M90" s="31"/>
      <c r="N90" s="50"/>
    </row>
    <row r="91" spans="1:14" ht="5.25" customHeight="1" x14ac:dyDescent="0.25">
      <c r="A91" s="5"/>
      <c r="C91" s="1"/>
    </row>
    <row r="92" spans="1:14" ht="9.75" customHeight="1" thickBot="1" x14ac:dyDescent="0.3">
      <c r="B92" s="36"/>
      <c r="C92" s="37"/>
      <c r="D92" s="37"/>
      <c r="E92" s="37"/>
      <c r="F92" s="37"/>
      <c r="G92" s="37"/>
      <c r="H92" s="37"/>
      <c r="I92" s="37"/>
      <c r="J92" s="37"/>
      <c r="K92" s="37"/>
      <c r="L92" s="37"/>
      <c r="M92" s="37"/>
      <c r="N92" s="37"/>
    </row>
    <row r="93" spans="1:14" ht="31.5" customHeight="1" thickBot="1" x14ac:dyDescent="0.3">
      <c r="A93" s="129" t="s">
        <v>9</v>
      </c>
      <c r="B93" s="130"/>
      <c r="C93" s="130"/>
      <c r="D93" s="130"/>
      <c r="E93" s="130"/>
      <c r="F93" s="130"/>
      <c r="G93" s="130"/>
      <c r="H93" s="130"/>
      <c r="I93" s="130"/>
      <c r="J93" s="130"/>
      <c r="K93" s="130"/>
      <c r="L93" s="130"/>
      <c r="M93" s="130"/>
      <c r="N93" s="131"/>
    </row>
    <row r="94" spans="1:14" ht="14.1" customHeight="1" x14ac:dyDescent="0.25">
      <c r="A94" s="24" t="s">
        <v>201</v>
      </c>
      <c r="B94" s="4" t="str">
        <f t="shared" ref="B94:B112" si="3">+IF(OR(C94="x",D94="x"),0,"x")</f>
        <v>x</v>
      </c>
      <c r="C94" s="16"/>
      <c r="D94" s="16"/>
      <c r="F94" s="17"/>
      <c r="G94" s="38"/>
      <c r="H94" s="38"/>
      <c r="I94" s="21"/>
      <c r="J94" s="17" t="str">
        <f>+'Room 1'!J94</f>
        <v>Damaged corners, gouges, chiped or scrapes</v>
      </c>
      <c r="K94" s="38"/>
      <c r="L94" s="38"/>
      <c r="M94" s="38"/>
      <c r="N94" s="39"/>
    </row>
    <row r="95" spans="1:14" ht="14.1" customHeight="1" x14ac:dyDescent="0.25">
      <c r="A95" s="24" t="s">
        <v>203</v>
      </c>
      <c r="B95" s="4" t="str">
        <f t="shared" si="3"/>
        <v>x</v>
      </c>
      <c r="C95" s="3"/>
      <c r="D95" s="3"/>
      <c r="F95" s="9"/>
      <c r="G95" s="20"/>
      <c r="H95" s="20"/>
      <c r="I95" s="21"/>
      <c r="J95" s="89" t="str">
        <f>+'Room 1'!J95</f>
        <v>Knicks or scars in the surface or trim</v>
      </c>
      <c r="K95" s="20"/>
      <c r="L95" s="20"/>
      <c r="M95" s="20"/>
      <c r="N95" s="26"/>
    </row>
    <row r="96" spans="1:14" ht="14.1" customHeight="1" x14ac:dyDescent="0.25">
      <c r="A96" s="24" t="s">
        <v>205</v>
      </c>
      <c r="B96" s="4" t="str">
        <f t="shared" si="3"/>
        <v>x</v>
      </c>
      <c r="C96" s="4"/>
      <c r="D96" s="4"/>
      <c r="F96" s="8"/>
      <c r="G96" s="19"/>
      <c r="H96" s="19"/>
      <c r="I96" s="21"/>
      <c r="J96" s="17" t="str">
        <f>+'Room 1'!J96</f>
        <v>Cushions &amp; chair arms not soiled or discolored</v>
      </c>
      <c r="K96" s="19"/>
      <c r="L96" s="19"/>
      <c r="M96" s="19"/>
      <c r="N96" s="25"/>
    </row>
    <row r="97" spans="1:14" ht="14.1" customHeight="1" x14ac:dyDescent="0.25">
      <c r="A97" s="24" t="s">
        <v>207</v>
      </c>
      <c r="B97" s="4" t="str">
        <f t="shared" si="3"/>
        <v>x</v>
      </c>
      <c r="C97" s="3"/>
      <c r="D97" s="6"/>
      <c r="F97" s="9"/>
      <c r="G97" s="20"/>
      <c r="H97" s="20"/>
      <c r="I97" s="21"/>
      <c r="J97" s="89" t="str">
        <f>+'Room 1'!J97</f>
        <v>Remove cover - are coils &amp; inside of unit clean</v>
      </c>
      <c r="K97" s="20"/>
      <c r="L97" s="20"/>
      <c r="M97" s="20"/>
      <c r="N97" s="26"/>
    </row>
    <row r="98" spans="1:14" ht="14.1" customHeight="1" x14ac:dyDescent="0.25">
      <c r="A98" s="24" t="s">
        <v>134</v>
      </c>
      <c r="B98" s="4" t="str">
        <f t="shared" si="3"/>
        <v>x</v>
      </c>
      <c r="C98" s="4"/>
      <c r="D98" s="4"/>
      <c r="F98" s="8"/>
      <c r="G98" s="19"/>
      <c r="H98" s="19"/>
      <c r="I98" s="21"/>
      <c r="J98" s="17" t="str">
        <f>+'Room 1'!J98</f>
        <v>Springs all in place, folding mechanism working properly</v>
      </c>
      <c r="K98" s="19"/>
      <c r="L98" s="19"/>
      <c r="M98" s="19"/>
      <c r="N98" s="25"/>
    </row>
    <row r="99" spans="1:14" ht="14.1" customHeight="1" x14ac:dyDescent="0.25">
      <c r="A99" s="24" t="s">
        <v>210</v>
      </c>
      <c r="B99" s="4" t="str">
        <f t="shared" si="3"/>
        <v>x</v>
      </c>
      <c r="C99" s="3"/>
      <c r="D99" s="6"/>
      <c r="F99" s="9"/>
      <c r="G99" s="20"/>
      <c r="H99" s="20"/>
      <c r="I99" s="21"/>
      <c r="J99" s="89" t="str">
        <f>+'Room 1'!J99</f>
        <v>Free from soiled areas or stains</v>
      </c>
      <c r="K99" s="20"/>
      <c r="L99" s="20"/>
      <c r="M99" s="20"/>
      <c r="N99" s="26"/>
    </row>
    <row r="100" spans="1:14" ht="14.1" customHeight="1" x14ac:dyDescent="0.25">
      <c r="A100" s="24" t="s">
        <v>212</v>
      </c>
      <c r="B100" s="4" t="str">
        <f t="shared" si="3"/>
        <v>x</v>
      </c>
      <c r="C100" s="4"/>
      <c r="D100" s="4"/>
      <c r="F100" s="8"/>
      <c r="G100" s="19"/>
      <c r="H100" s="19"/>
      <c r="I100" s="21"/>
      <c r="J100" s="17" t="str">
        <f>+'Room 1'!J100</f>
        <v>Clean &amp; free from bugs &amp; debris</v>
      </c>
      <c r="K100" s="19"/>
      <c r="L100" s="19"/>
      <c r="M100" s="19"/>
      <c r="N100" s="25"/>
    </row>
    <row r="101" spans="1:14" ht="14.1" customHeight="1" x14ac:dyDescent="0.25">
      <c r="A101" s="24" t="s">
        <v>214</v>
      </c>
      <c r="B101" s="4" t="str">
        <f t="shared" si="3"/>
        <v>x</v>
      </c>
      <c r="C101" s="4"/>
      <c r="D101" s="4"/>
      <c r="F101" s="8"/>
      <c r="G101" s="19"/>
      <c r="H101" s="19"/>
      <c r="I101" s="21"/>
      <c r="J101" s="89" t="str">
        <f>+'Room 1'!J101</f>
        <v>No spots, not damaged / crinkled.</v>
      </c>
      <c r="K101" s="91"/>
      <c r="L101" s="91"/>
      <c r="M101" s="91"/>
      <c r="N101" s="92"/>
    </row>
    <row r="102" spans="1:14" ht="14.1" customHeight="1" x14ac:dyDescent="0.25">
      <c r="A102" s="24" t="s">
        <v>216</v>
      </c>
      <c r="B102" s="4" t="str">
        <f t="shared" si="3"/>
        <v>x</v>
      </c>
      <c r="C102" s="3"/>
      <c r="D102" s="3"/>
      <c r="F102" s="9"/>
      <c r="G102" s="20"/>
      <c r="H102" s="20"/>
      <c r="I102" s="21"/>
      <c r="J102" s="17" t="str">
        <f>+'Room 1'!J102</f>
        <v>Chrome not tarnished, aerator in place</v>
      </c>
      <c r="K102" s="19"/>
      <c r="L102" s="19"/>
      <c r="M102" s="19"/>
      <c r="N102" s="25"/>
    </row>
    <row r="103" spans="1:14" ht="14.1" customHeight="1" x14ac:dyDescent="0.25">
      <c r="A103" s="24" t="s">
        <v>218</v>
      </c>
      <c r="B103" s="4" t="str">
        <f t="shared" si="3"/>
        <v>x</v>
      </c>
      <c r="C103" s="4"/>
      <c r="D103" s="4"/>
      <c r="F103" s="8"/>
      <c r="G103" s="19"/>
      <c r="H103" s="19"/>
      <c r="I103" s="21"/>
      <c r="J103" s="89" t="str">
        <f>+'Room 1'!J103</f>
        <v>Chrome not tarnished,</v>
      </c>
      <c r="K103" s="91"/>
      <c r="L103" s="91"/>
      <c r="M103" s="91"/>
      <c r="N103" s="92"/>
    </row>
    <row r="104" spans="1:14" ht="14.1" customHeight="1" x14ac:dyDescent="0.25">
      <c r="A104" s="24" t="s">
        <v>220</v>
      </c>
      <c r="B104" s="4" t="str">
        <f t="shared" si="3"/>
        <v>x</v>
      </c>
      <c r="C104" s="4"/>
      <c r="D104" s="4"/>
      <c r="F104" s="8"/>
      <c r="G104" s="19"/>
      <c r="H104" s="19"/>
      <c r="I104" s="21"/>
      <c r="J104" s="17" t="str">
        <f>+'Room 1'!J104</f>
        <v>Seat tight, porcelain in good condition, no water movement (leaking flapper)</v>
      </c>
      <c r="K104" s="19"/>
      <c r="L104" s="19"/>
      <c r="M104" s="19"/>
      <c r="N104" s="25"/>
    </row>
    <row r="105" spans="1:14" ht="14.1" customHeight="1" x14ac:dyDescent="0.25">
      <c r="A105" s="24" t="s">
        <v>222</v>
      </c>
      <c r="B105" s="4" t="str">
        <f t="shared" si="3"/>
        <v>x</v>
      </c>
      <c r="C105" s="3"/>
      <c r="D105" s="6"/>
      <c r="F105" s="9"/>
      <c r="G105" s="20"/>
      <c r="H105" s="20"/>
      <c r="I105" s="21"/>
      <c r="J105" s="89" t="str">
        <f>+'Room 1'!J105</f>
        <v>No signs of black or pink, smooth and clean application</v>
      </c>
      <c r="K105" s="20"/>
      <c r="L105" s="20"/>
      <c r="M105" s="20"/>
      <c r="N105" s="26"/>
    </row>
    <row r="106" spans="1:14" ht="14.1" customHeight="1" x14ac:dyDescent="0.25">
      <c r="A106" s="24" t="s">
        <v>224</v>
      </c>
      <c r="B106" s="4" t="str">
        <f t="shared" si="3"/>
        <v>x</v>
      </c>
      <c r="C106" s="4"/>
      <c r="D106" s="4"/>
      <c r="F106" s="8"/>
      <c r="G106" s="19"/>
      <c r="H106" s="19"/>
      <c r="I106" s="21"/>
      <c r="J106" s="17" t="str">
        <f>+'Room 1'!J106</f>
        <v>Adhered completely, not stained or discolored</v>
      </c>
      <c r="K106" s="19"/>
      <c r="L106" s="19"/>
      <c r="M106" s="19"/>
      <c r="N106" s="25"/>
    </row>
    <row r="107" spans="1:14" ht="14.1" customHeight="1" x14ac:dyDescent="0.25">
      <c r="A107" s="24" t="s">
        <v>226</v>
      </c>
      <c r="B107" s="4" t="str">
        <f t="shared" si="3"/>
        <v>x</v>
      </c>
      <c r="C107" s="3"/>
      <c r="D107" s="3"/>
      <c r="F107" s="9"/>
      <c r="G107" s="20"/>
      <c r="H107" s="20"/>
      <c r="I107" s="21"/>
      <c r="J107" s="89" t="str">
        <f>+'Room 1'!J107</f>
        <v>Chrome not pitted or tarnished</v>
      </c>
      <c r="K107" s="20"/>
      <c r="L107" s="20"/>
      <c r="M107" s="20"/>
      <c r="N107" s="26"/>
    </row>
    <row r="108" spans="1:14" ht="14.1" customHeight="1" x14ac:dyDescent="0.25">
      <c r="A108" s="24" t="s">
        <v>228</v>
      </c>
      <c r="B108" s="4" t="str">
        <f t="shared" si="3"/>
        <v>x</v>
      </c>
      <c r="C108" s="4"/>
      <c r="D108" s="4"/>
      <c r="F108" s="8"/>
      <c r="G108" s="19"/>
      <c r="H108" s="19"/>
      <c r="I108" s="21"/>
      <c r="J108" s="17" t="str">
        <f>+'Room 1'!J108</f>
        <v>Chrome not pitted or tarnished</v>
      </c>
      <c r="K108" s="19"/>
      <c r="L108" s="19"/>
      <c r="M108" s="19"/>
      <c r="N108" s="25"/>
    </row>
    <row r="109" spans="1:14" ht="14.1" customHeight="1" x14ac:dyDescent="0.25">
      <c r="A109" s="24" t="s">
        <v>229</v>
      </c>
      <c r="B109" s="4" t="str">
        <f t="shared" si="3"/>
        <v>x</v>
      </c>
      <c r="C109" s="3"/>
      <c r="D109" s="3"/>
      <c r="F109" s="9"/>
      <c r="G109" s="20"/>
      <c r="H109" s="20"/>
      <c r="I109" s="21"/>
      <c r="J109" s="89" t="str">
        <f>+'Room 1'!J109</f>
        <v>Chrome not pitted or tarnished</v>
      </c>
      <c r="K109" s="20"/>
      <c r="L109" s="20"/>
      <c r="M109" s="20"/>
      <c r="N109" s="26"/>
    </row>
    <row r="110" spans="1:14" ht="14.1" customHeight="1" x14ac:dyDescent="0.25">
      <c r="A110" s="24" t="s">
        <v>230</v>
      </c>
      <c r="B110" s="4" t="str">
        <f t="shared" si="3"/>
        <v>x</v>
      </c>
      <c r="C110" s="4"/>
      <c r="D110" s="4"/>
      <c r="F110" s="8"/>
      <c r="G110" s="19"/>
      <c r="H110" s="19"/>
      <c r="I110" s="21"/>
      <c r="J110" s="17" t="str">
        <f>+'Room 1'!J110</f>
        <v>Can't inspect but check with maintenance person on last time zip-it used</v>
      </c>
      <c r="K110" s="19"/>
      <c r="L110" s="19"/>
      <c r="M110" s="19"/>
      <c r="N110" s="25"/>
    </row>
    <row r="111" spans="1:14" ht="14.1" customHeight="1" x14ac:dyDescent="0.25">
      <c r="A111" s="24" t="s">
        <v>232</v>
      </c>
      <c r="B111" s="4" t="str">
        <f t="shared" si="3"/>
        <v>x</v>
      </c>
      <c r="C111" s="3"/>
      <c r="D111" s="3"/>
      <c r="F111" s="9"/>
      <c r="G111" s="20"/>
      <c r="H111" s="20"/>
      <c r="I111" s="21"/>
      <c r="J111" s="89" t="str">
        <f>+'Room 1'!J111</f>
        <v>No dust on vent or ceiling around vent</v>
      </c>
      <c r="K111" s="20"/>
      <c r="L111" s="20"/>
      <c r="M111" s="20"/>
      <c r="N111" s="26"/>
    </row>
    <row r="112" spans="1:14" ht="14.1" customHeight="1" x14ac:dyDescent="0.25">
      <c r="A112" s="24" t="s">
        <v>234</v>
      </c>
      <c r="B112" s="4" t="str">
        <f t="shared" si="3"/>
        <v>x</v>
      </c>
      <c r="C112" s="4"/>
      <c r="D112" s="4"/>
      <c r="F112" s="8"/>
      <c r="G112" s="19"/>
      <c r="H112" s="19"/>
      <c r="I112" s="21"/>
      <c r="J112" s="17" t="str">
        <f>+'Room 1'!J112</f>
        <v>Entry &amp; Bathroom door - knicks &amp; scrapes repaired</v>
      </c>
      <c r="K112" s="19"/>
      <c r="L112" s="19"/>
      <c r="M112" s="19"/>
      <c r="N112" s="25"/>
    </row>
    <row r="113" spans="1:14" x14ac:dyDescent="0.25">
      <c r="A113" s="40" t="s">
        <v>236</v>
      </c>
      <c r="B113" s="63">
        <f>COUNTIF(B94:B112,"x")</f>
        <v>19</v>
      </c>
      <c r="C113" s="7">
        <f>COUNTIF(C94:C112,"x")</f>
        <v>0</v>
      </c>
      <c r="D113" s="54">
        <f>(COUNTIF(D94:D112,"x")*2)+(COUNTIF(D99,"x")+COUNTIF(D105,"x")+COUNTIF(D97,"x"))*4</f>
        <v>0</v>
      </c>
      <c r="F113" t="s">
        <v>149</v>
      </c>
      <c r="I113" s="21"/>
      <c r="N113" s="41"/>
    </row>
    <row r="114" spans="1:14" ht="4.5" customHeight="1" thickBot="1" x14ac:dyDescent="0.3">
      <c r="A114" s="42"/>
      <c r="B114" s="29"/>
      <c r="C114" s="28"/>
      <c r="D114" s="29"/>
      <c r="E114" s="28"/>
      <c r="F114" s="28"/>
      <c r="G114" s="28"/>
      <c r="H114" s="28"/>
      <c r="I114" s="28"/>
      <c r="J114" s="28"/>
      <c r="K114" s="28"/>
      <c r="L114" s="28"/>
      <c r="M114" s="28"/>
      <c r="N114" s="33"/>
    </row>
    <row r="115" spans="1:14" ht="15.75" thickBot="1" x14ac:dyDescent="0.3"/>
    <row r="116" spans="1:14" ht="31.5" customHeight="1" thickBot="1" x14ac:dyDescent="0.3">
      <c r="A116" s="129" t="s">
        <v>237</v>
      </c>
      <c r="B116" s="130"/>
      <c r="C116" s="130"/>
      <c r="D116" s="130"/>
      <c r="E116" s="130"/>
      <c r="F116" s="130"/>
      <c r="G116" s="130"/>
      <c r="H116" s="130"/>
      <c r="I116" s="130"/>
      <c r="J116" s="130"/>
      <c r="K116" s="130"/>
      <c r="L116" s="130"/>
      <c r="M116" s="130"/>
      <c r="N116" s="131"/>
    </row>
    <row r="117" spans="1:14" x14ac:dyDescent="0.25">
      <c r="A117" s="108"/>
      <c r="B117" s="109"/>
      <c r="C117" s="109"/>
      <c r="D117" s="109"/>
      <c r="E117" s="109"/>
      <c r="F117" s="109"/>
      <c r="G117" s="109"/>
      <c r="H117" s="109"/>
      <c r="I117" s="109"/>
      <c r="J117" s="109"/>
      <c r="K117" s="109"/>
      <c r="L117" s="109"/>
      <c r="M117" s="109"/>
      <c r="N117" s="110"/>
    </row>
    <row r="118" spans="1:14" ht="11.25" customHeight="1" x14ac:dyDescent="0.25">
      <c r="A118" s="111"/>
      <c r="B118" s="97"/>
      <c r="C118" s="97"/>
      <c r="D118" s="97"/>
      <c r="E118" s="97"/>
      <c r="F118" s="97"/>
      <c r="G118" s="97"/>
      <c r="H118" s="97"/>
      <c r="I118" s="97"/>
      <c r="J118" s="97"/>
      <c r="K118" s="97"/>
      <c r="L118" s="97"/>
      <c r="M118" s="97"/>
      <c r="N118" s="112"/>
    </row>
    <row r="119" spans="1:14" x14ac:dyDescent="0.25">
      <c r="A119" s="111"/>
      <c r="B119" s="97"/>
      <c r="C119" s="97"/>
      <c r="D119" s="97"/>
      <c r="E119" s="97"/>
      <c r="F119" s="97"/>
      <c r="G119" s="97"/>
      <c r="H119" s="97"/>
      <c r="I119" s="97"/>
      <c r="J119" s="97"/>
      <c r="K119" s="97"/>
      <c r="L119" s="97"/>
      <c r="M119" s="97"/>
      <c r="N119" s="112"/>
    </row>
    <row r="120" spans="1:14" ht="14.25" customHeight="1" x14ac:dyDescent="0.25">
      <c r="A120" s="111"/>
      <c r="B120" s="97"/>
      <c r="C120" s="97"/>
      <c r="D120" s="97"/>
      <c r="E120" s="97"/>
      <c r="F120" s="97"/>
      <c r="G120" s="97"/>
      <c r="H120" s="97"/>
      <c r="I120" s="97"/>
      <c r="J120" s="97"/>
      <c r="K120" s="97"/>
      <c r="L120" s="97"/>
      <c r="M120" s="97"/>
      <c r="N120" s="112"/>
    </row>
    <row r="121" spans="1:14" hidden="1" x14ac:dyDescent="0.25">
      <c r="A121" s="111"/>
      <c r="B121" s="97"/>
      <c r="C121" s="97"/>
      <c r="D121" s="97"/>
      <c r="E121" s="97"/>
      <c r="F121" s="97"/>
      <c r="G121" s="97"/>
      <c r="H121" s="97"/>
      <c r="I121" s="97"/>
      <c r="J121" s="97"/>
      <c r="K121" s="97"/>
      <c r="L121" s="97"/>
      <c r="M121" s="97"/>
      <c r="N121" s="112"/>
    </row>
    <row r="122" spans="1:14" x14ac:dyDescent="0.25">
      <c r="A122" s="111"/>
      <c r="B122" s="97"/>
      <c r="C122" s="97"/>
      <c r="D122" s="97"/>
      <c r="E122" s="97"/>
      <c r="F122" s="97"/>
      <c r="G122" s="97"/>
      <c r="H122" s="97"/>
      <c r="I122" s="97"/>
      <c r="J122" s="97"/>
      <c r="K122" s="97"/>
      <c r="L122" s="97"/>
      <c r="M122" s="97"/>
      <c r="N122" s="112"/>
    </row>
    <row r="123" spans="1:14" ht="6" customHeight="1" x14ac:dyDescent="0.25">
      <c r="A123" s="111"/>
      <c r="B123" s="97"/>
      <c r="C123" s="97"/>
      <c r="D123" s="97"/>
      <c r="E123" s="97"/>
      <c r="F123" s="97"/>
      <c r="G123" s="97"/>
      <c r="H123" s="97"/>
      <c r="I123" s="97"/>
      <c r="J123" s="97"/>
      <c r="K123" s="97"/>
      <c r="L123" s="97"/>
      <c r="M123" s="97"/>
      <c r="N123" s="112"/>
    </row>
    <row r="124" spans="1:14" x14ac:dyDescent="0.25">
      <c r="A124" s="111"/>
      <c r="B124" s="97"/>
      <c r="C124" s="97"/>
      <c r="D124" s="97"/>
      <c r="E124" s="97"/>
      <c r="F124" s="97"/>
      <c r="G124" s="97"/>
      <c r="H124" s="97"/>
      <c r="I124" s="97"/>
      <c r="J124" s="97"/>
      <c r="K124" s="97"/>
      <c r="L124" s="97"/>
      <c r="M124" s="97"/>
      <c r="N124" s="112"/>
    </row>
    <row r="125" spans="1:14" ht="1.5" customHeight="1" x14ac:dyDescent="0.25">
      <c r="A125" s="111"/>
      <c r="B125" s="97"/>
      <c r="C125" s="97"/>
      <c r="D125" s="97"/>
      <c r="E125" s="97"/>
      <c r="F125" s="97"/>
      <c r="G125" s="97"/>
      <c r="H125" s="97"/>
      <c r="I125" s="97"/>
      <c r="J125" s="97"/>
      <c r="K125" s="97"/>
      <c r="L125" s="97"/>
      <c r="M125" s="97"/>
      <c r="N125" s="112"/>
    </row>
    <row r="126" spans="1:14" ht="9" customHeight="1" x14ac:dyDescent="0.25">
      <c r="A126" s="111"/>
      <c r="B126" s="97"/>
      <c r="C126" s="97"/>
      <c r="D126" s="97"/>
      <c r="E126" s="97"/>
      <c r="F126" s="97"/>
      <c r="G126" s="97"/>
      <c r="H126" s="97"/>
      <c r="I126" s="97"/>
      <c r="J126" s="97"/>
      <c r="K126" s="97"/>
      <c r="L126" s="97"/>
      <c r="M126" s="97"/>
      <c r="N126" s="112"/>
    </row>
    <row r="127" spans="1:14" x14ac:dyDescent="0.25">
      <c r="A127" s="111"/>
      <c r="B127" s="97"/>
      <c r="C127" s="97"/>
      <c r="D127" s="97"/>
      <c r="E127" s="97"/>
      <c r="F127" s="97"/>
      <c r="G127" s="97"/>
      <c r="H127" s="97"/>
      <c r="I127" s="97"/>
      <c r="J127" s="97"/>
      <c r="K127" s="97"/>
      <c r="L127" s="97"/>
      <c r="M127" s="97"/>
      <c r="N127" s="112"/>
    </row>
    <row r="128" spans="1:14" x14ac:dyDescent="0.25">
      <c r="A128" s="111"/>
      <c r="B128" s="97"/>
      <c r="C128" s="97"/>
      <c r="D128" s="97"/>
      <c r="E128" s="97"/>
      <c r="F128" s="97"/>
      <c r="G128" s="97"/>
      <c r="H128" s="97"/>
      <c r="I128" s="97"/>
      <c r="J128" s="97"/>
      <c r="K128" s="97"/>
      <c r="L128" s="97"/>
      <c r="M128" s="97"/>
      <c r="N128" s="112"/>
    </row>
    <row r="129" spans="1:14" ht="7.5" customHeight="1" x14ac:dyDescent="0.25">
      <c r="A129" s="111"/>
      <c r="B129" s="97"/>
      <c r="C129" s="97"/>
      <c r="D129" s="97"/>
      <c r="E129" s="97"/>
      <c r="F129" s="97"/>
      <c r="G129" s="97"/>
      <c r="H129" s="97"/>
      <c r="I129" s="97"/>
      <c r="J129" s="97"/>
      <c r="K129" s="97"/>
      <c r="L129" s="97"/>
      <c r="M129" s="97"/>
      <c r="N129" s="112"/>
    </row>
    <row r="130" spans="1:14" x14ac:dyDescent="0.25">
      <c r="A130" s="111"/>
      <c r="B130" s="97"/>
      <c r="C130" s="97"/>
      <c r="D130" s="97"/>
      <c r="E130" s="97"/>
      <c r="F130" s="97"/>
      <c r="G130" s="97"/>
      <c r="H130" s="97"/>
      <c r="I130" s="97"/>
      <c r="J130" s="97"/>
      <c r="K130" s="97"/>
      <c r="L130" s="97"/>
      <c r="M130" s="97"/>
      <c r="N130" s="112"/>
    </row>
    <row r="131" spans="1:14" x14ac:dyDescent="0.25">
      <c r="A131" s="111"/>
      <c r="B131" s="97"/>
      <c r="C131" s="97"/>
      <c r="D131" s="97"/>
      <c r="E131" s="97"/>
      <c r="F131" s="97"/>
      <c r="G131" s="97"/>
      <c r="H131" s="97"/>
      <c r="I131" s="97"/>
      <c r="J131" s="97"/>
      <c r="K131" s="97"/>
      <c r="L131" s="97"/>
      <c r="M131" s="97"/>
      <c r="N131" s="112"/>
    </row>
    <row r="132" spans="1:14" ht="15.75" thickBot="1" x14ac:dyDescent="0.3">
      <c r="A132" s="113"/>
      <c r="B132" s="93"/>
      <c r="C132" s="93"/>
      <c r="D132" s="93"/>
      <c r="E132" s="93"/>
      <c r="F132" s="93"/>
      <c r="G132" s="93"/>
      <c r="H132" s="93"/>
      <c r="I132" s="93"/>
      <c r="J132" s="93"/>
      <c r="K132" s="93"/>
      <c r="L132" s="93"/>
      <c r="M132" s="93"/>
      <c r="N132" s="114"/>
    </row>
  </sheetData>
  <sheetProtection algorithmName="SHA-512" hashValue="3GSKSbM0p0OhIR5iFO8Hx5nmC94fdvEzYKa33IJoogo3qLKfSjEIMe9P4Pbi8f19Ez1/8iKTF26BjJIh8SiMWw==" saltValue="dZRCZq2E0vZ0h82TZlQJpA==" spinCount="100000" sheet="1" objects="1" scenarios="1"/>
  <protectedRanges>
    <protectedRange algorithmName="SHA-512" hashValue="q9X8sjQ+H7VbcOeyhIaXH4GTRtPZIMKeNdG380OtlROVbI8tuxLMYKvfPp0qZAwwpU3aDF97nKEu21CqhkkAhA==" saltValue="zoiu1OjhhlUycim1ikOZVg==" spinCount="100000" sqref="C5:F5" name="InspectressName 1"/>
    <protectedRange algorithmName="SHA-512" hashValue="O2AKEiPm9hl7IZ6tpbjIRkZSOGgws3mCZe52DaA9t/jl0nnXSucMWmkeA5gPT8l+P4fOGdY0POQ4oTEYEbedaw==" saltValue="l0sKH+/ut729X1+z1Tqy7g==" spinCount="100000" sqref="C94:H112" name="pg4_2"/>
    <protectedRange algorithmName="SHA-512" hashValue="U3Ir5lqQk+aH9iI+zvNriyTHzp1DEiza//x3T5/3ICIFIHXg7K8MI9/xadf6rNh3+rwXX7uE2E3vNYx8bJ8TKg==" saltValue="w1OZq0DC+ZC59/8knh8qMw==" spinCount="100000" sqref="C64:H89" name="pg3_2"/>
    <protectedRange algorithmName="SHA-512" hashValue="kN/ulZwD5gsq6hF89XRH4+ziGB9kI9vCXEiw1bYTT/SzgPpK/GENmUB80wCBOiGhJoYHFYJYhW+ZRMaZf0Bfvw==" saltValue="3iUo2KuG3X/Zk61bX0L7dg==" spinCount="100000" sqref="C49:H59" name="Pg2_2"/>
    <protectedRange algorithmName="SHA-512" hashValue="haEQ+EzPJhE4hBr07Zb+ghM8MsDaZhKrUWnuczqExcplBVvlqRI2azgqKhB3MmGh/7V8Iyz7YOTJOgKysacR3g==" saltValue="K+IEjCoodbRDhimWU8o98g==" spinCount="100000" sqref="C9:H46" name="InspectionResults_2"/>
    <protectedRange algorithmName="SHA-512" hashValue="s2coHfixAFSd/BofzQOxKNGWg7KLgM+evjWQ4odd8C8wKi1piKPyOfpgF+eFB9MLJ9Myd0wZCwXLgxLz798X6g==" saltValue="Y3pqRnNQlK/4JtG4fso+wg==" spinCount="100000" sqref="B3:H3" name="HeaderInfo_2"/>
    <protectedRange algorithmName="SHA-512" hashValue="15bfE5BxZszTpB2hJlLEK6AIBT46fBIWkFdui2DWWstKpJfuCyWtbOfEINVhKXRhJEXDcePAWNGCNINVOFywCQ==" saltValue="XMEe1KUh/V2laNKRE3ITbg==" spinCount="100000" sqref="A117" name="Comments_2"/>
  </protectedRanges>
  <mergeCells count="16">
    <mergeCell ref="F8:H8"/>
    <mergeCell ref="J8:N8"/>
    <mergeCell ref="C1:J2"/>
    <mergeCell ref="B3:C3"/>
    <mergeCell ref="A5:B5"/>
    <mergeCell ref="C5:F5"/>
    <mergeCell ref="A6:N7"/>
    <mergeCell ref="A93:N93"/>
    <mergeCell ref="A116:N116"/>
    <mergeCell ref="A117:N132"/>
    <mergeCell ref="A47:N47"/>
    <mergeCell ref="F48:H48"/>
    <mergeCell ref="J48:N48"/>
    <mergeCell ref="A62:N62"/>
    <mergeCell ref="F63:H63"/>
    <mergeCell ref="J63:N63"/>
  </mergeCells>
  <conditionalFormatting sqref="B9:B46">
    <cfRule type="cellIs" dxfId="3" priority="4" operator="equal">
      <formula>0</formula>
    </cfRule>
  </conditionalFormatting>
  <conditionalFormatting sqref="B49:B59">
    <cfRule type="cellIs" dxfId="2" priority="3" operator="equal">
      <formula>0</formula>
    </cfRule>
  </conditionalFormatting>
  <conditionalFormatting sqref="B64:B89">
    <cfRule type="cellIs" dxfId="1" priority="2" operator="equal">
      <formula>0</formula>
    </cfRule>
  </conditionalFormatting>
  <conditionalFormatting sqref="B94:B112">
    <cfRule type="cellIs" dxfId="0" priority="1" operator="equal">
      <formula>0</formula>
    </cfRule>
  </conditionalFormatting>
  <pageMargins left="0.5" right="0.2" top="0.4" bottom="0.25" header="0" footer="0"/>
  <pageSetup scale="87" orientation="landscape" r:id="rId1"/>
  <rowBreaks count="2" manualBreakCount="2">
    <brk id="46" max="16383" man="1"/>
    <brk id="92"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0EFB3E6-5D77-4313-A82D-1D026BF66493}">
          <x14:formula1>
            <xm:f>'Monthly Report'!$B$8:$B$10</xm:f>
          </x14:formula1>
          <xm:sqref>C5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a0961b5-e0aa-4d26-8959-e6635ae3a8c8" xsi:nil="true"/>
    <lcf76f155ced4ddcb4097134ff3c332f xmlns="8356745f-be2b-4426-b37c-6796f5e9d12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18C806A80A094DBA32E0C7D0805B50" ma:contentTypeVersion="13" ma:contentTypeDescription="Create a new document." ma:contentTypeScope="" ma:versionID="5dfda60cf6c076202936e3ac61b8b6f0">
  <xsd:schema xmlns:xsd="http://www.w3.org/2001/XMLSchema" xmlns:xs="http://www.w3.org/2001/XMLSchema" xmlns:p="http://schemas.microsoft.com/office/2006/metadata/properties" xmlns:ns2="8356745f-be2b-4426-b37c-6796f5e9d124" xmlns:ns3="da0961b5-e0aa-4d26-8959-e6635ae3a8c8" targetNamespace="http://schemas.microsoft.com/office/2006/metadata/properties" ma:root="true" ma:fieldsID="e0c09b55bde091378eeadfead46c8789" ns2:_="" ns3:_="">
    <xsd:import namespace="8356745f-be2b-4426-b37c-6796f5e9d124"/>
    <xsd:import namespace="da0961b5-e0aa-4d26-8959-e6635ae3a8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56745f-be2b-4426-b37c-6796f5e9d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030a11-5023-496e-bf3f-f9e2f55d7b1c"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a0961b5-e0aa-4d26-8959-e6635ae3a8c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e7dd8ac-9148-4082-9e49-a012729a5dd5}" ma:internalName="TaxCatchAll" ma:showField="CatchAllData" ma:web="da0961b5-e0aa-4d26-8959-e6635ae3a8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04D490-C9CA-40E5-A75B-59702C3BCC9B}">
  <ds:schemaRefs>
    <ds:schemaRef ds:uri="http://schemas.microsoft.com/office/2006/metadata/properties"/>
    <ds:schemaRef ds:uri="http://schemas.microsoft.com/office/infopath/2007/PartnerControls"/>
    <ds:schemaRef ds:uri="da0961b5-e0aa-4d26-8959-e6635ae3a8c8"/>
    <ds:schemaRef ds:uri="8356745f-be2b-4426-b37c-6796f5e9d124"/>
  </ds:schemaRefs>
</ds:datastoreItem>
</file>

<file path=customXml/itemProps2.xml><?xml version="1.0" encoding="utf-8"?>
<ds:datastoreItem xmlns:ds="http://schemas.openxmlformats.org/officeDocument/2006/customXml" ds:itemID="{4B94A43E-A4D3-400C-8BBC-02AC11C63064}"/>
</file>

<file path=customXml/itemProps3.xml><?xml version="1.0" encoding="utf-8"?>
<ds:datastoreItem xmlns:ds="http://schemas.openxmlformats.org/officeDocument/2006/customXml" ds:itemID="{609C882D-FD7D-452C-9A42-0BD52AD782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Monthly Report</vt:lpstr>
      <vt:lpstr>Room 1</vt:lpstr>
      <vt:lpstr>Room 2</vt:lpstr>
      <vt:lpstr>Room 3</vt:lpstr>
      <vt:lpstr>Room 4</vt:lpstr>
      <vt:lpstr>Room 5</vt:lpstr>
      <vt:lpstr>Room 6</vt:lpstr>
      <vt:lpstr>Room 7</vt:lpstr>
      <vt:lpstr>Room 8</vt:lpstr>
      <vt:lpstr>Room 9</vt:lpstr>
      <vt:lpstr>Room 10</vt:lpstr>
      <vt:lpstr>Room 11</vt:lpstr>
      <vt:lpstr>Room 12</vt:lpstr>
      <vt:lpstr>Room 13</vt:lpstr>
      <vt:lpstr>Room 14</vt:lpstr>
      <vt:lpstr>Room 15</vt:lpstr>
      <vt:lpstr>Room 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Michaud</dc:creator>
  <cp:keywords/>
  <dc:description/>
  <cp:lastModifiedBy>Holiday Inn General Manager</cp:lastModifiedBy>
  <cp:revision/>
  <dcterms:created xsi:type="dcterms:W3CDTF">2024-04-05T14:08:29Z</dcterms:created>
  <dcterms:modified xsi:type="dcterms:W3CDTF">2026-05-26T15:06:10Z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0x0101009F18C806A80A094DBA32E0C7D0805B50</vt:lpwstr>
  </property>
  <property fmtid="{D5CDD505-2E9C-101B-9397-08002B2CF9AE}" pid="3" name="MediaServiceImageTags">
    <vt:lpwstr/>
  </property>
</Properties>
</file>